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Дмитрий\Dashboards\goszakupki_cgm\"/>
    </mc:Choice>
  </mc:AlternateContent>
  <xr:revisionPtr revIDLastSave="0" documentId="13_ncr:1_{B523ECDF-C58D-4D81-A31E-FB38EAB37EDF}" xr6:coauthVersionLast="47" xr6:coauthVersionMax="47" xr10:uidLastSave="{00000000-0000-0000-0000-000000000000}"/>
  <bookViews>
    <workbookView xWindow="-108" yWindow="-108" windowWidth="41496" windowHeight="16776" xr2:uid="{310EB2ED-67D4-489E-A6BD-153C764E0B65}"/>
  </bookViews>
  <sheets>
    <sheet name="Исходная" sheetId="1" r:id="rId1"/>
  </sheets>
  <definedNames>
    <definedName name="_xlnm._FilterDatabase" localSheetId="0" hidden="1">Исходная!$A$1:$AB$1805</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305" i="1" l="1"/>
  <c r="U1304" i="1"/>
  <c r="U1303" i="1"/>
  <c r="T980" i="1"/>
  <c r="T898" i="1"/>
  <c r="U898" i="1" s="1"/>
  <c r="S898" i="1"/>
  <c r="T897" i="1"/>
  <c r="S897" i="1"/>
  <c r="T889" i="1"/>
  <c r="S889" i="1"/>
  <c r="U889" i="1" s="1"/>
  <c r="T888" i="1"/>
  <c r="S888" i="1"/>
  <c r="S853" i="1"/>
  <c r="S852" i="1"/>
  <c r="T829" i="1"/>
  <c r="S829" i="1"/>
  <c r="T818" i="1"/>
  <c r="S818" i="1"/>
  <c r="T776" i="1"/>
  <c r="T773" i="1"/>
  <c r="T772" i="1"/>
  <c r="T721" i="1"/>
  <c r="S721" i="1"/>
  <c r="T720" i="1"/>
  <c r="S720" i="1"/>
  <c r="T719" i="1"/>
  <c r="S719" i="1"/>
  <c r="T718" i="1"/>
  <c r="S718" i="1"/>
  <c r="T717" i="1"/>
  <c r="S717" i="1"/>
  <c r="T713" i="1"/>
  <c r="S713" i="1"/>
  <c r="T710" i="1"/>
  <c r="S710" i="1"/>
  <c r="T709" i="1"/>
  <c r="S709" i="1"/>
  <c r="T708" i="1"/>
  <c r="S708" i="1"/>
  <c r="T707" i="1"/>
  <c r="S707" i="1"/>
  <c r="U682" i="1"/>
  <c r="U680" i="1"/>
  <c r="T494" i="1"/>
  <c r="T493" i="1"/>
  <c r="T414" i="1"/>
  <c r="T351" i="1"/>
  <c r="T340" i="1"/>
  <c r="T311" i="1"/>
  <c r="S311" i="1"/>
  <c r="T310" i="1"/>
  <c r="S310" i="1"/>
  <c r="T278" i="1"/>
  <c r="T217" i="1"/>
  <c r="T193" i="1"/>
  <c r="T179" i="1"/>
  <c r="T57" i="1"/>
  <c r="T56" i="1"/>
  <c r="T28" i="1"/>
  <c r="T4" i="1"/>
  <c r="T2" i="1"/>
</calcChain>
</file>

<file path=xl/sharedStrings.xml><?xml version="1.0" encoding="utf-8"?>
<sst xmlns="http://schemas.openxmlformats.org/spreadsheetml/2006/main" count="24983" uniqueCount="5908">
  <si>
    <t>Номер реестровой записи контракта</t>
  </si>
  <si>
    <t>Заказчик: наименование</t>
  </si>
  <si>
    <t>Регион</t>
  </si>
  <si>
    <t>Заказчик: ИНН</t>
  </si>
  <si>
    <t>Заказчик: КПП</t>
  </si>
  <si>
    <t>Способ размещения заказа</t>
  </si>
  <si>
    <t>Номер извещения о проведени торгов</t>
  </si>
  <si>
    <t>Дата подведения результатов определения поставщика (подрядчика, исполнителя)</t>
  </si>
  <si>
    <t>Реквизиты документа, подтверждающего основание заключения контракта</t>
  </si>
  <si>
    <t>Контракт: дата</t>
  </si>
  <si>
    <t>Период контракта</t>
  </si>
  <si>
    <t>Контракт: номер</t>
  </si>
  <si>
    <t>Предмет контракта</t>
  </si>
  <si>
    <t>Цена контракта</t>
  </si>
  <si>
    <t>Объект закупки: наименование товаров, работ, услуг</t>
  </si>
  <si>
    <t>Что закупали</t>
  </si>
  <si>
    <t>Для кого</t>
  </si>
  <si>
    <t>Объект закупки: код позиции</t>
  </si>
  <si>
    <t>цена, руб</t>
  </si>
  <si>
    <t xml:space="preserve">количество </t>
  </si>
  <si>
    <t xml:space="preserve"> сумма, руб</t>
  </si>
  <si>
    <t>Информация о поставщиках</t>
  </si>
  <si>
    <t>Дистрибьютор</t>
  </si>
  <si>
    <t>Информация о поставщиках (исполнителях, подрядчиках) по контракту: ИНН</t>
  </si>
  <si>
    <t>Информация о поставщиках (исполнителях, подрядчиках) по контракту: КПП</t>
  </si>
  <si>
    <t>Дата последнего изменения записи</t>
  </si>
  <si>
    <t>Год</t>
  </si>
  <si>
    <t>Дата исполнения контракта: по контракту</t>
  </si>
  <si>
    <t>"53201000327230002550020"</t>
  </si>
  <si>
    <t>ГОСУДАРСТВЕННОЕ УНИТАРНОЕ ПРЕДПРИЯТИЕ "БРЯНСКФАРМАЦИЯ"</t>
  </si>
  <si>
    <t>Брянская область</t>
  </si>
  <si>
    <t>223 ФЗ</t>
  </si>
  <si>
    <t>"32312184817"</t>
  </si>
  <si>
    <t>1 полугодие 2024</t>
  </si>
  <si>
    <t>Закупка изделий медицинского назначения (датчик мониторинга глюкозы) для исполнения государственных контррактов и договоров для обеспечения потребности отдельных категорий граждан</t>
  </si>
  <si>
    <t>Лот №1 Закупка изделий медицинского назначения (датчик мониторинга глюкозы) для исполнения государственных контррактов и договоров для обеспечения потребности отдельных категорий граждан</t>
  </si>
  <si>
    <t>Freestyle Libre</t>
  </si>
  <si>
    <t>Дети</t>
  </si>
  <si>
    <t>26.60.12.129-00000253</t>
  </si>
  <si>
    <t>ОБЩЕСТВО С ОГРАНИЧЕННОЙ ОТВЕТСТВЕННОСТЬЮ "БСС"</t>
  </si>
  <si>
    <t>БСС</t>
  </si>
  <si>
    <t>"55609027223230006190000 "</t>
  </si>
  <si>
    <t>ГОСУДАРСТВЕННОЕ АВТОНОМНОЕ УЧРЕЖДЕНИЕ ЗДРАВООХРАНЕНИЯ "ОБЛАСТНОЙ АПТЕЧНЫЙ СКЛАД"</t>
  </si>
  <si>
    <t>Оренбургская область</t>
  </si>
  <si>
    <t>Закупка у единственного поставщика (подрядчика, исполнителя)</t>
  </si>
  <si>
    <t>"32313103012"</t>
  </si>
  <si>
    <t>ОЗ/68</t>
  </si>
  <si>
    <t>Поставка датчика системы Flash - мониторинга глюкозы FreeStyle Libre для обеспечения детей с сахарным диабетом 1 типа в возрасте от 4 до 17 лет</t>
  </si>
  <si>
    <t>26.60.12.129</t>
  </si>
  <si>
    <t>"2683202476623000405"</t>
  </si>
  <si>
    <t>ГОСУДАРСТВЕННОЕ БЮДЖЕТНОЕ УЧРЕЖДЕНИЕ ЗДРАВООХРАНЕНИЯ "ТАМБОВСКАЯ ОБЛАСТНАЯ ДЕТСКАЯ КЛИНИЧЕСКАЯ  БОЛЬНИЦА"</t>
  </si>
  <si>
    <t>Тамбовская область</t>
  </si>
  <si>
    <t>Электронный аукцион</t>
  </si>
  <si>
    <t>'0164200001923004174'</t>
  </si>
  <si>
    <t>Протокол подведения итогов определения поставщика (подрядчика, исполнителя) № ИЭА1 от 15.12.2023;0164200001923004174-2-15565091</t>
  </si>
  <si>
    <t>0164200001923004174_50613</t>
  </si>
  <si>
    <t>Поставка медицинского изделия (датчик системы чрескожного мониторинга уровня глюкозы).</t>
  </si>
  <si>
    <t>32.50.50.190-00001090</t>
  </si>
  <si>
    <t>ОБЩЕСТВО С ОГРАНИЧЕННОЙ ОТВЕТСТВЕННОСТЬЮ "ГРУППА МЕДИАЛАЙН"</t>
  </si>
  <si>
    <t>Медиалайн</t>
  </si>
  <si>
    <t>"54027022305240000140001"</t>
  </si>
  <si>
    <t>ГОСУДАРСТВЕННОЕ ПРЕДПРИЯТИЕ КАЛУЖСКОЙ ОБЛАСТИ "КАЛУГАФАРМАЦИЯ"</t>
  </si>
  <si>
    <t>Калужская область</t>
  </si>
  <si>
    <t>"32313061838"</t>
  </si>
  <si>
    <t>Поставка расходных материалов (Датчик FreeStyleLibre системы Flash мониторинга глюкозы FreeStyleLibre)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суда.</t>
  </si>
  <si>
    <t>Лот №1476 Поставка расходных материалов (Датчик FreeStyleLibre системы Flash мониторинга глюкозы FreeStyleLibre)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суда.</t>
  </si>
  <si>
    <t>32.50.50.190</t>
  </si>
  <si>
    <t>'2830001052624000003'</t>
  </si>
  <si>
    <t>ГОСУДАРСТВЕННОЕ БЮДЖЕТНОЕ УЧРЕЖДЕНИЕ ЗДРАВООХРАНЕНИЯ НЕНЕЦКОГО АВТОНОМНОГО ОКРУГА "НЕНЕЦКАЯ ОКРУЖНАЯ БОЛЬНИЦА ИМЕНИ Р.И.БАТМАНОВОЙ"</t>
  </si>
  <si>
    <t>Ямало - Ненецкий АО</t>
  </si>
  <si>
    <t>'0184200000623001449'</t>
  </si>
  <si>
    <t>Протокол подведения итогов определения поставщика (подрядчика, исполнителя) № ИЭА1 от 22.12.2023</t>
  </si>
  <si>
    <t>Поставка датчиков системы чрескожного мониторинга уровня глюкозы</t>
  </si>
  <si>
    <t>Датчик FreeStyle Libre системы Flash мониторинга глюкозы FreeStyle Libre</t>
  </si>
  <si>
    <t>'2263300425324000004'</t>
  </si>
  <si>
    <t>ГОСУДАРСТВЕННОЕ БЮДЖЕТНОЕ УЧРЕЖДЕНИЕ ЗДРАВООХРАНЕНИЯ СТАВРОПОЛЬСКОГО КРАЯ "КРАЕВОЙ ЭНДОКРИНОЛОГИЧЕСКИЙ ДИСПАНСЕР"</t>
  </si>
  <si>
    <t>Ставропольский край</t>
  </si>
  <si>
    <t>'0121200004723001690'</t>
  </si>
  <si>
    <t>Протокол подведения итогов определения поставщика (подрядчика, исполнителя) № ИЭА1 от 19.12.2023;Протокол подведения итогов определения поставщика (подрядчика, исполнителя) № 0121200004723001690-3-103307 от 19.12.2023</t>
  </si>
  <si>
    <t>"0121200004723001690"</t>
  </si>
  <si>
    <t>поставка датчика системы мониторинга глюкозы</t>
  </si>
  <si>
    <t>Датчик системы чрескожного мони-торинга уровня глюкозы FreeStyle Libre</t>
  </si>
  <si>
    <t>'2366603133524000023'</t>
  </si>
  <si>
    <t>БЮДЖЕТНОЕ УЧРЕЖДЕНИЕ ЗДРАВООХРАНЕНИЯ ВОРОНЕЖСКОЙ ОБЛАСТИ "ВОРОНЕЖСКАЯ ОБЛАСТНАЯ ДЕТСКАЯ КЛИНИЧЕСКАЯ БОЛЬНИЦА №1"</t>
  </si>
  <si>
    <t>Воронежская область</t>
  </si>
  <si>
    <t>'0131200001023015196'</t>
  </si>
  <si>
    <t>Протокол подведения итогов определения поставщика (подрядчика, исполнителя) № ИЭА1 от 25.12.2023;ИЭА1</t>
  </si>
  <si>
    <t>ЭА.2023.15196</t>
  </si>
  <si>
    <t>2023-16005//.Поставка датчиков системы чрескожного мониторинга уровня глюкозы.</t>
  </si>
  <si>
    <t>Датчик системы чрескожного мониторинга уровня глюкозы  Датчик FreeStyle Libre системы Flash мониторинга глюкозы FreeStyle Libre</t>
  </si>
  <si>
    <t>ОБЩЕСТВО С ОГРАНИЧЕННОЙ ОТВЕТСТВЕННОСТЬЮ "КАРДЕЯ"</t>
  </si>
  <si>
    <t>'2450102465924000025'</t>
  </si>
  <si>
    <t>ГОСУДАРСТВЕННОЕ БЮДЖЕТНОЕ УЧРЕЖДЕНИЕ "КУРГАНСКАЯ ОБЛАСТНАЯ ДЕТСКАЯ КЛИНИЧЕСКАЯ БОЛЬНИЦА ИМЕНИ КРАСНОГО КРЕСТА"</t>
  </si>
  <si>
    <t>Курганская область</t>
  </si>
  <si>
    <t>Запрос котировок в электронной форме</t>
  </si>
  <si>
    <t>'0843500000223008323'</t>
  </si>
  <si>
    <t>Протокол подведения итогов определения поставщика (подрядчика, исполнителя) № ИЗК1 от 28.12.2023;ИЗК1</t>
  </si>
  <si>
    <t>"0843500000223008323"</t>
  </si>
  <si>
    <t>Поставка медицинского изделия (датчик системы чрескожного мониторинга уровня глюкозы)</t>
  </si>
  <si>
    <t>"54027022305240000750001"</t>
  </si>
  <si>
    <t>"32313095997"</t>
  </si>
  <si>
    <t>Поставка расходных материалов (Датчик FreeStyle Libre системы Flash мониторинга глюкозы FreeStyle 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врачебной комиссии.</t>
  </si>
  <si>
    <t>Лот №1570 Поставка расходных материалов (Датчик FreeStyle Libre системы Flash мониторинга глюкозы FreeStyle Libre) для системы непрерывного мониторирования глюкозы для обеспечения льготных категорий граждан Калужской области по торговому наименованию по решению врачебной комиссии.</t>
  </si>
  <si>
    <t>'2666001041524000009'</t>
  </si>
  <si>
    <t>МИНИСТЕРСТВО ЗДРАВООХРАНЕНИЯ СВЕРДЛОВСКОЙ ОБЛАСТИ</t>
  </si>
  <si>
    <t>Свердловская область</t>
  </si>
  <si>
    <t>'0162200011823003507'</t>
  </si>
  <si>
    <t>Протокол подведения итогов определения поставщика (подрядчика, исполнителя) № ИЭА1 от 27.12.2023;ИЭА1</t>
  </si>
  <si>
    <t>"01622000118230035070001"</t>
  </si>
  <si>
    <t>Датчик системы чрескожного мониторинга уровня глюкозы</t>
  </si>
  <si>
    <t>Система Flash мониторинга глюкозы FreeStyle Libre 2.Эбботт Дайабитиз Кэе Лтд. (FreeStyle Libre) Ирландия; Соединенное Королевство</t>
  </si>
  <si>
    <t>ОБЩЕСТВО С ОГРАНИЧЕННОЙ ОТВЕТСТВЕННОСТЬЮ  "ПРОМЕД"</t>
  </si>
  <si>
    <t>'2860103583824000096'</t>
  </si>
  <si>
    <t>КАЗЕННОЕ УЧРЕЖДЕНИЕ ХАНТЫ-МАНСИЙСКОГО АВТОНОМНОГО ОКРУГА - ЮГРЫ "ЦЕНТР ЛЕКАРСТВЕННОГО МОНИТОРИНГА"</t>
  </si>
  <si>
    <t>Ханты - Мансийский АО</t>
  </si>
  <si>
    <t>'0387200009123007006'</t>
  </si>
  <si>
    <t>Протокол подведения итогов определения поставщика (подрядчика, исполнителя) № ИЭА1 от 26.12.2023;Протокол подведения итогов определения поставщика (подрядчика, исполнителя) № 0387200009123007006-3 от 26.12.2023</t>
  </si>
  <si>
    <t>Поставка медицинского изделия для обеспечения пациентов с сахарным диабетом на территории Ханты-Мансийского автономного округа – Югры в рамках реализации мероприятия 2.4. государственной программы Ханты-Мансийского автономного округа - Югры "Современное здравоохранение" на 2024 год</t>
  </si>
  <si>
    <t>Датчик системы чрескожного мониторинга уровня глюкозы "Система Flash мониторинга глюкозы FreeStyle Libre2"</t>
  </si>
  <si>
    <t>ОБЩЕСТВО С ОГРАНИЧЕННОЙ ОТВЕТСТВЕННОСТЬЮ "СЕВЕРМЕДПРОФИ"</t>
  </si>
  <si>
    <t>'2540215512324000052'</t>
  </si>
  <si>
    <t>ГОСУДАРСТВЕННОЕ КАЗЕННОЕ УЧРЕЖДЕНИЕ НОВОСИБИРСКОЙ ОБЛАСТИ "НОВОСИБОБЛФАРМ"</t>
  </si>
  <si>
    <t>Новосибирская область</t>
  </si>
  <si>
    <t>'0351200003323002475'</t>
  </si>
  <si>
    <t>Протокол подведения итогов определения поставщика (подрядчика, исполнителя) № ИЗК1 от 10.01.2024;Протокол подведения итогов определения поставщика (подрядчика, исполнителя) № 0351200003323002475-0 от 10.01.2024</t>
  </si>
  <si>
    <t>24.2475-2023 ЗК РП 816-рп</t>
  </si>
  <si>
    <t>Поставка медицинских изделий: Передатчик имплантируемой системы мониторинга уровня глюкозы, Датчик системы чрескожного мониторинга уровня глюкозы</t>
  </si>
  <si>
    <t xml:space="preserve">Датчик системы чрескожного мониторинга уровня глюкозы </t>
  </si>
  <si>
    <t>АКЦИОНЕРНОЕ ОБЩЕСТВО "ФАРМСТАНДАРТ"</t>
  </si>
  <si>
    <t>Фармстандарт</t>
  </si>
  <si>
    <t>'2602705399524000018'</t>
  </si>
  <si>
    <t>ГОСУДАРСТВЕННОЕ БЮДЖЕТНОЕ УЧРЕЖДЕНИЕ ЗДРАВООХРАНЕНИЯ ПСКОВСКОЙ ОБЛАСТИ "ДЕТСКАЯ ОБЛАСТНАЯ КЛИНИЧЕСКАЯ БОЛЬНИЦА"</t>
  </si>
  <si>
    <t>Псковская область</t>
  </si>
  <si>
    <t>'0357200023023000205'</t>
  </si>
  <si>
    <t>Протокол подведения итогов определения поставщика (подрядчика, исполнителя) № ИЭА1 от 28.12.2023</t>
  </si>
  <si>
    <t>23А-205</t>
  </si>
  <si>
    <t>Поставка медицинских изделий ( датчики системы чрескожного мониторинга уровня глюкозы)-2</t>
  </si>
  <si>
    <t xml:space="preserve">Датчик системы чрескожного мониторинга уровня глюкозы (сенсор) </t>
  </si>
  <si>
    <t>'2344419822024000122'</t>
  </si>
  <si>
    <t>ГОСУДАРСТВЕННОЕ КАЗЕННОЕ УЧРЕЖДЕНИЕ "ДИРЕКЦИЯ ПО ОБЕСПЕЧЕНИЮ ДЕЯТЕЛЬНОСТИ ГОСУДАРСТВЕННЫХ УЧРЕЖДЕНИЙ ЗДРАВООХРАНЕНИЯ ВОЛГОГРАДСКОЙ ОБЛАСТИ"</t>
  </si>
  <si>
    <t>Волгоградская область</t>
  </si>
  <si>
    <t>'0329200062223010674'</t>
  </si>
  <si>
    <t>Протокол подведения итогов определения поставщика (подрядчика, исполнителя) № ИЭА1 от 11.01.2024;44-ФЗ от 05.04.2013 Статья 93 Часть 1 п.25</t>
  </si>
  <si>
    <t>Поставка медицинских изделий (датчики) (РЛ)</t>
  </si>
  <si>
    <t>Датчик FreeStyle Libre системы Flash мониторинга глюкозы FreeStyle Libre №1 Наименование производителя и страны происхождения Товара: Соединенное Королевство/ Ирландия</t>
  </si>
  <si>
    <t>АКЦИОНЕРНОЕ ОБЩЕСТВО "НОВГОРОДФАРМАЦИЯ"</t>
  </si>
  <si>
    <t>'2027401947624000089'</t>
  </si>
  <si>
    <t>ГОСУДАРСТВЕННОЕ БЮДЖЕТНОЕ УЧРЕЖДЕНИЕ ЗДРАВООХРАНЕНИЯ РЕСПУБЛИКАНСКАЯ КЛИНИЧЕСКАЯ БОЛЬНИЦА ИМЕНИ Г.Г.КУВАТОВА</t>
  </si>
  <si>
    <t>Республика Башкортостан</t>
  </si>
  <si>
    <t>Закупка, осуществляемая в соответствии с частью 12 статьи 93 Закона № 44-ФЗ</t>
  </si>
  <si>
    <t>'0301000000224000015'</t>
  </si>
  <si>
    <t>Протокол подведения итогов определения поставщика № ИЗТ1 от 18.01.2024;Протокол подведения итогов определения поставщика № 0301000000224000015-4-15604477 от 18.01.2024</t>
  </si>
  <si>
    <t>"0301000000224000015"</t>
  </si>
  <si>
    <t>Поставка изделий медицинского назначения (Датчик системы чрескожного мониторинга уровня глюкозы)</t>
  </si>
  <si>
    <t>32.50.50.190-00001090 Датчик системы чрескожного мониторинга уровня глюкозы  Датчик FreeStyle Libre системы Flash мониторинга глюкозы FreeStyle Libre, Соединенное Королевство  РЗН 2018/6764  от 11.12.2020г.</t>
  </si>
  <si>
    <t>ГЕРАСИМОВ ВАЛЕРЬЕВИЧ ВИТАЛИЙ</t>
  </si>
  <si>
    <t>'2230903913425000452'</t>
  </si>
  <si>
    <t>ГОСУДАРСТВЕННОЕ АВТОНОМНОЕ УЧРЕЖДЕНИЕ ЗДРАВООХРАНЕНИЯ СВЕРДЛОВСКОЙ ОБЛАСТИ "ГОРОДСКАЯ БОЛЬНИЦА ГОРОД КАМЕНСК-УРАЛЬСКИЙ"</t>
  </si>
  <si>
    <t>'0318200028125000430'</t>
  </si>
  <si>
    <t>Протокол подведения итогов определения поставщика (подрядчика, исполнителя) № ИЭА1 от 15.01.2024;ИЭА1</t>
  </si>
  <si>
    <t>"03182000281250004300001"</t>
  </si>
  <si>
    <t>Поставка изделий медицинского назначения.</t>
  </si>
  <si>
    <t>'1770500425424000028'</t>
  </si>
  <si>
    <t>ФЕДЕРАЛЬНОЕ ГОСУДАРСТВЕННОЕ БЮДЖЕТНОЕ УЧРЕЖДЕНИЕ НАУКИ ФЕДЕРАЛЬНЫЙ ИССЛЕДОВАТЕЛЬСКИЙ ЦЕНТР ПИТАНИЯ, БИОТЕХНОЛОГИИ И БЕЗОПАСНОСТИ ПИЩИ</t>
  </si>
  <si>
    <t>Москва</t>
  </si>
  <si>
    <t>'0373100025723000408'</t>
  </si>
  <si>
    <t>Протокол подведения итогов определения поставщика (подрядчика, исполнителя) № ИЭА1 от 17.01.2024</t>
  </si>
  <si>
    <t>257-23-408-э</t>
  </si>
  <si>
    <t>Поставка медицинских изделий (датчиков системы чрескожного мониторинга уровня глюкозы)</t>
  </si>
  <si>
    <t>Датчик FreeStyleLibre системы Flash мониторинга глюкозы FreeStyleLibre</t>
  </si>
  <si>
    <t>КИРЬЯНОВ ВИКТОРОВИЧ РОМАН</t>
  </si>
  <si>
    <t>Кирьянов</t>
  </si>
  <si>
    <t>'2540215512324000155'</t>
  </si>
  <si>
    <t>'0351200003324000099'</t>
  </si>
  <si>
    <t>Протокол подведения итогов определения поставщика (подрядчика, исполнителя) № ИЗК1 от 24.01.2024;Протокол подведения итогов определения поставщика (подрядчика, исполнителя) № 0351200003324000099-0 от 24.01.2024</t>
  </si>
  <si>
    <t>24.0099-2024 ЗК РП 890-рп</t>
  </si>
  <si>
    <t>'2402712264524000106'</t>
  </si>
  <si>
    <t>ГОСУДАРСТВЕННОЕ КАЗЕННОЕ УЧРЕЖДЕНИЕ КАЛУЖСКОЙ ОБЛАСТИ "ЦЕНТР ОРГАНИЗАЦИИ ЗАКУПОК В СФЕРЕ ЗДРАВООХРАНЕНИЯ"</t>
  </si>
  <si>
    <t>137-гп-рл/24</t>
  </si>
  <si>
    <t>Поставка медицинских изделий</t>
  </si>
  <si>
    <t>Датчик Фристайл либре/freestyle libre системы fllash мониторинга глюкозы</t>
  </si>
  <si>
    <t>32.50.50.190-00001089</t>
  </si>
  <si>
    <t>'2771433860924006849'</t>
  </si>
  <si>
    <t>ГОСУДАРСТВЕННОЕ БЮДЖЕТНОЕ УЧРЕЖДЕНИЕ ЗДРАВООХРАНЕНИЯ ГОРОДА МОСКВЫ "ГОРОДСКАЯ КЛИНИЧЕСКАЯ БОЛЬНИЦА ИМЕНИ Д.Д. ПЛЕТНЁВА ДЕПАРТАМЕНТА ЗДРАВООХРАНЕНИЯ ГОРОДА МОСКВЫ"</t>
  </si>
  <si>
    <t>'0873200009824001803'</t>
  </si>
  <si>
    <t>Протокол подведения итогов определения поставщика (подрядчика, исполнителя) № ИЗК1 от 29.01.2024;0373200010824000029-4-15613518</t>
  </si>
  <si>
    <t>0029-ЗК/24</t>
  </si>
  <si>
    <t>Электронный запрос котировок на поставку медицинских изделий (система мониторинга глюкозы) для ГБУЗ "ГКБ им. Д.Д. Плетнёва ДЗМ"</t>
  </si>
  <si>
    <t>Система чрескожного мониторинга уровня глюкозы</t>
  </si>
  <si>
    <t>26.60.12.129-00000080</t>
  </si>
  <si>
    <t>ОБЩЕСТВО С ОГРАНИЧЕННОЙ ОТВЕТСТВЕННОСТЬЮ "ЛУЧФАРМ М"</t>
  </si>
  <si>
    <t>'2602705399524000032'</t>
  </si>
  <si>
    <t>'0157200000323001468'</t>
  </si>
  <si>
    <t>1651-А-ГЗ</t>
  </si>
  <si>
    <t>В соответствии с Контрактом Поставщик обязуется в порядке и сроки, предусмотренные Контрактом, осуществить поставку медицинских изделий (датчики системы чрескожного мониторинга уровня глюкозы) (код ОКПД2: 32.50.50.190;) (далее - Товар) в соответствии со Спецификацией (Приложение N 1 к Контракту), а Заказчик обязуется в порядке и сроки, предусмотренные Контрактом, принять и оплатить поставленный Товар</t>
  </si>
  <si>
    <t xml:space="preserve">Датчик системы чрескожного мониторинга уровня глюкозыДатчик системы чрескожного мониторинга уровня глюкозы (сенсор) (Датчик FreeStyle Libre системы Flash мониторинга глюкозы FreeStyle Libre №1) </t>
  </si>
  <si>
    <t>'2100104678624000027'</t>
  </si>
  <si>
    <t>ГОСУДАРСТВЕННОЕ КАЗЁННОЕ УЧРЕЖДЕНИЕ РЕСПУБЛИКИ КАРЕЛИЯ "ЦЕНТР БУХГАЛТЕРСКОГО УЧЁТА И ОРГАНИЗАЦИИ ЗАКУПОК ПРИ МИНИСТЕРСТВЕ ЗДРАВООХРАНЕНИЯ РЕСПУБЛИКИ КАРЕЛИЯ"</t>
  </si>
  <si>
    <t>Республика Карелия</t>
  </si>
  <si>
    <t>'0306200010224000030'</t>
  </si>
  <si>
    <t>Протокол подведения итогов определения поставщика (подрядчика, исполнителя) № ИЗК1 от 30.01.2024</t>
  </si>
  <si>
    <t>"0306200010224000030"</t>
  </si>
  <si>
    <t>Поставка Датчиков системы чрескожного мониторинга уровня глюкозы (FreeStyle Libre)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2024 год (для социального обеспечения отдельных категорий граждан лекарственными препаратами)</t>
  </si>
  <si>
    <t>2410117335024000021'</t>
  </si>
  <si>
    <t>ГОСУДАРСТВЕННОЕ КАЗЕННОЕ УЧРЕЖДЕНИЕ "КАМЧАТСКИЙ КРАЕВОЙ ФИНАНСОВО-АНАЛИТИЧЕСКИЙ ЦЕНТР В СФЕРЕ ЗДРАВООХРАНЕНИЯ"</t>
  </si>
  <si>
    <t>Камчатский край</t>
  </si>
  <si>
    <t>'0338200013924000002'</t>
  </si>
  <si>
    <t>Протокол подведения итогов определения поставщика (подрядчика, исполнителя) № ИЭА1 от 24.01.2024</t>
  </si>
  <si>
    <t>"0338200013924000002"</t>
  </si>
  <si>
    <t>Поставка датчиков системы чрескожного мониторинга уровня глюкозы для обеспечения детей с сахарным диабетом 1 типа в возрасте от 2-х до 4-х лет в целях их социального обеспечения на 2024 год</t>
  </si>
  <si>
    <t>Датчик системы чрескожного мониторинга уровня глюкозы/Система Flash мониторинга глюкозы FreeStyle Libre</t>
  </si>
  <si>
    <t>'2165901366024000110'</t>
  </si>
  <si>
    <t>ГОСУДАРСТВЕННОЕ АВТОНОМНОЕ УЧРЕЖДЕНИЕ ЗДРАВООХРАНЕНИЯ "РЕСПУБЛИКАНСКАЯ КЛИНИЧЕСКАЯ БОЛЬНИЦА МИНИСТЕРСТВА ЗДРАВООХРАНЕНИЯ РЕСПУБЛИКИ ТАТАРСТАН"</t>
  </si>
  <si>
    <t>Республика Татарстан</t>
  </si>
  <si>
    <t>'0711200011023000664'</t>
  </si>
  <si>
    <t>Протокол подведения итогов определения поставщика (подрядчика, исполнителя) № ИЭА1 от 25.01.2024; Протокол подведения итогов определения поставщика (подрядчика, исполнителя) № ИЭА1 от 25.01.2024</t>
  </si>
  <si>
    <t>112-164/24</t>
  </si>
  <si>
    <t>Поставка расходных материалов для оказания высокотехнологичной медицинской помощи для ГАУЗ "РКБ МЗ РТ" на 2024г.</t>
  </si>
  <si>
    <t xml:space="preserve">Датчик системы чрескожного мониторинга уровня глюкозы /Система Flash мониторинга глюкозы FreeStyle Libre </t>
  </si>
  <si>
    <t>'2502406865624000129'</t>
  </si>
  <si>
    <t>ГОСУДАРСТВЕННОЕ КАЗЕННОЕ УЧРЕЖДЕНИЕ МОСКОВСКОЙ ОБЛАСТИ "ДИРЕКЦИЯ ЕДИНОГО ЗАКАЗЧИКА МИНИСТЕРСТВА ЗДРАВООХРАНЕНИЯ МОСКОВСКОЙ ОБЛАСТИ"</t>
  </si>
  <si>
    <t>Московская область</t>
  </si>
  <si>
    <t>'0348200081024000063'</t>
  </si>
  <si>
    <t>Протокол подведения итогов определения поставщика (подрядчика, исполнителя) № ИЭА1 от 26.01.2024;Закупка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</si>
  <si>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1.3)</t>
  </si>
  <si>
    <t>Система Flash мониторинга глюкозы FreeStyle Libre 2</t>
  </si>
  <si>
    <t>'2402712264524000161'</t>
  </si>
  <si>
    <t>160-гп-сд/24</t>
  </si>
  <si>
    <t>Датчик Фристайл либре/freestyle libre системы flash мониторинга глюкозы</t>
  </si>
  <si>
    <t>'2502406865624000141'</t>
  </si>
  <si>
    <t>'0348200081024000062'</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</si>
  <si>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1.2)</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</si>
  <si>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достигших 18-летнего возраста и старше, страдающих сахарным диабетом 1 типа, имеющих место жительства в Московской области, медицинских организаций государственной системы здравоохранения Московской области (лот 1.1)</t>
  </si>
  <si>
    <t>'2150102475924000005'</t>
  </si>
  <si>
    <t>ГОСУДАРСТВЕННОЕ БЮДЖЕТНОЕ УЧРЕЖДЕНИЕ ЗДРАВООХРАНЕНИЯ "РЕСПУБЛИКАНСКИЙ    ЭНДОКРИНОЛОГИЧЕСКИЙ  ДИСПАНСЕР" МИНИСТЕРСТВА ЗДРАВООХРАНЕНИЯ РЕСПУБЛИКИ СЕВЕРНАЯ ОСЕТИЯ  - АЛАНИЯ</t>
  </si>
  <si>
    <t>Республика Северная Осетия Алания</t>
  </si>
  <si>
    <t>'0310200010224000003'</t>
  </si>
  <si>
    <t>Протокол подведения итогов определения поставщика № № ИЗТ1 от 02.02.2024</t>
  </si>
  <si>
    <t>Реализация мероприятий по обеспечению детей с сахарным диабетом 1 типа в возрасте от 4-х до 17 лет включительно, системами непрерывного мониторинга FreeStyle Libre 2,с целью социального обеспечения граждан</t>
  </si>
  <si>
    <t>Датчик системы Flash - мониторинга глюкозы FreeStyle Libre 2</t>
  </si>
  <si>
    <t>32.50.50.190-00002929</t>
  </si>
  <si>
    <t>'2150102475924000006'</t>
  </si>
  <si>
    <t>'0310200010224000002'</t>
  </si>
  <si>
    <t>Реализация мероприятий по обеспечению детей с сахарным диабетом 1 типа в возрасте от 4-х до 17 лет включительно, системами непрерывного мониторинга FreeStyle Libre 2, с целью социального обеспечения граждан</t>
  </si>
  <si>
    <t>'2710700631124000113'</t>
  </si>
  <si>
    <t>МИНИСТЕРСТВО ЗДРАВООХРАНЕНИЯ ТУЛЬСКОЙ ОБЛАСТИ</t>
  </si>
  <si>
    <t>Тульская область</t>
  </si>
  <si>
    <t>'0366200035623008789'</t>
  </si>
  <si>
    <t>Протокол подведения итогов определения поставщика (подрядчика, исполнителя) № ИЭА1 от 24.01.2024;Протокол подведения итогов определения поставщика (подрядчика, исполнителя) № 0366200035623008789-3 от 24.01.2024</t>
  </si>
  <si>
    <t>2024.00078</t>
  </si>
  <si>
    <t>Централизованная поставка медицинских изделий (датчик системы чрескожного мониторинга уровня глюкозы) для льготного обеспечения граждан по группам населения и категориям заболеваний (сахарный диабет)</t>
  </si>
  <si>
    <t>ОБЩЕСТВО С ОГРАНИЧЕННОЙ ОТВЕТСТВЕННОСТЬЮ "ИРВИН"</t>
  </si>
  <si>
    <t>Ирвин</t>
  </si>
  <si>
    <t>'2502406865624000188'</t>
  </si>
  <si>
    <t>'0348200081024000111'</t>
  </si>
  <si>
    <t>Протокол подведения итогов определения поставщика (подрядчика, исполнителя) № ИЭА1 от 31.01.2024;44-ФЗ от 05.04.2013 г.</t>
  </si>
  <si>
    <t>"0348200081024000111"</t>
  </si>
  <si>
    <t>Поставка систем непрерывного мониторинга глюкозы для детей с сахарным диабетом 1 типа в возрасте от 4-х до 17-ти лет (Р-3.3, лот 4)</t>
  </si>
  <si>
    <t>Поставка систем непрерывного мониторинга глюкозы для детей с сахарным диабетом 1 типа в возрасте от 4-х до 17-ти лет (Р-3.3, лот 2)</t>
  </si>
  <si>
    <t>Поставка систем непрерывного мониторинга глюкозы для детей с сахарным диабетом 1 типа в возрасте от 4-х до 17-ти лет (Р-3.3, лот 3)</t>
  </si>
  <si>
    <t>Поставка систем непрерывного мониторинга глюкозы для детей с сахарным диабетом 1 типа в возрасте от 4-х до 17-ти лет (Р-3.3, лот 1)</t>
  </si>
  <si>
    <t>'2502406865624000190'</t>
  </si>
  <si>
    <t>'0348200081024000112'</t>
  </si>
  <si>
    <t>Поставка систем непрерывного мониторинга глюкозы для детей с сахарным диабетом 1 типа в возрасте от 4-х до 17-ти лет (Р-3.3, лот 5)</t>
  </si>
  <si>
    <t>'2100104678624000061'</t>
  </si>
  <si>
    <t>'0306200010224000031'</t>
  </si>
  <si>
    <t>Протокол подведения итогов определения поставщика (подрядчика, исполнителя) № ИЭА1 от 31.01.2024</t>
  </si>
  <si>
    <t>Поставка Датчиков системы чрескожного мониторинга уровня глюкозы (FreeStyle Libre), в рамках федерального проекта «Борьба с сахарным диабетом» на 2024 год (для социального обеспечения отдельных категорий граждан лекарственными препаратами)</t>
  </si>
  <si>
    <t>'2183502772724000092'</t>
  </si>
  <si>
    <t>БЮДЖЕТНОЕ УЧРЕЖДЕНИЕ ЗДРАВООХРАНЕНИЯ УДМУРТСКОЙ РЕСПУБЛИКИ "РЕСПУБЛИКАНСКАЯ ДЕТСКАЯ КЛИНИЧЕСКАЯ БОЛЬНИЦА МИНИСТЕРСТВА ЗДРАВООХРАНЕНИЯ УДМУРТСКОЙ РЕСПУБЛИКИ"</t>
  </si>
  <si>
    <t>Республика Удмуртия</t>
  </si>
  <si>
    <t>'0306200010223000887'</t>
  </si>
  <si>
    <t>91/ПОСТ</t>
  </si>
  <si>
    <t>Электрод игольчатый системы чрескожного мониторинга уровня глюкозы в интерстициальной жидкости</t>
  </si>
  <si>
    <t>ГОСУДАРСТВЕННОЕ УНИТАРНОЕ ПРЕДПРИЯТИЕ УДМУРТСКОЙ РЕСПУБЛИКИ "ФАРМАЦИЯ"</t>
  </si>
  <si>
    <t>'2910201286924000113'</t>
  </si>
  <si>
    <t>МИНИСТЕРСТВО ЗДРАВООХРАНЕНИЯ РЕСПУБЛИКИ КРЫМ</t>
  </si>
  <si>
    <t>Республика Крым</t>
  </si>
  <si>
    <t>'0175200000424000022'</t>
  </si>
  <si>
    <t>Протокол подведения итогов определения поставщика (подрядчика, исполнителя) № ИЭА1 от 05.02.2024</t>
  </si>
  <si>
    <t>Поставка медицинских изделий "Датчик системы чрескожного мониторинга уровня глюкозы"</t>
  </si>
  <si>
    <t xml:space="preserve">Датчик системы чрескожного мониторинга уровня глюкозы (Датчик FreeStyleLibre системы Flash мониторинга глюкозы FreeStyleLibre) </t>
  </si>
  <si>
    <t>ОБЩЕСТВО С ОГРАНИЧЕННОЙ ОТВЕТСТВЕННОСТЬЮ "СКАНДОР"</t>
  </si>
  <si>
    <t>'2330200857024000184'</t>
  </si>
  <si>
    <t>ГОСУДАРСТВЕННОЕ БЮДЖЕТНОЕ УЧРЕЖДЕНИЕ ЗДРАВООХРАНЕНИЯ ВЛАДИМИРСКОЙ ОБЛАСТИ "ОБЛАСТНАЯ КЛИНИЧЕСКАЯ БОЛЬНИЦА"</t>
  </si>
  <si>
    <t>Владимирская область</t>
  </si>
  <si>
    <t>'0128200000124000101'</t>
  </si>
  <si>
    <t>Протокол подведения итогов определения поставщика (подрядчика, исполнителя) № ИЭА2 от 08.02.2024; № 0128200000124000101 от 08.02.2024</t>
  </si>
  <si>
    <t>Поставка расходного материала к индивидуальному инсулиновому дозатору</t>
  </si>
  <si>
    <t xml:space="preserve">Датчик FreeStyie Libre системы Flash мониторинга глюкозы FreeStyle Libre). Производитель:             "Эбботт Дайабитиз Кэе Лтд." Соединенное Королевство Великобритании и Северной Ирландии;                       Ирландия </t>
  </si>
  <si>
    <t>АКЦИОНЕРНОЕ ОБЩЕСТВО "ОЛЬВИЯ"</t>
  </si>
  <si>
    <t xml:space="preserve">Сканер Freestyle Libre   Сканер Freestyle Libre системы Flash мониторинга глюкозы FreeStyle Libre с принадлежностями. Производитель: "Эбботт Дайабитиз Кэе Лтд." Китайская Народная Республика;                       Польша;                        </t>
  </si>
  <si>
    <t>32.50.50.190-00000725</t>
  </si>
  <si>
    <t>'2366100688924000126'</t>
  </si>
  <si>
    <t>БЮДЖЕТНОЕ УЧРЕЖДЕНИЕ ЗДРАВООХРАНЕНИЯ ВОРОНЕЖСКОЙ ОБЛАСТИ "ВОРОНЕЖСКАЯ ГОРОДСКАЯ КЛИНИЧЕСКАЯ БОЛЬНИЦА СКОРОЙ МЕДИЦИНСКОЙ ПОМОЩИ № 10"</t>
  </si>
  <si>
    <t>'0131200001024000190'</t>
  </si>
  <si>
    <t>Протокол подведения итогов определения поставщика (подрядчика, исполнителя) № ИЭА1 от 09.02.2024;ИЭА1</t>
  </si>
  <si>
    <t>Ф.2024.00145-ЭА</t>
  </si>
  <si>
    <t>2024-00145//.Поставка медицинских изделий</t>
  </si>
  <si>
    <t>Датчик системы чрескожного мониторинга уровня глюкозы , FreeStyle Libre/ Система Flash мониторинга глюкозы FreeStyle Libre</t>
  </si>
  <si>
    <t>'2540215512324000531'</t>
  </si>
  <si>
    <t>'0351200003324000569'</t>
  </si>
  <si>
    <t>Протокол подведения итогов определения поставщика (подрядчика, исполнителя) № ИЗК1 от 16.02.2024;Протокол подведения итогов определения поставщика (подрядчика, исполнителя) № 0351200003324000569-0 от 16.02.2024</t>
  </si>
  <si>
    <t>24.0569-2024 ЗК НСГ:4-17</t>
  </si>
  <si>
    <t>Поставка медицинских изделий: Приемник (сканер) системы чрескожного мониторинга уровня глюкозы в интерстициальной жидкости</t>
  </si>
  <si>
    <t>Приемник (сканер) системы чрескожного мониторинга уровня глюкозы в интерстициальной жидкости</t>
  </si>
  <si>
    <t>26.60.12.129-00000255</t>
  </si>
  <si>
    <t>'2344419822024000259'</t>
  </si>
  <si>
    <t>'0329200062224000686'</t>
  </si>
  <si>
    <t>Протокол подведения итогов определения поставщика (подрядчика, исполнителя) № ИЗК1 от 20.02.2024;44-ФЗ от 05.04.2013 Статья 93 Часть 1 п.25</t>
  </si>
  <si>
    <t>ЗК-242/24ОБ</t>
  </si>
  <si>
    <t>Поставка медицинских изделий (электрод игольчатый системы чрескожного мониторинга уровня глюкозы в интерстициальной жидкости) (РЛ)</t>
  </si>
  <si>
    <t>Датчик FreeStyle Libre системы Flash мониторинга глюкозы FreeStyle Libre №1. Наименование производителя и страны происхождения Товара :  Соединенное Королевство/ Ирландия</t>
  </si>
  <si>
    <t>'1773304672124000035'</t>
  </si>
  <si>
    <t>ФЕДЕРАЛЬНОЕ БЮДЖЕТНОЕ УЧРЕЖДЕНИЕ "ЦЕНТРАЛЬНАЯ КЛИНИЧЕСКАЯ БОЛЬНИЦА ГРАЖДАНСКОЙ АВИАЦИИ"</t>
  </si>
  <si>
    <t>'0373100088124000019'</t>
  </si>
  <si>
    <t>Протокол подведения итогов определения поставщика (подрядчика, исполнителя) № ИЭА1 от 12.02.2024</t>
  </si>
  <si>
    <t>19-24-ЭА</t>
  </si>
  <si>
    <t>поставка медицинских расходных материалов</t>
  </si>
  <si>
    <t>Система Flash мониторинга глюкозы FreeStyle Libre</t>
  </si>
  <si>
    <t>'2391751525324000212'</t>
  </si>
  <si>
    <t>ГОСУДАРСТВЕННОЕ КАЗЕННОЕ УЧРЕЖДЕНИЕ "КАЛИНИНГРАДСКАЯ ОБЛАСТНАЯ ФАРМАЦЕВТИЧЕСКАЯ КОМПАНИЯ"</t>
  </si>
  <si>
    <t>Калининградская область</t>
  </si>
  <si>
    <t>'0335200014924000160'</t>
  </si>
  <si>
    <t>Протокол подведения итогов определения поставщика (подрядчика, исполнителя) № ИЭА1 от 13.02.2024</t>
  </si>
  <si>
    <t>на поставку медицинских изделий (датчик системы чрескожного мониторинга уровня глюкозы)</t>
  </si>
  <si>
    <t>'2165901171124000033'</t>
  </si>
  <si>
    <t>ГОСУДАРСТВЕННОЕ АВТОНОМНОЕ УЧРЕЖДЕНИЕ ЗДРАВООХРАНЕНИЯ "ДЕТСКАЯ РЕСПУБЛИКАНСКАЯ КЛИНИЧЕСКАЯ БОЛЬНИЦА МИНИСТЕРСТВА ЗДРАВООХРАНЕНИЯ РЕСПУБЛИКИ ТАТАРСТАН"</t>
  </si>
  <si>
    <t>'0711200015924000022'</t>
  </si>
  <si>
    <t>Протокол подведения итогов определения поставщика (подрядчика, исполнителя) № ИЭА1 от 16.02.2024</t>
  </si>
  <si>
    <t>2024.825057</t>
  </si>
  <si>
    <t>Поставка расходного материала для оказания медицинской помощи в ГАУЗ "ДРКБ МЗ РТ"</t>
  </si>
  <si>
    <t>Электрод игольчатый системы чрескожного мониторинга уровня глюкозы в интерстициальной жидкости. Система Flash мониторинга глюкозы FreeStyle Libre</t>
  </si>
  <si>
    <t>ОБЩЕСТВО С ОГРАНИЧЕННОЙ ОТВЕТСТВЕННОСТЬЮ "ОРТОПРАЙМ  СНГ"</t>
  </si>
  <si>
    <t>'2590410132224000069'</t>
  </si>
  <si>
    <t>ГОСУДАРСТВЕННОЕ БЮДЖЕТНОЕ УЧРЕЖДЕНИЕ ЗДРАВООХРАНЕНИЯ ПЕРМСКОГО КРАЯ "ГОРОДСКАЯ КЛИНИЧЕСКАЯ БОЛЬНИЦА № 1"</t>
  </si>
  <si>
    <t>Пермский край</t>
  </si>
  <si>
    <t>'0356300042224000041'</t>
  </si>
  <si>
    <t>Протокол подведения итогов определения поставщика № ИЗТ1 от 21.02.2024</t>
  </si>
  <si>
    <t>Поставка медицинских изделий (Электрод игольчатый системы чрескожного мониторинга уровня глюкозы в интерстициальной жидкости)</t>
  </si>
  <si>
    <t>'2502406865624000314'</t>
  </si>
  <si>
    <t>'0348200081024000253'</t>
  </si>
  <si>
    <t>Протокол подведения итогов определения поставщика (подрядчика, исполнителя) № ИЭА1 от 12.02.2024;44-ФЗ от 05.03.2013 г.</t>
  </si>
  <si>
    <t>Поставка систем непрерывного мониторинга глюкозы для детей с сахарным диабетом 1 типа в возрасте от 2-х до 4-х лет (Р-3.3)</t>
  </si>
  <si>
    <t>'2110148713524000105'</t>
  </si>
  <si>
    <t>ГОСУДАРСТВЕННОЕ БЮДЖЕТНОЕ УЧРЕЖДЕНИЕ ЗДРАВООХРАНЕНИЯ РЕСПУБЛИКИ КОМИ "КОМИ РЕСПУБЛИКАНСКАЯ КЛИНИЧЕСКАЯ БОЛЬНИЦА"</t>
  </si>
  <si>
    <t>Республика Коми</t>
  </si>
  <si>
    <t>'0307200022424000049'</t>
  </si>
  <si>
    <t>Протокол подведения итогов определения поставщика (подрядчика, исполнителя) № ИЭА1 от 14.02.2024</t>
  </si>
  <si>
    <t>ЭА-059к-24</t>
  </si>
  <si>
    <t>Поставка медицинских изделий (электрод игольчатый системы чрескожного мониторинга уровня глюкозы в интерстициальной жидкости) для отделения эндокринологии ГБУЗ РК «Коми республиканская клиническая больница» (ЭА-059к)</t>
  </si>
  <si>
    <t xml:space="preserve">Электрод игольчатый системы чрескожного мониторинга уровня глюкозы в интерстициальной жидкости / Датчик системы Flash - мониторинга глюкозы FreeStyle Libre 2 </t>
  </si>
  <si>
    <t>ОБЩЕСТВО С ОГРАНИЧЕННОЙ ОТВЕТСТВЕННОСТЬЮ "ТРИЕСТА"</t>
  </si>
  <si>
    <t>'2616800082024000506'</t>
  </si>
  <si>
    <t>КРАЕВОЕ ГОСУДАРСТВЕННОЕ БЮДЖЕТНОЕ УЧРЕЖДЕНИЕ ЗДРАВООХРАНЕНИЯ "КРАЕВАЯ КЛИНИЧЕСКАЯ БОЛЬНИЦА"</t>
  </si>
  <si>
    <t>Красноярский край</t>
  </si>
  <si>
    <t>'0358300280424000631'</t>
  </si>
  <si>
    <t>Протокол подведения итогов определения поставщика (подрядчика, исполнителя) № ИЗК1 от 22.02.2024</t>
  </si>
  <si>
    <t>К.36-24</t>
  </si>
  <si>
    <t>Запрос котировок в электронной форме №К.36 -24 на право заключения контракта на поставку медицинских изделий для эндокринологического отделения</t>
  </si>
  <si>
    <t>'2771433860924001846'</t>
  </si>
  <si>
    <t>ГОСУДАРСТВЕННОЕ КАЗЕННОЕ УЧРЕЖДЕНИЕ ГОРОДА МОСКВЫ "АГЕНТСТВО ПО ЗАКУПКАМ (КОНТРАКТНАЯ СЛУЖБА) ДЕПАРТАМЕНТА ЗДРАВООХРАНЕНИЯ ГОРОДА МОСКВЫ"</t>
  </si>
  <si>
    <t>'0173200001424000044'</t>
  </si>
  <si>
    <t>Протокол подведения итогов определения поставщика (подрядчика, исполнителя) № ИЭА1 от 14.02.2024;0173200001424000044-6-15634501</t>
  </si>
  <si>
    <t>123/2024-КСЕ</t>
  </si>
  <si>
    <t>Аукцион в электронной форме на поставку датчиков системы чрескожного мониторинга уровня глюкозы (ДТЧК2024-01)</t>
  </si>
  <si>
    <t>'2482500511024000106'</t>
  </si>
  <si>
    <t>ГОСУДАРСТВЕННОЕ УЧРЕЖДЕНИЕ ЗДРАВООХРАНЕНИЯ "ЛИПЕЦКАЯ ОБЛАСТНАЯ КЛИНИЧЕСКАЯ БОЛЬНИЦА"</t>
  </si>
  <si>
    <t>Липецкая область</t>
  </si>
  <si>
    <t>'0346200002824000066'</t>
  </si>
  <si>
    <t>Протокол подведения итогов определения поставщика (подрядчика, исполнителя) № ИЭА1 от 15.02.2024;0346200002824000066-2</t>
  </si>
  <si>
    <t>85ВМП</t>
  </si>
  <si>
    <t>1	Датчик FreeStyle Libre системы Flash мониторинга уровня глюкозы FreeStyle Libre.  Производитель: СОЕДИНЕННОЕ КОРОЛЕВСТВО ВЕЛИКОБРИТАНИИ И СЕВЕРНОЙ ИРЛАНДИИ, Место производства: ИРЛАНДИЯ	наличие 2	Совместимость со сканером FreeStyle Libre системы Flash мониторинга глюкозы FreeStyle Libre	наличие 3	Метод измерения уровня глюкозы	амперометрический электрохимический датчик 4	Максимальный срок службы датчика с момента эксплуатации, дней	14 5	Диапазон измерения датчиком уровня глюкозы:	х 5.1	нижняя граница, ммоль/л	2,2 5.2	верхняя граница, ммоль/л	27,8 6	Память датчика,  часов	8 7	Результаты измерения уровня глюкозы сохраняются	не реже 16 минут 8	Устойчивость датчика к воде 	IP27 9	Футляр датчика	наличие 10	Аппликатор датчика	наличие 2	Совместимость со сканером FreeStyle Libre системы Flash мониторинга глюкозы FreeStyle Libre	наличие 3	Метод измерения уровня глюкозы	амперометрический электрохимический датчик 4	Максимальный срок службы датчика с момента эксплуатации, дней	14 5	Диапазон измерения датчиком уровня глюкозы:	х 5.1	нижняя граница, ммоль/л	2,2 5.2	верхняя граница, ммоль/л	27,8 6	Память датчика,  часов	8 7	Результаты измерения уровня глюкозы сохраняются	не реже 16 минут 8	Устойчивость датчика к воде 	IP27 9	Футляр датчика	наличие 10	Аппликатор датчика	наличие</t>
  </si>
  <si>
    <t>'2860103583824000199'</t>
  </si>
  <si>
    <t>'0387200009124000431'</t>
  </si>
  <si>
    <t>Протокол подведения итогов определения поставщика (подрядчика, исполнителя) № ИЗК1 от 26.02.2024;Протокол подведения итогов определения поставщика (подрядчика, исполнителя) № 0387200009124000431-0 от 26.02.2024</t>
  </si>
  <si>
    <t>Поставка систем непрерывного мониторинга глюкозы для обеспечения детей, больных сахарным диабетом 1 типа в возрасте от 2 до 4 лет для нормального жизнеобеспечения на 2024 год.</t>
  </si>
  <si>
    <t>Комплект изделий чрескожного мониторинга уровня глюкозы в интерстициальной жидкости, электрохимический метод</t>
  </si>
  <si>
    <t>'2470000125424000351'</t>
  </si>
  <si>
    <t>ГОСУДАРСТВЕННОЕ БЮДЖЕТНОЕ УЧРЕЖДЕНИЕ ЗДРАВООХРАНЕНИЯ ЛЕНИНГРАДСКАЯ ОБЛАСТНАЯ КЛИНИЧЕСКАЯ БОЛЬНИЦА</t>
  </si>
  <si>
    <t>Ленинградская область</t>
  </si>
  <si>
    <t>'0345200004024000122'</t>
  </si>
  <si>
    <t>Протокол подведения итогов определения поставщика (подрядчика, исполнителя) № ИЭА1 от 19.02.2024;Статья 93, ч.1, п.25, Федерального закона №44-ФЗ от 05.04.2013. Итоговый протокол № 0345200004024000122-3 от 19.02.2024</t>
  </si>
  <si>
    <t>РТС.0345200004024000122</t>
  </si>
  <si>
    <t>Поставка датчиков системы чрескожного мониторинга уровня глюкозы для эндокринологического отделения ГБУЗ ЛОКБ (часть 4)</t>
  </si>
  <si>
    <t>Датчик системы чрескожного мониторинга уровня глюкозы/ Датчик FreeStyle Libre системы Flash мониторинга глюкозы /  Датчик системы Flash - мониторинга глюкозы FreeStyle Libre 2</t>
  </si>
  <si>
    <t>'3665802140224000267'</t>
  </si>
  <si>
    <t>ФЕДЕРАЛЬНОЕ ГОСУДАРСТВЕННОЕ БЮДЖЕТНОЕ ОБРАЗОВАТЕЛЬНОЕ УЧРЕЖДЕНИЕ ВЫСШЕГО ОБРАЗОВАНИЯ "ИРКУТСКИЙ ГОСУДАРСТВЕННЫЙ МЕДИЦИНСКИЙ УНИВЕРСИТЕТ" МИНИСТЕРСТВА ЗДРАВООХРАНЕНИЯ РОССИЙСКОЙ ФЕДЕРАЦИИ</t>
  </si>
  <si>
    <t>Иркутская область</t>
  </si>
  <si>
    <t>'0362300025124000299'</t>
  </si>
  <si>
    <t>Протокол подведения итогов определения поставщика № № ИЗТ1 от 27.02.2024</t>
  </si>
  <si>
    <t>'03623000251240002990001'</t>
  </si>
  <si>
    <t xml:space="preserve">Электрод игольчатый системы чрескожного мониторинга уровня глюкозы в интерстициальной жидкости/ Система Flash мониторинга глюкозы FreeStyle Libre 2 в составе: 1. Датчик FreeStyle Libre 2 - 1 шт. 2. Футляр датчика FreeStyle Libre 2 - 1 шт. 3. Аппликатор датчика FreeStyle Libre 2 - 1шт. 4. Инструкция по применению - 1 шт. 5. Приложение FreeStyle Libre 2 (при необходимости). 6. Программное обеспечение LibreView (при необходимости). 7. Приложение LibreLinkUp (при необходимости). </t>
  </si>
  <si>
    <t>'2720300024924000358'</t>
  </si>
  <si>
    <t>ГОСУДАРСТВЕННОЕ БЮДЖЕТНОЕ УЧРЕЖДЕНИЕ ЗДРАВООХРАНЕНИЯ ТЮМЕНСКОЙ ОБЛАСТИ "ОБЛАСТНАЯ КЛИНИЧЕСКАЯ БОЛЬНИЦА № 1"</t>
  </si>
  <si>
    <t>Тюменская область</t>
  </si>
  <si>
    <t>'0167200003424000506'</t>
  </si>
  <si>
    <t>Протокол подведения итогов определения поставщика (подрядчика, исполнителя) № ИЭА1 от 20.02.2024</t>
  </si>
  <si>
    <t>897РМ/24</t>
  </si>
  <si>
    <t>поставка медицинских изделий: датчик системы чрескожного мониторинга уровня глюкозы</t>
  </si>
  <si>
    <t>Датчик системы чрескожного мониторинга уровня глюкозы. Датчик FreeStyle Libre системы  Flash мониторинга глюкозы FreeStyle Libre</t>
  </si>
  <si>
    <t>ГАВШИКОВА ВАЛЕРИЕВНА НАТАЛЬЯ</t>
  </si>
  <si>
    <t>Диамарка</t>
  </si>
  <si>
    <t>'2056002077924000062'</t>
  </si>
  <si>
    <t>ГОСУДАРСТВЕННОЕ БЮДЖЕТНОЕ УЧРЕЖДЕНИЕ РЕСПУБЛИКИ ДАГЕСТАН "ДЕТСКАЯ РЕСПУБЛИКАНСКАЯ КЛИНИЧЕСКАЯ БОЛЬНИЦА ИМ.Н.М.КУРАЕВА"</t>
  </si>
  <si>
    <t>Республика Дагестан</t>
  </si>
  <si>
    <t>'0303200040324000065'</t>
  </si>
  <si>
    <t>Протокол подведения итогов определения поставщика (подрядчика, исполнителя) № ИЭА1 от 22.02.2024; Протокол подведения итогов определения поставщика (подрядчика, исполнителя) № ИЭА1 от 22.02.2024</t>
  </si>
  <si>
    <t>'03032000403240000650001'</t>
  </si>
  <si>
    <t>Поставка медицинского расходного материала</t>
  </si>
  <si>
    <t>Электрод игольчатый системы чрескожного мониторинга уровня глюкозы в интерстициальной жидкости. FreeStyle Libre 2</t>
  </si>
  <si>
    <t>'2332902556524000110'</t>
  </si>
  <si>
    <t>ГОСУДАРСТВЕННОЕ БЮДЖЕТНОЕ УЧРЕЖДЕНИЕ ЗДРАВООХРАНЕНИЯ ВЛАДИМИРСКОЙ ОБЛАСТИ "ОБЛАСТНАЯ ДЕТСКАЯ КЛИНИЧЕСКАЯ БОЛЬНИЦА"</t>
  </si>
  <si>
    <t>'0328200001224000052'</t>
  </si>
  <si>
    <t>Протокол подведения итогов определения поставщика (подрядчика, исполнителя) № ИЭА1 от 21.02.2024</t>
  </si>
  <si>
    <t>0328200001224000052_63971</t>
  </si>
  <si>
    <t>Поставка изделий медицинского назначения</t>
  </si>
  <si>
    <t>'2027415782124000348'</t>
  </si>
  <si>
    <t>ГОСУДАРСТВЕННОЕ КАЗЕННОЕ УЧРЕЖДЕНИЕ УПРАВЛЕНИЕ МАТЕРИАЛЬНО-ТЕХНИЧЕСКОГО ОБЕСПЕЧЕНИЯ МИНИСТЕРСТВА ЗДРАВООХРАНЕНИЯ РЕСПУБЛИКИ БАШКОРТОСТАН</t>
  </si>
  <si>
    <t>'0101500000324000036'</t>
  </si>
  <si>
    <t>Протокол подведения итогов определения поставщика (подрядчика, исполнителя) № ИЭА1 от 21.02.2024;Протокол подведения итогов определения поставщика (подрядчика, исполнителя) № 0101500000324000036-1-2 от 21.02.2024</t>
  </si>
  <si>
    <t>"0101500000324000036"</t>
  </si>
  <si>
    <t>Поставка медицинского (-их) изделия (-ий) для медицинского применения (Электрод игольчатый системы чрескожного мониторинга уровня глюкозы в интерстициальной жидкости)</t>
  </si>
  <si>
    <t>Датчик системы Flash - мониторинга глюкозы FreeStyle Libre 2 РУ РЗН 2022/16406 от 24 января 2022 года Производитель: Эбботт Дайабитиз Кэе Лтд.,  Соединенное Королевство (846)  Места производства: Эбботт Дайабитиз Кэе Лтд., Соединенное Королевство; Синерджи Хелс Айрленд Лтд (Синерджи Хелс – АСТ – Айрленд), Ирландия; Флекстроникс Интернешнл ЮСЭй, Инк., США; Санмина Айрленд ЮСи, Ирландия;  Вест, Дублин Тек Груп Юроп Лимитед (т/а Вест), Ирландия; Эбботт Айрленд, Дайабитиз Кэе Дивижн, Ирландия</t>
  </si>
  <si>
    <t>Система Flash  мониторинга глюкозы FreeStyle Libre 2 РУ РЗН 2022/16406 от 23 ноября 2023 года Производитель: Эбботт Дайабитиз Кэе Лтд.,  Соединенное Королевство (846)  Места производства: Эбботт Дайабитиз Кэе Лтд., Соединенное Королевство; Синерджи Хелс Айрленд Лтд (Синерджи Хелс – АСТ – Айрленд), Ирландия; Флекстроникс Интернешнл ЮСЭй, Инк., США; Санмина Айрленд ЮСи, Ирландия;  Вест, Дублин Тек Груп Юроп Лимитед (т/а Вест), Ирландия; Эбботт Айрленд, Дайабитиз Кэе Дивижн, Ирландия</t>
  </si>
  <si>
    <t>'3519215001324000096'</t>
  </si>
  <si>
    <t>ГОСУДАРСТВЕННОЕ ОБЛАСТНОЕ БЮДЖЕТНОЕ УЧРЕЖДЕНИЕ ЗДРАВООХРАНЕНИЯ "МУРМАНСКАЯ ОБЛАСТНАЯ ДЕТСКАЯ КЛИНИЧЕСКАЯ БОЛЬНИЦА"</t>
  </si>
  <si>
    <t>Мурманская область</t>
  </si>
  <si>
    <t>'0149200002324000975'</t>
  </si>
  <si>
    <t>Протокол подведения итогов определения поставщика (подрядчика, исполнителя) № ИЗК1 от 04.03.2024;ИЗК1</t>
  </si>
  <si>
    <t>0149200002324000975 (75/24)</t>
  </si>
  <si>
    <t>Поставка датчика системы чрескожного мониторинга уровня глюкозы</t>
  </si>
  <si>
    <t>Датчик системы чрескожного мониторинга уровня глюкозы / Датчик системы Flash - мониторинга глюкозы FreeStyle Libre 2</t>
  </si>
  <si>
    <t>ОБЩЕСТВО С ОГРАНИЧЕННОЙ ОТВЕТСТВЕННОСТЬЮ "МЕДСНАБ"</t>
  </si>
  <si>
    <t>'2760404472624000006'</t>
  </si>
  <si>
    <t>МИНИСТЕРСТВО ЗДРАВООХРАНЕНИЯ ЯРОСЛАВСКОЙ ОБЛАСТИ</t>
  </si>
  <si>
    <t>Ярославская область</t>
  </si>
  <si>
    <t>'0171200001924000240'</t>
  </si>
  <si>
    <t>481мг-2024/ГК</t>
  </si>
  <si>
    <t>поставка систем непрерывного мониторинга глюкозы на 2024 год</t>
  </si>
  <si>
    <t>Электрод игольчатый системы чрескожного мониторинга уровня глюкозы в интерстициальной жидкости. FreeStyle Libre</t>
  </si>
  <si>
    <t>ОБЩЕСТВО С ОГРАНИЧЕННОЙ ОТВЕТСТВЕННОСТЬЮ "БАЗИС"</t>
  </si>
  <si>
    <t>'2760404472624000007'</t>
  </si>
  <si>
    <t>'0171200001924000223'</t>
  </si>
  <si>
    <t>480м-2024/ГК</t>
  </si>
  <si>
    <t>'2410103915324000087'</t>
  </si>
  <si>
    <t>ГОСУДАРСТВЕННОЕ БЮДЖЕТНОЕ УЧРЕЖДЕНИЕ ЗДРАВООХРАНЕНИЯ "КАМЧАТСКАЯ КРАЕВАЯ БОЛЬНИЦА ИМ. А.С. ЛУКАШЕВСКОГО"</t>
  </si>
  <si>
    <t>'0338200009824000085'</t>
  </si>
  <si>
    <t>Протокол подведения итогов определения поставщика (подрядчика, исполнителя) № ИЭА1 от 22.02.2024</t>
  </si>
  <si>
    <t>'03382000098240000850001'</t>
  </si>
  <si>
    <t>Поставка системы мониторинга глюкозы</t>
  </si>
  <si>
    <t>'2220901186524000112'</t>
  </si>
  <si>
    <t>КРАЕВОЕ ГОСУДАРСТВЕННОЕ БЮДЖЕТНОЕ УЧРЕЖДЕНИЕ ЗДРАВООХРАНЕНИЯ "ГОРОДСКАЯ БОЛЬНИЦА №2, Г. РУБЦОВСК"</t>
  </si>
  <si>
    <t>Алтайский край</t>
  </si>
  <si>
    <t>'0817200000324001090'</t>
  </si>
  <si>
    <t>Протокол подведения итогов определения поставщика (подрядчика, исполнителя) № ИЭА1 от 26.02.2024</t>
  </si>
  <si>
    <t>"0817200000324001090"</t>
  </si>
  <si>
    <t>Поставка медицинских расходных материалов</t>
  </si>
  <si>
    <t>'2462901942024000086'</t>
  </si>
  <si>
    <t>ОБЛАСТНОЕ БЮДЖЕТНОЕ УЧРЕЖДЕНИЕ ЗДРАВООХРАНЕНИЯ "КУРСКАЯ ОБЛАСТНАЯ ДЕТСКАЯ КЛИНИЧЕСКАЯ БОЛЬНИЦА"</t>
  </si>
  <si>
    <t>Курская область</t>
  </si>
  <si>
    <t>'0744200000224001001'</t>
  </si>
  <si>
    <t>Протокол подведения итогов определения поставщика (подрядчика, исполнителя) № ИЭА1 от 26.02.2024;  Протокол подведения итогов определения поставщика (подрядчика, исполнителя) № ИЭА1 от 26.02.2024</t>
  </si>
  <si>
    <t>Поставка медицинских изделий (система непрерывного мониторинга глюкозы)</t>
  </si>
  <si>
    <t>CT - 14</t>
  </si>
  <si>
    <t>ОБЩЕСТВО С ОГРАНИЧЕННОЙ ОТВЕТСТВЕННОСТЬЮ "РЕШЕНИЯ В ОБЛАСТИ СТРОИТЕЛЬСТВА И ПРОЕКТИРОВАНИЯ МЕДИЦИНСКИХ ОБЪЕКТОВ"</t>
  </si>
  <si>
    <t>Решения в ОСиПМО</t>
  </si>
  <si>
    <t>'2910206438424000018'</t>
  </si>
  <si>
    <t>ГОСУДАРСТВЕННОЕ БЮДЖЕТНОЕ УЧРЕЖДЕНИЕ ЗДРАВООХРАНЕНИЯ РЕСПУБЛИКИ КРЫМ "СИМФЕРОПОЛЬСКАЯ ГОРОДСКАЯ ДЕТСКАЯ КЛИНИЧЕСКАЯ БОЛЬНИЦА"</t>
  </si>
  <si>
    <t>'0175200000424000101'</t>
  </si>
  <si>
    <t>Поставка медицинских изделий: датчики системы чрескожного мониторинга уровня глюкозы.</t>
  </si>
  <si>
    <t>'2372901059524000177'</t>
  </si>
  <si>
    <t>ДЕПАРТАМЕНТ ЗДРАВООХРАНЕНИЯ ИВАНОВСКОЙ ОБЛАСТИ</t>
  </si>
  <si>
    <t>Ивановская область</t>
  </si>
  <si>
    <t>'0133200001724000328'</t>
  </si>
  <si>
    <t>Протокол подведения итогов определения поставщика (подрядчика, исполнителя) № ИЭА1 от 26.02.2024;№ 0133200001724000328 от 26.02.2024 г.</t>
  </si>
  <si>
    <t>Поставка электрода игольчатого системы чрескожного мониторинга уровня глюкозы в интерстициальной жидкости для государственных нужд Ивановской области</t>
  </si>
  <si>
    <t>'2550305352024000010'</t>
  </si>
  <si>
    <t>БЮДЖЕТНОЕ УЧРЕЖДЕНИЕ ЗДРАВООХРАНЕНИЯ ОМСКОЙ ОБЛАСТИ "ГОРОДСКАЯ ПОЛИКЛИНИКА № 13"</t>
  </si>
  <si>
    <t>Омская область</t>
  </si>
  <si>
    <t>'0352300008624000002'</t>
  </si>
  <si>
    <t>Протокол подведения итогов определения поставщика № ИЗТ1 от 06.03.2024;ст. 93 ч. 1 п. 4</t>
  </si>
  <si>
    <t>2024.018895</t>
  </si>
  <si>
    <t>Поставка электродов игольчатых системы чрескожного мониторинга уровня глюкозы в интерстициальной жидкости</t>
  </si>
  <si>
    <t>'2772308493624000195'</t>
  </si>
  <si>
    <t>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t>
  </si>
  <si>
    <t>'0373200100124000143'</t>
  </si>
  <si>
    <t>Протокол подведения итогов определения поставщика (подрядчика, исполнителя) № ИЭА1 от 01.03.2024;0373200100124000143-3-153369</t>
  </si>
  <si>
    <t xml:space="preserve">Электронный аукцион на поставку электрода игольчатого системы чрескожного мониторинга уровня глюкозы для нужд отделения эндокринологии ГБУЗ "ГКБ им.В.П.Демихова ДЗМ"  в 2024 г. </t>
  </si>
  <si>
    <t>ОБЩЕСТВО С ОГРАНИЧЕННОЙ ОТВЕТСТВЕННОСТЬЮ "СК-АЛЬЯНС"</t>
  </si>
  <si>
    <t>'2272404126024000030'</t>
  </si>
  <si>
    <t>КРАЕВОЕ ГОСУДАРСТВЕННОЕ КАЗЕННОЕ УЧРЕЖДЕНИЕ ЗДРАВООХРАНЕНИЯ "МЕДИЦИНСКИЙ ИНФОРМАЦИОННО-АНАЛИТИЧЕСКИЙ ЦЕНТР" МИНИСТЕРСТВА ЗДРАВООХРАНЕНИЯ ХАБАРОВСКОГО КРАЯ</t>
  </si>
  <si>
    <t>Хабаровский край</t>
  </si>
  <si>
    <t>'0322200002124000030'</t>
  </si>
  <si>
    <t>Комплект изделий чрескожного мониторинга уровня глюкозы в интерстициальной жидкости, электрохимический метод. FreeStyle Libre</t>
  </si>
  <si>
    <t>'2272404126024000035'</t>
  </si>
  <si>
    <t>'0322200002124000031'</t>
  </si>
  <si>
    <t>Протокол подведения итогов определения поставщика № ИЗТ1 от 07.03.2024;ИЗТ1</t>
  </si>
  <si>
    <t xml:space="preserve">Комплект изделий чрескожного мониторинга уровня глюкозы в интерстициальной жидкости, электрохимический метод </t>
  </si>
  <si>
    <t>ДРЯННЫХ ВЛАДИМИРОВИЧ ЕВГЕНИЙ</t>
  </si>
  <si>
    <t>'2631819736724000759'</t>
  </si>
  <si>
    <t>ГОСУДАРСТВЕННОЕ КАЗЕННОЕ УЧРЕЖДЕНИЕ САМАРСКОЙ ОБЛАСТИ "САМАРАФАРМАЦИЯ"</t>
  </si>
  <si>
    <t>Самарская область</t>
  </si>
  <si>
    <t>'0142200001324003135'</t>
  </si>
  <si>
    <t>Протокол подведения итогов определения поставщика (подрядчика, исполнителя) № ИЭА1 от 04.03.2024;№ №0142200001324003135 (протокол от 04.03.2024)</t>
  </si>
  <si>
    <t>981/24/СД-4/17</t>
  </si>
  <si>
    <t xml:space="preserve">Поставка изделий медицинского назначения для больных сахарным диабетом, в рамках льготного обеспечения на 2024 год. </t>
  </si>
  <si>
    <t>ОБЩЕСТВО С ОГРАНИЧЕННОЙ ОТВЕТСТВЕННОСТЬЮ "АЛЬМУТЕН ФАРМА"</t>
  </si>
  <si>
    <t>'2720216180724000133'</t>
  </si>
  <si>
    <t>ДЕПАРТАМЕНТ ЗДРАВООХРАНЕНИЯ ТЮМЕНСКОЙ ОБЛАСТИ</t>
  </si>
  <si>
    <t>'0167200003424001046'</t>
  </si>
  <si>
    <t>Протокол подведения итогов определения поставщика (подрядчика, исполнителя) № ИЭА1 от 04.03.2024;Итоговый протокол № 0167200003424001046-3-153966 от 04.03.2024</t>
  </si>
  <si>
    <t>216/2024</t>
  </si>
  <si>
    <t>Поставка медицинских изделий: Электрод игольчатый системы чрескожного мониторинга уровня глюкозы в интерстициальной жидкости (детское население от 4 до 17 лет)</t>
  </si>
  <si>
    <t>Электрод игольчатый системы чрескожного мониторинга уровня глюкозы в интерстициальной жидкости - Электрод игольчатый системы чрескожного мониторинга уровня глюкозы в интерстициальной жидкости: Система Flash мониторинга глюкозы FreeStyle Libre 2</t>
  </si>
  <si>
    <t>'2920402328124000207'</t>
  </si>
  <si>
    <t>ГОСУДАРСТВЕННОЕ КАЗЕННОЕ УЧРЕЖДЕНИЕ СЕВАСТОПОЛЯ "МЕДИЦИНСКИЙ СКЛАД № 1043"</t>
  </si>
  <si>
    <t>Севастополь</t>
  </si>
  <si>
    <t>'0174500001124000567'</t>
  </si>
  <si>
    <t>Протокол подведения итогов определения поставщика (подрядчика, исполнителя) № ИЭА1 от 04.03.2024; Протокол подведения итогов определения поставщика (подрядчика, исполнителя) № 0174500001124000567-3 от 04.03.2024</t>
  </si>
  <si>
    <t>0174500001124000567_105752810</t>
  </si>
  <si>
    <t>на поставку датчиков системы чрескожного мониторинга уровня глюкозы для льготной категории граждан</t>
  </si>
  <si>
    <t>Abbott, Соединенное Королевство (Соединенное Королевство Великобритании и Северной Ирландии), в составе: 1. Датчик - 1 шт. 2. Футляр датчика - 1 шт. 3. Аппликатор датчика - 1 шт. 4. Вкладыш - 1 шт. 5. Инструкция по применению - 1 шт</t>
  </si>
  <si>
    <t>'2072106027824000108'</t>
  </si>
  <si>
    <t>ГОСУДАРСТВЕННОЕ КАЗЕННОЕ УЧРЕЖДЕНИЕ ЗДРАВООХРАНЕНИЯ "ФАРМЕДТЕХ" МИНИСТЕРСТВА ЗДРАВООХРАНЕНИЯ КАБАРДИНО-БАЛКАРСКОЙ РЕСПУБЛИКИ</t>
  </si>
  <si>
    <t>Республика Кабардино - Балкария</t>
  </si>
  <si>
    <t>'0304200009024000129'</t>
  </si>
  <si>
    <t>Протокол подведения итогов определения поставщика (подрядчика, исполнителя) № ИЭА1 от 01.03.2024</t>
  </si>
  <si>
    <t>ЭА2024/03/Р-ДБ-107-0141892021</t>
  </si>
  <si>
    <t>'2222100785824000141'</t>
  </si>
  <si>
    <t>МИНИСТЕРСТВО ЗДРАВООХРАНЕНИЯ АЛТАЙСКОГО КРАЯ</t>
  </si>
  <si>
    <t>'0817200000324001956'</t>
  </si>
  <si>
    <t>Протокол подведения итогов определения поставщика (подрядчика, исполнителя) № ИЭА1 от 07.03.2024; Протокол подведения итогов определения поставщика (подрядчика, исполнителя) № ИЭА1 от 07.03.2024</t>
  </si>
  <si>
    <t>'08172000003240019560001'</t>
  </si>
  <si>
    <t>Поставка расходных материалов</t>
  </si>
  <si>
    <t xml:space="preserve">Электрод игольчатый системы чрескожного мониторинга уровня глюкозы в интерстициальной жидкости (Система Flash мониторинга глюкозы FreeStyle Libre 2) Производитель: «Эбботт Дайабитиз Кэе Лтд.», Соединенное Королевство Страна происхождения: Соединенное Королевство, Ирландия РУ № РЗН 2022/16406 от 23.11.2023 </t>
  </si>
  <si>
    <t>ОБЩЕСТВО С ОГРАНИЧЕННОЙ ОТВЕТСТВЕННОСТЬЮ "АНТУРИУМ"</t>
  </si>
  <si>
    <t>'2780804383324000169'</t>
  </si>
  <si>
    <t>КОМИТЕТ ПО ЗДРАВООХРАНЕНИЮ</t>
  </si>
  <si>
    <t>Санкт - Петербург</t>
  </si>
  <si>
    <t>'0172200001924000136'</t>
  </si>
  <si>
    <t>Протокол подведения итогов определения поставщика (подрядчика, исполнителя) № ИЗК1 от 13.03.2024;  Протокол подведения итогов определения поставщика (подрядчика, исполнителя) № ИЗК1 от 13.03.2024 Протокол подведения итогов определения поставщика (подрядчика, исполнителя) № ИЗК1 от 13.03.2024</t>
  </si>
  <si>
    <t>Поставка № 174 медицинского изделия Датчик системы чрескожного мониторинга уровня глюкозы для обеспечения отдельных категорий граждан в 2024 году</t>
  </si>
  <si>
    <t>Cенсор системы непрерывного мониторинга глюкозы  Dr. Brinner RGMS-II</t>
  </si>
  <si>
    <t>Dr. Brinner</t>
  </si>
  <si>
    <t>ОБЩЕСТВО С ОГРАНИЧЕННОЙ ОТВЕТСТВЕННОСТЬЮ "ТОРГОВЫЙ ДОМ "ЗДОРОВЬЕ НАЦИИ"</t>
  </si>
  <si>
    <t>'2190100531024000186'</t>
  </si>
  <si>
    <t>ГОСУДАРСТВЕННОЕ БЮДЖЕТНОЕ УЧРЕЖДЕНИЕ ЗДРАВООХРАНЕНИЯ РЕСПУБЛИКИ ХАКАСИЯ "РЕСПУБЛИКАНСКАЯ КЛИНИЧЕСКАЯ БОЛЬНИЦА ИМЕНИ Г.Я. РЕМИШЕВСКОЙ"</t>
  </si>
  <si>
    <t>Республика Хакасия</t>
  </si>
  <si>
    <t>'0380200000124000703'</t>
  </si>
  <si>
    <t>Протокол подведения итогов определения поставщика (подрядчика, исполнителя) № ИЭА1 от 06.03.2024</t>
  </si>
  <si>
    <t>РКБ.2024.095</t>
  </si>
  <si>
    <t>Поставка электрода игольчатого системы чрескожного мониторинга уровня глюкозы в интерстициальной жидкости</t>
  </si>
  <si>
    <t>'2745313582724000363'</t>
  </si>
  <si>
    <t>МИНИСТЕРСТВО ЗДРАВООХРАНЕНИЯ ЧЕЛЯБИНСКОЙ ОБЛАСТИ</t>
  </si>
  <si>
    <t>Челябинская область</t>
  </si>
  <si>
    <t>'0869200000224001487'</t>
  </si>
  <si>
    <t>01487-ДЛП/2024</t>
  </si>
  <si>
    <t>на поставку Датчиков системы чрескожного мониторинга уровня глюкозы</t>
  </si>
  <si>
    <t>'2745313582724000365'</t>
  </si>
  <si>
    <t>'0869200000224001339'</t>
  </si>
  <si>
    <t>Протокол подведения итогов определения поставщика (подрядчика, исполнителя) № ИЭА1 от 06.03.2024;Статья 93, ч.1, п.25, Федерального закона №44-ФЗ от 05.04.2013. Итоговый протокол № 0869200000224001339-3 от 06.03.2024</t>
  </si>
  <si>
    <t>01339-СД/2024</t>
  </si>
  <si>
    <t>Поставка датчика системы чрескожного мониторинга уровня глюкозы, ДС № 01339-СД/2024-1 от 01.04.2024 г.</t>
  </si>
  <si>
    <t>датчик системы чрескожного мониторинга уровня глюкозы (НАИМЕНОВАНИЕ ТОВАРА: Датчик системы чрескожного мониторинга уровня глюкозы НАИМЕНОВАНИЕ СОГЛАСНО ПОЗИЦИИ КАТАЛОГА ТОВАРОВ, РАБОТ, УСЛУГ ДЛЯ ОБЕСПЕЧЕНИЯ ГОСУДАРСТВЕННЫХ И МУНИЦИПАЛЬНЫХ НУЖД (далее – КТРУ): Электрод игольчатый системы чрескожного мониторинга уровня глюкозы в интерстициальной жидкости КТРУ: 32.50.50.190-00002929 ПОЗИЦИЯ ПО СПРАВОЧНИКУ "НОМЕНКЛАТУРНАЯ КЛАССИФИКАЦИЯ МЕДИЦИНСКИХ ИЗДЕЛИЙ ПО ВИДАМ ": 300910 ТОРГОВОЕ НАИМЕНОВАНИЕ ТОВАРА: FreeStyle Libre 2 НАИМЕНОВАНИЕ СОГЛАСНО РЕГИСТРАЦИОННОМУ УДОСТОВЕРЕНИЮ: Система Flash мониторинга глюкозы FreeStyle Libre 2 РЕКВИЗИТЫ РЕГИСТРАЦИОННОГО УДОСТОВЕРЕНИЯ: от 23.11.2023 г. № РЗН 2022/16406 НАИМЕНОВАНИЕ СТРАНЫ ПРОИСХОЖДЕНИЯ ТОВАРА: Ирландия; Соединенное Королевство Великобритании и Северной Ирландии)</t>
  </si>
  <si>
    <t>датчик системы чрескожного мониторинга уровня глюкозы (НАИМЕНОВАНИЕ ТОВАРА: Датчик системы чрескожного мониторинга уровня глюкозы НАИМЕНОВАНИЕ СОГЛАСНО ПОЗИЦИИ КАТАЛОГА ТОВАРОВ, РАБОТ, УСЛУГ ДЛЯ ОБЕСПЕЧЕНИЯ ГОСУДАРСТВЕННЫХ И МУНИЦИПАЛЬНЫХ НУЖД (далее – КТРУ): Электрод игольчатый системы чрескожного мониторинга уровня глюкозы в интерстициальной жидкости КТРУ: 32.50.50.190-00002929 ПОЗИЦИЯ ПО СПРАВОЧНИКУ "НОМЕНКЛАТУРНАЯ КЛАССИФИКАЦИЯ МЕДИЦИНСКИХ ИЗДЕЛИЙ ПО ВИДАМ ": 300910 ТОРГОВОЕ НАИМЕНОВАНИЕ ТОВАРА: FreeStyle Libre 2 НАИМЕНОВАНИЕ СОГЛАСНО РЕГИСТРАЦИОННОМУ УДОСТОВЕРЕНИЮ: Система Flash мониторинга глюкозы FreeStyle Libre 2 РЕКВИЗИТЫ РЕГИСТРАЦИОННОГО УДОСТОВЕРЕНИЯ: от 23.11.2023 г. № РЗН 2022/16406 НАИМЕНОВАНИЕ СТРАНЫ ПРОИСХОЖДЕНИЯ ТОВАРА: Ирландия; Соединенное Королевство Великобритании и Северной Ирландии</t>
  </si>
  <si>
    <t>'2490908578524000058'</t>
  </si>
  <si>
    <t>МИНИСТЕРСТВО ЗДРАВООХРАНЕНИЯ И ДЕМОГРАФИЧЕСКОЙ ПОЛИТИКИ МАГАДАНСКОЙ ОБЛАСТИ</t>
  </si>
  <si>
    <t>Магаданская область</t>
  </si>
  <si>
    <t>'0847500000924000220'</t>
  </si>
  <si>
    <t>Протокол подведения итогов определения поставщика (подрядчика, исполнителя) № ИЭА1 от 06.03.2024;Протокол подведения итогов определения поставщика (подрядчика, исполнителя) № 0847500000924000220-3 от 06.03.2024</t>
  </si>
  <si>
    <t>Поставка датчиков системы чрескожного мониторинга уровня глюкозы для детей с сахарным диабетом 1 типа в возрасте от 4-х до 17-ти лет системами непрерывного мониторинга глюкозы.</t>
  </si>
  <si>
    <t>'2056204455024000148'</t>
  </si>
  <si>
    <t>МИНИСТЕРСТВО ЗДРАВООХРАНЕНИЯ РЕСПУБЛИКИ ДАГЕСТАН</t>
  </si>
  <si>
    <t>'0103200008424000500'</t>
  </si>
  <si>
    <t>Протокол подведения итогов определения поставщика (подрядчика, исполнителя) № ИЭА1 от 07.03.2024;  ИЭА1 от 07.03.2024</t>
  </si>
  <si>
    <t>Поставка медицинских изделий_РЛО.К.</t>
  </si>
  <si>
    <t xml:space="preserve">Датчик системы Flash - мониторинга глюкозы FreeStyle Libre 2 </t>
  </si>
  <si>
    <t>'2056204455024000149'</t>
  </si>
  <si>
    <t>'0103200008424000501'</t>
  </si>
  <si>
    <t>Протокол подведения итогов определения поставщика (подрядчика, исполнителя) № ИЭА1 от 07.03.2024; ИЭА1 от 07.03.2024</t>
  </si>
  <si>
    <t>Поставка медицинских изделий_ДЛО.К</t>
  </si>
  <si>
    <t xml:space="preserve">Система чрескожного мониторинга уровня глюкозы (Система Flash мониторинга глюкозы FreeStyle Libre или эквивалент) </t>
  </si>
  <si>
    <t>'2150102475924000015'</t>
  </si>
  <si>
    <t>'0310200000324000357'</t>
  </si>
  <si>
    <t>Реализация мероприятий по обеспечению детей с сахарным диабетом 1 типа в возрасте от 4-х до 17 лет включительно системами непрерывного мониторинга в целях социального обеспечения граждан</t>
  </si>
  <si>
    <t>АКЦИОНЕРНОЕ ОБЩЕСТВО  "ФАРМАЦИЯ"</t>
  </si>
  <si>
    <t>'2072106027824000105'</t>
  </si>
  <si>
    <t>'0304200009024000149'</t>
  </si>
  <si>
    <t>Протокол подведения итогов определения поставщика (подрядчика, исполнителя) № ИЭА1 от 11.03.2024</t>
  </si>
  <si>
    <t>ЭА2024-ДЛО-286-01204R1070</t>
  </si>
  <si>
    <t>'2366603133524000161'</t>
  </si>
  <si>
    <t>'0131200001024001117'</t>
  </si>
  <si>
    <t>Протокол подведения итогов определения поставщика (подрядчика, исполнителя) № ИЭА1 от 11.03.2024;0131200001024001117-3</t>
  </si>
  <si>
    <t>ЭА.2024-1117</t>
  </si>
  <si>
    <t>2024-01093**Поставка электрода игольчатого системы чрескожного мониторинга уровня глюкозы в интерстициальной жидкости.</t>
  </si>
  <si>
    <t>'2231101050224000499'</t>
  </si>
  <si>
    <t>ГОСУДАРСТВЕННОЕ БЮДЖЕТНОЕ УЧРЕЖДЕНИЕ ЗДРАВООХРАНЕНИЯ ИРКУТСКАЯ ГОСУДАРСТВЕННАЯ ОБЛАСТНАЯ ДЕТСКАЯ КЛИНИЧЕСКАЯ БОЛЬНИЦА</t>
  </si>
  <si>
    <t>'0318300126724000214'</t>
  </si>
  <si>
    <t>Протокол подведения итогов определения поставщика (подрядчика, исполнителя) № ИЭА1 от 11.03.2024;Статья 93, ч.1, п.25, Федерального закона №44-ФЗ от 05.04.2013. Итоговый протокол № 0334200004624000044-1 от 11.03.2024</t>
  </si>
  <si>
    <t>41-ЭА/24-0044</t>
  </si>
  <si>
    <t>'2190113011024000097'</t>
  </si>
  <si>
    <t>ГОСУДАРСТВЕННОЕ БЮДЖЕТНОЕ УЧРЕЖДЕНИЕ РЕСПУБЛИКИ ХАКАСИЯ "РЕСФАРМАЦИЯ"</t>
  </si>
  <si>
    <t>'0380200000124000702'</t>
  </si>
  <si>
    <t>Протокол подведения итогов определения поставщика (подрядчика, исполнителя) № ИЭА1 от 07.03.2024</t>
  </si>
  <si>
    <t>2024.0702</t>
  </si>
  <si>
    <t>Поставка электрода игольчатого системы чрескожного мониторинга уровня глюкозы в интерстициальной жидкости для социального обеспечения детей с сахарным диабетом 1 типа в возрасте от 4-х до 17 лет системами непрерывного мониторинга глюкозы в 2024 году</t>
  </si>
  <si>
    <t xml:space="preserve">Электрод игольчатый системы чрескожного мониторинга уровня глюкозы в интерстициальной жидкости/Датчик FreeStyle Libre системы Flash мониторинга глюкозы FreeStyle Libre </t>
  </si>
  <si>
    <t>'2183300285424000335'</t>
  </si>
  <si>
    <t>БЮДЖЕТНОЕ УЧРЕЖДЕНИЕ ЗДРАВООХРАНЕНИЯ УДМУРТСКОЙ РЕСПУБЛИКИ "ПЕРВАЯ РЕСПУБЛИКАНСКАЯ КЛИНИЧЕСКАЯ БОЛЬНИЦА МИНИСТЕРСТВА ЗДРАВООХРАНЕНИЯ УДМУРТСКОЙ РЕСПУБЛИКИ"</t>
  </si>
  <si>
    <t>'0813500000124002464'</t>
  </si>
  <si>
    <t>зз-0014-06632 - 2024 Датчик системы чрескожного мониторинга уровня глюкозы</t>
  </si>
  <si>
    <t>Датчик системы чрескожного мониторинга уровня глюкозы в интерстициальной жидкости. Датчик FreeStyle Libre 2 системы Flash мониторинга глюкозы FreeStyle Libre 2</t>
  </si>
  <si>
    <t>ГОСУДАРСТВЕННОЕ УНИТАРНОЕ ПРЕДПРИЯТИЕ УДМУРТСКОЙ РЕСПУБЛИКИ "АПТЕКИ УДМУРТИИ"</t>
  </si>
  <si>
    <t>'2910201286924000189'</t>
  </si>
  <si>
    <t>'0175200000424000148'</t>
  </si>
  <si>
    <t>"50323111068240001470000 "</t>
  </si>
  <si>
    <t>ГОСУДАРСТВЕННОЕ АВТОНОМНОЕ УЧРЕЖДЕНИЕ ЗДРАВООХРАНЕНИЯ "ДЕТСКАЯ РЕСПУБЛИКАНСКАЯ КЛИНИЧЕСКАЯ БОЛЬНИЦА" МИНИСТЕРСТВА ЗДРАВООХРАНЕНИЯ РЕСПУБЛИКИ БУРЯТИЯ</t>
  </si>
  <si>
    <t>Республика Бурятия</t>
  </si>
  <si>
    <t>Аукцион</t>
  </si>
  <si>
    <t>"32413321524"</t>
  </si>
  <si>
    <t>2024.51104</t>
  </si>
  <si>
    <t>'2773411532924000334'</t>
  </si>
  <si>
    <t>ГОСУДАРСТВЕННОЕ БЮДЖЕТНОЕ УЧРЕЖДЕНИЕ ЗДРАВООХРАНЕНИЯ ГОРОДА МОСКВЫ "ГОРОДСКАЯ КЛИНИЧЕСКАЯ БОЛЬНИЦА № 52 ДЕПАРТАМЕНТА ЗДРАВООХРАНЕНИЯ ГОРОДА МОСКВЫ"</t>
  </si>
  <si>
    <t>'0373200017424000250'</t>
  </si>
  <si>
    <t>Протокол подведения итогов определения поставщика (подрядчика, исполнителя) № ИЗК1 от 20.03.2024;0373200017424000250-1-169820</t>
  </si>
  <si>
    <t>'03732000174240002500001'</t>
  </si>
  <si>
    <t>Поставка электродов игольчатых системы чрескожного мониторинга уровня глюкозы в интерстициальной жидкости, для использования в системе FreeStyle LibreFreeStyle Libre</t>
  </si>
  <si>
    <t>'2502406865624000556'</t>
  </si>
  <si>
    <t>'0348200081024000687'</t>
  </si>
  <si>
    <t>Протокол подведения итогов определения поставщика (подрядчика, исполнителя) № ИЭА1 от 12.03.2024;Закупка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</si>
  <si>
    <t>Поставка электрода игольчатого системы чрескожного мониторинга уровня глюкозы в интерстициальной жидкости (Р-25)</t>
  </si>
  <si>
    <t>'2532102896024000177'</t>
  </si>
  <si>
    <t>МИНИСТЕРСТВО ЗДРАВООХРАНЕНИЯ НОВГОРОДСКОЙ ОБЛАСТИ</t>
  </si>
  <si>
    <t>Новгородская область</t>
  </si>
  <si>
    <t>'0150200003924000182'</t>
  </si>
  <si>
    <t>Протокол подведения итогов определения поставщика (подрядчика, исполнителя) № ИЭА1 от 13.03.2024;Протокол подведения итогов электронного аукциона</t>
  </si>
  <si>
    <t>Поставка датчиков FreeStyle Libre системы Flash мониторинга глюкозы FreeStyle Libre</t>
  </si>
  <si>
    <t>'2690504495024000304'</t>
  </si>
  <si>
    <t>МИНИСТЕРСТВО ЗДРАВООХРАНЕНИЯ ТВЕРСКОЙ ОБЛАСТИ</t>
  </si>
  <si>
    <t>Тверская область</t>
  </si>
  <si>
    <t>'0136500001124000886'</t>
  </si>
  <si>
    <t>Протокол подведения итогов определения поставщика (подрядчика, исполнителя) № ИЭА1 от 13.03.2024;0136500001124000886-1</t>
  </si>
  <si>
    <t>"0136500001124000886"</t>
  </si>
  <si>
    <t>на поставку медицинских изделий (Электрод игольчатый системы чрескожного мониторинга уровня глюкозы в интерстициальной жидкости)</t>
  </si>
  <si>
    <t>'2344419822024000346'</t>
  </si>
  <si>
    <t>'0129200005324000571'</t>
  </si>
  <si>
    <t>Протокол подведения итогов определения поставщика (подрядчика, исполнителя) № ИЭА1 от 12.03.2024;44-ФЗ от 05.04.2013 Статья 93 Часть 1 п.25</t>
  </si>
  <si>
    <t>Поставка медицинских изделий (электрод игольчатый системы чрескожного мониторинга уровня глюкозы в интерстициальной жидкости) (БСД)</t>
  </si>
  <si>
    <t>Датчик FreeStyle Libre системы Flash мониторинга глюкозы FreeStyle Libre №1   Наименование производителя и страны происхождения Товара: Соединенное Королевство/ Ирландия</t>
  </si>
  <si>
    <t>'2323401426924000180'</t>
  </si>
  <si>
    <t>ГОСУДАРСТВЕННОЕ БЮДЖЕТНОЕ УЧРЕЖДЕНИЕ ЗДРАВООХРАНЕНИЯ "БРЯНСКАЯ ОБЛАСТНАЯ ДЕТСКАЯ БОЛЬНИЦА"</t>
  </si>
  <si>
    <t>'0127200000224000862'</t>
  </si>
  <si>
    <t>Протокол подведения итогов определения поставщика (подрядчика, исполнителя) № ИЭА1 от 13.03.2024;0127200000224000862-1-2</t>
  </si>
  <si>
    <t>Поставка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t>
  </si>
  <si>
    <t>Закупка в целях обеспечения детей с сахарным диабетом 1 типа в возрасте от 4-х до 17-ти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</si>
  <si>
    <t>'2301506815924000122'</t>
  </si>
  <si>
    <t>МИНИСТЕРСТВО ЗДРАВООХРАНЕНИЯ АСТРАХАНСКОЙ ОБЛАСТИ</t>
  </si>
  <si>
    <t>Астраханская область</t>
  </si>
  <si>
    <t>'0825500000724000722'</t>
  </si>
  <si>
    <t>Протокол подведения итогов определения поставщика (подрядчика, исполнителя) № ИЭА1 от 15.03.2024;0825500000724000722-1</t>
  </si>
  <si>
    <t>59/722</t>
  </si>
  <si>
    <t xml:space="preserve">Поставка изделий медицинского назначения:  датчик системы чрескожного мониторинга уровня глюкозы </t>
  </si>
  <si>
    <t>Датчик FreeStyleLibre системы Flash мониторинга глюкозы FreeStyleLibre №1</t>
  </si>
  <si>
    <t>'2575306130824000078'</t>
  </si>
  <si>
    <t>ДЕПАРТАМЕНТ ЗДРАВООХРАНЕНИЯ ОРЛОВСКОЙ ОБЛАСТИ</t>
  </si>
  <si>
    <t>Орловская область</t>
  </si>
  <si>
    <t>'0154200000724000142'</t>
  </si>
  <si>
    <t>Протокол подведения итогов определения поставщика (подрядчика, исполнителя) № ИЭА1 от 15.03.2024</t>
  </si>
  <si>
    <t>1/а-НМГ24</t>
  </si>
  <si>
    <t>Закупка медицинских изделий с целью льготного обеспечения отдельных категорий граждан в Орловской области в 2024 году в рамках реализации мероприятий по обеспечению детей с сахарным диабетом 1 типа в возрасте от 4-х до 17-ти лет системами непрерывного мониторинга глюкозы. Медицинские изделия</t>
  </si>
  <si>
    <t>'2645504666624000501'</t>
  </si>
  <si>
    <t>МИНИСТЕРСТВО ЗДРАВООХРАНЕНИЯ САРАТОВСКОЙ ОБЛАСТИ</t>
  </si>
  <si>
    <t>Саратовская область</t>
  </si>
  <si>
    <t>'0860200000824000840'</t>
  </si>
  <si>
    <t>Протокол подведения итогов определения поставщика (подрядчика, исполнителя) № ИЭА1 от 11.03.2024;Протокол подведения итогов определения поставщика (подрядчика, исполнителя) № 0860200000824000840-3-158462 от 11.03.2024</t>
  </si>
  <si>
    <t>Поставка изделий медицинского назначения «Электрод игольчатый системы чрескожного мониторинга уровня глюкозы в интерстициальной жидкости» с целью обеспечения льготных категорий граждан.</t>
  </si>
  <si>
    <t>Электрод   игольчатый системы чрескожного мониторинга уровня глюкозы в интерстициальной жидкости</t>
  </si>
  <si>
    <t>ОБЩЕСТВО С ОГРАНИЧЕННОЙ ОТВЕТСТВЕННОСТЬЮ "СМС ТЕХНОЛОГИИ"</t>
  </si>
  <si>
    <t>СМС Технологии</t>
  </si>
  <si>
    <t>'2532102896024000186'</t>
  </si>
  <si>
    <t>'0150200003924000216'</t>
  </si>
  <si>
    <t>Протокол подведения итогов определения поставщика (подрядчика, исполнителя) № ИЭА1 от 15.03.2024;Протокол подведения итогов электронного аукциона</t>
  </si>
  <si>
    <t>Датчик системы чрескожного мониторинга уровня глюкозы. (Датчик FreeStyle Libre системы Flash мониторинга глюкозы FreeStyle Libre)</t>
  </si>
  <si>
    <t>'2323401426924000186'</t>
  </si>
  <si>
    <t>'0327200016724000054'</t>
  </si>
  <si>
    <t>Протокол подведения итогов определения поставщика (подрядчика, исполнителя) № ИЗК1 от 21.03.2024;0327200016724000054-1-1</t>
  </si>
  <si>
    <t>Поставка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t>
  </si>
  <si>
    <t>Закупка в целях обеспечения детей с сахарным диабетом 1 типа в возрасте от 2-х до 4-х лет системами непрерывного мониторинга глюкозы для нужд ГБУЗ "Брянская областная детская больница" (Датчик FreeStyle Libre системы Flash мониторинга глюкозы FreeStyle Libre №1)</t>
  </si>
  <si>
    <t>'2330100306424000044'</t>
  </si>
  <si>
    <t>ГОСУДАРСТВЕННОЕ БЮДЖЕТНОЕ УЧРЕЖДЕНИЕ ЗДРАВООХРАНЕНИЯ ВЛАДИМИРСКОЙ ОБЛАСТИ "АЛЕКСАНДРОВСКАЯ РАЙОННАЯ ДЕТСКАЯ БОЛЬНИЦА"</t>
  </si>
  <si>
    <t>'0328300078724000030'</t>
  </si>
  <si>
    <t>Протокол подведения итогов определения поставщика (подрядчика, исполнителя) № ИЗК1 от 21.03.2024</t>
  </si>
  <si>
    <t>Закупка медицинских изделий для системы чрескожного мониторинга уровня глюкозы для индивидуального обеспечения пациентов на основании решения врачебной комиссии.</t>
  </si>
  <si>
    <t>Электрод игольчатый системы чрескожного мониторинга уровня глюкозы в интерстициальной жидкости. Датчик FreeStyle Libre системы Flash мониторинга глюкозы FreeStyle Libre</t>
  </si>
  <si>
    <t>Приемник (сканер) системы чрескожного мониторинга уровня глюкозы в интерстициальной жидкости. Сканер FreeStyle Libre системы Flash мониторинга глюкозы FreeStyle Libre с принадлежностями</t>
  </si>
  <si>
    <t>'2633001962824000109'</t>
  </si>
  <si>
    <t>ГОСУДАРСТВЕННОЕ БЮДЖЕТНОЕ УЧРЕЖДЕНИЕ ЗДРАВООХРАНЕНИЯ САМАРСКОЙ ОБЛАСТИ "НОВОКУЙБЫШЕВСКАЯ ЦЕНТРАЛЬНАЯ ГОРОДСКАЯ БОЛЬНИЦА"</t>
  </si>
  <si>
    <t>'0342300090624000071'</t>
  </si>
  <si>
    <t>Протокол подведения итогов определения поставщика № ИЗТ1 от 22.03.2024;протокол подведения итогов в закупке товаров согласно ч.12 ст. 93 № 44-ФЗ от "22"марта 2024г. N 0342300090624000071</t>
  </si>
  <si>
    <t>0342300090624000071-ЕП-12</t>
  </si>
  <si>
    <t>Датчик FreeStyle Libre 2</t>
  </si>
  <si>
    <t>'2870990814024000019'</t>
  </si>
  <si>
    <t>ДЕПАРТАМЕНТ ЗДРАВООХРАНЕНИЯ ЧУКОТСКОГО АВТОНОМНОГО ОКРУГА</t>
  </si>
  <si>
    <t>Чукотский АО</t>
  </si>
  <si>
    <t>'0888500000224000055'</t>
  </si>
  <si>
    <t>Протокол подведения итогов определения поставщика (подрядчика, исполнителя) № ИЭА1 от 12.03.2024</t>
  </si>
  <si>
    <t xml:space="preserve">Система мониторинга глюкозы </t>
  </si>
  <si>
    <t>'2583700874124000227'</t>
  </si>
  <si>
    <t>КРАЕВОЕ ГОСУДАРСТВЕННОЕ БЮДЖЕТНОЕ УЧРЕЖДЕНИЕ ЗДРАВООХРАНЕНИЯ "АЛТАЙСКИЙ КРАЕВОЙ КЛИНИЧЕСКИЙ ПЕРИНАТАЛЬНЫЙ ЦЕНТР"</t>
  </si>
  <si>
    <t>'0855200000524000753'</t>
  </si>
  <si>
    <t>Протокол подведения итогов определения поставщика (подрядчика, исполнителя) № ИЭА1 от 18.03.2024</t>
  </si>
  <si>
    <t>ЭА.2024.02542</t>
  </si>
  <si>
    <t xml:space="preserve">Электрод игольчатый системы чрескожного мониторинга уровня глюкозы в интерстициальной жидкости / Система Flash мониторинга глюкозы FreeStyle Libre 2 </t>
  </si>
  <si>
    <t>'2771433860924002695'</t>
  </si>
  <si>
    <t>'0873200009824000664'</t>
  </si>
  <si>
    <t>Протокол подведения итогов определения поставщика (подрядчика, исполнителя) № ИЗК1 от 26.03.2024;0873200009824000664-1-178345</t>
  </si>
  <si>
    <t>256/2024-КС</t>
  </si>
  <si>
    <t>Запрос котировок в электронной форме на поставку изделия медицинского назначения (Сканер системы мониторинга глюкозы) для обеспечения граждан, имеющих право на получение государственной социальной помощи в городе Москве (ВК2024-59)</t>
  </si>
  <si>
    <t>Сканер системы мониторинга глюкозы</t>
  </si>
  <si>
    <t>'2720300024924000458'</t>
  </si>
  <si>
    <t>'0167200003424001363'</t>
  </si>
  <si>
    <t>1040РМ/24</t>
  </si>
  <si>
    <t>ТОРОХОВА СЕРГЕЕВНА ИННА</t>
  </si>
  <si>
    <t>'2773103869024000173'</t>
  </si>
  <si>
    <t>ГОСУДАРСТВЕННОЕ БЮДЖЕТНОЕ УЧРЕЖДЕНИЕ ЗДРАВООХРАНЕНИЯ ГОРОДА МОСКВЫ "ГОРОДСКАЯ КЛИНИЧЕСКАЯ БОЛЬНИЦА ИМЕНИ М.Е. ЖАДКЕВИЧА ДЕПАРТАМЕНТА ЗДРАВООХРАНЕНИЯ ГОРОДА МОСКВЫ"</t>
  </si>
  <si>
    <t>'0373200013824000159'</t>
  </si>
  <si>
    <t>Протокол подведения итогов определения поставщика (подрядчика, исполнителя) № ИЭА1 от 19.03.2024;0373200013824000159-6-15692254</t>
  </si>
  <si>
    <t>179/24</t>
  </si>
  <si>
    <t xml:space="preserve"> Поставка системы чрескожного мониторинга уровня глюкозы для нужд ГБУЗ «ГКБ им. М.Е. Жадкевича ДЗМ»</t>
  </si>
  <si>
    <t>ГОСУДАРСТВЕННОЕ БЮДЖЕТНОЕ УЧРЕЖДЕНИЕ ЗДРАВООХРАНЕНИЯ "ПЕНЗЕНСКАЯ ОБЛАСТНАЯ КЛИНИЧЕСКАЯ БОЛЬНИЦА ИМ. Н.Н. БУРДЕНКО"</t>
  </si>
  <si>
    <t>Пензенская область</t>
  </si>
  <si>
    <t>Протокол подведения итогов определения поставщика (подрядчика, исполнителя) № ИЭА1 от 20.03.2024;Статья 93, ч.1, п.25, Федерального закона №44-ФЗ от 05.04.2013. Итоговый протокол № 0855200000524000753-3 от 20.03.2024</t>
  </si>
  <si>
    <t>'08552000005240007530001'</t>
  </si>
  <si>
    <t>Поставка систем чрезкожного мониторинга уровня глюкозы</t>
  </si>
  <si>
    <t>'2661204921124000283'</t>
  </si>
  <si>
    <t>'0362200072924000158'</t>
  </si>
  <si>
    <t>Протокол подведения итогов определения поставщика (подрядчика, исполнителя) № ИЭА1 от 20.03.2024;0362200072924000158-3</t>
  </si>
  <si>
    <t>Датчик системы чрескожного мониторинга уровня глюкозы/ Система Flash мониторинга глюкозы FreeStyle Libre</t>
  </si>
  <si>
    <t>'3234000265824000035'</t>
  </si>
  <si>
    <t>ГОСУДАРСТВЕННОЕ АВТОНОМНОЕ УЧРЕЖДЕНИЕ ЗДРАВООХРАНЕНИЯ СВЕРДЛОВСКОЙ ОБЛАСТИ "ОБЛАСТНАЯ ДЕТСКАЯ КЛИНИЧЕСКАЯ БОЛЬНИЦА"</t>
  </si>
  <si>
    <t>'0318300053123000414'</t>
  </si>
  <si>
    <t>Протокол подведения итогов определения поставщика (подрядчика, исполнителя) № ИЭА1 от 20.03.2024;0362200025824000264-3</t>
  </si>
  <si>
    <t>'0318300053123000414 (118-к) '</t>
  </si>
  <si>
    <t>Электрод игольчатый системы чрескожного мониторинга уровня глюкозы в интерстициальной жидкости/ Система Flash мониторинга глюкозы FreeStyle Libre</t>
  </si>
  <si>
    <t>'1540810013824000105'</t>
  </si>
  <si>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</si>
  <si>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'0351400001324000124'</t>
  </si>
  <si>
    <t>медицинские изделия для нужд НИИКЭЛ – филиал ИЦиГ СО РАН</t>
  </si>
  <si>
    <t>Система Flash мониторинга глюкозы FreeStyle Libre 2, вариант исполнения: Датчик FreeStyle Libre 2</t>
  </si>
  <si>
    <t>СМОЛИН ВИКТОРОВИЧ ЕВГЕНИЙ</t>
  </si>
  <si>
    <t>2165401717024000118'</t>
  </si>
  <si>
    <t>МИНИСТЕРСТВО ЗДРАВООХРАНЕНИЯ РЕСПУБЛИКИ ТАТАРСТАН</t>
  </si>
  <si>
    <t>'0111200002424000141'</t>
  </si>
  <si>
    <t>Протокол подведения итогов определения поставщика (подрядчика, исполнителя) № ИЭА1 от 20.03.2024 00:00:00; Протокол подведения итогов электронного аукциона от 20.03.2024 г. N 0111200002424000141</t>
  </si>
  <si>
    <t>"0111200002424000141"</t>
  </si>
  <si>
    <t>поставка изделий медицинского назначения (системы непрерывного мониторинга глюкозы) для обеспечения детей с сахарным диабетом 1 типа в возрасте от 4-х до 17 лет включительно</t>
  </si>
  <si>
    <t>'2673101866024000087'</t>
  </si>
  <si>
    <t>ОБЛАСТНОЕ ГОСУДАРСТВЕННОЕ БЮДЖЕТНОЕ УЧРЕЖДЕНИЕ ЗДРАВООХРАНЕНИЯ "СМОЛЕНСКАЯ ОБЛАСТНАЯ ДЕТСКАЯ КЛИНИЧЕСКАЯ БОЛЬНИЦА"</t>
  </si>
  <si>
    <t>Смоленская область</t>
  </si>
  <si>
    <t>'0163200000324001386'</t>
  </si>
  <si>
    <t>Протокол подведения итогов определения поставщика (подрядчика, исполнителя) № ИЭА1 от 22.03.2024;0163200000324001386-3</t>
  </si>
  <si>
    <t>37/24</t>
  </si>
  <si>
    <t xml:space="preserve">Поставка расходных материалов для системы непрерывного мониторирования глюкозы  в 2024 году для нужд ОГБУЗ «Смоленская областная детская клиническая больница» </t>
  </si>
  <si>
    <t>Протокол подведения итогов определения поставщика (подрядчика, исполнителя) № ИЭА1 от 22.03.2024;0163200000324001385-3</t>
  </si>
  <si>
    <t>36/24</t>
  </si>
  <si>
    <t>Протокол подведения итогов определения поставщика (подрядчика, исполнителя) № ИЭА1 от 22.03.2024;0163200000324001384-3</t>
  </si>
  <si>
    <t>35/24</t>
  </si>
  <si>
    <t>'2673101866024000084'</t>
  </si>
  <si>
    <t>'0163200000324001382'</t>
  </si>
  <si>
    <t>Протокол подведения итогов определения поставщика (подрядчика, исполнителя) № ИЭА1 от 22.03.2024;0163200000324001382-3</t>
  </si>
  <si>
    <t>34/24</t>
  </si>
  <si>
    <t>'2673101866024000088'</t>
  </si>
  <si>
    <t>'0163200000324001379'</t>
  </si>
  <si>
    <t>Протокол подведения итогов определения поставщика (подрядчика, исполнителя) № ИЭА1 от 22.03.2024;0163200000324001379-3</t>
  </si>
  <si>
    <t>32/24</t>
  </si>
  <si>
    <t>'3666100224825000178'</t>
  </si>
  <si>
    <t>САНКТ-ПЕТЕРБУРГСКОЕ ГОСУДАРСТВЕННОЕ БЮДЖЕТНОЕ УЧРЕЖДЕНИЕ ЗДРАВООХРАНЕНИЯ "ГОРОДСКАЯ АЛЕКСАНДРОВСКАЯ БОЛЬНИЦА"</t>
  </si>
  <si>
    <t>'0362300039125000120'</t>
  </si>
  <si>
    <t>Протокол подведения итогов определения поставщика (подрядчика, исполнителя) № ИЭА1 от 22.03.2024; Протокол подведения итогов определения поставщика (подрядчика, исполнителя) № ИЭА1 от 22.03.2024</t>
  </si>
  <si>
    <t>261/24</t>
  </si>
  <si>
    <t>'2623102512324000255'</t>
  </si>
  <si>
    <t>МИНИСТЕРСТВО ЗДРАВООХРАНЕНИЯ РЯЗАНСКОЙ ОБЛАСТИ</t>
  </si>
  <si>
    <t>Рязанская область</t>
  </si>
  <si>
    <t>'0859200001124001717'</t>
  </si>
  <si>
    <t>Протокол подведения итогов определения поставщика (подрядчика, исполнителя) № ИЭА1 от 20.03.2024;Протокол подведения итогов определения поставщика (подрядчика, исполнителя) ЭА20 № 0859200001124001717-1-2 от «20» марта 2024 г.</t>
  </si>
  <si>
    <t>'08592000011240017170001'</t>
  </si>
  <si>
    <t>Поставка систем непрерывного мониторинга глюкозы</t>
  </si>
  <si>
    <t>Датчик FreeStyle Libre2 системы Flash мониторинга глюкозы FreeStyle Libre 2</t>
  </si>
  <si>
    <t>АНДРЕЕВ ВАЛЕРЬЕВИЧ АНДРЕЙ</t>
  </si>
  <si>
    <t>'2301506815924000124'</t>
  </si>
  <si>
    <t>'0125200000724000003'</t>
  </si>
  <si>
    <t>Протокол подведения итогов определения поставщика (подрядчика, исполнителя) № ИЗК1 от 29.03.2024;0125200000724000003-1</t>
  </si>
  <si>
    <t>73/03</t>
  </si>
  <si>
    <t>Поставка датчик системы чрескожного мониторинга уровня глюкозы</t>
  </si>
  <si>
    <t>'2890100700624000460'</t>
  </si>
  <si>
    <t>ГОСУДАРСТВЕННОЕ КАЗЁННОЕ УЧРЕЖДЕНИЕ ЯМАЛО-НЕНЕЦКОГО АВТОНОМНОГО ОКРУГА "ЦЕНТР РЕСУРСНОГО ОБЕСПЕЧЕНИЯ В СФЕРЕ ЗДРАВООХРАНЕНИЯ"</t>
  </si>
  <si>
    <t>'0190200000324002588'</t>
  </si>
  <si>
    <t>Протокол подведения итогов определения поставщика (подрядчика, исполнителя) № ИЭА1 от 25.03.2024;Протокол подведения итогов определения поставщика (подрядчика, исполнителя) № 0190200000324002588-3 от 25.03.2024</t>
  </si>
  <si>
    <t>2588-СНМГ-ФБ17-24</t>
  </si>
  <si>
    <t>'2170105270724000216'</t>
  </si>
  <si>
    <t>МИНИСТЕРСТВО ЗДРАВООХРАНЕНИЯ РЕСПУБЛИКИ ТЫВА</t>
  </si>
  <si>
    <t>Республика Тыва</t>
  </si>
  <si>
    <t>'0112200000824001045'</t>
  </si>
  <si>
    <t>Протокол подведения итогов определения поставщика (подрядчика, исполнителя) № ИЭА1 от 25.03.2024;Протокол подведения итогов определения поставщика (подрядчика, исполнителя) № C207580D-041E-4341-A353-7A3BADE83341 от 25.03.2024</t>
  </si>
  <si>
    <t>2024.1045</t>
  </si>
  <si>
    <t>Поставка изделий медицинского назначения (Электрода игольчатого системы чрескожного мониторинга уровня глюкозы в интерстициальной жидкости) для обеспечения детей с сахарным диабетом 1 типа в возрасте от 4-х до 17 лет системами непрерывного мониторинга глюкозы в 2024 году.</t>
  </si>
  <si>
    <t>Электрод игольчатый системы чрескожного мониторинга уровня глюкозы в интерстициальной жидкости / Датчик FreeStyle Libre системы Flash мониторинга глюкозы FreeStyle Libre №1</t>
  </si>
  <si>
    <t>"2263300425324000043"</t>
  </si>
  <si>
    <t>"0121200004724000259"</t>
  </si>
  <si>
    <t>Протокол подведения итогов определения поставщика (подрядчика, исполнителя) № ИЭА1 от 26.03.2024;Протокол подведения итогов определения поставщика (подрядчика, исполнителя) № 0121200004724000259-3-179328 от 26.03.2024</t>
  </si>
  <si>
    <t>22633004253 24 000043</t>
  </si>
  <si>
    <t xml:space="preserve">Датчик системы Flash - мони-торинга глюкозы FreeStyle Libre 2  </t>
  </si>
  <si>
    <t>'2583700874124000256'</t>
  </si>
  <si>
    <t>'0155200000924000176'</t>
  </si>
  <si>
    <t>Протокол подведения итогов определения поставщика (подрядчика, исполнителя) № ИЭА1 от 26.03.2024;Статья 93, ч.1, п.25, Федерального закона №44-ФЗ от 05.04.2013. Итоговый протокол № 0155200000924000176-3 от 26.03.2024</t>
  </si>
  <si>
    <t>'01552000009240001760001'</t>
  </si>
  <si>
    <t>'1701801361324000231'</t>
  </si>
  <si>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</si>
  <si>
    <t>'0365100014824000133'</t>
  </si>
  <si>
    <t>Протокол подведения итогов определения поставщика (подрядчика, исполнителя) № ИЭА1 от 26.03.2024 00:00:00</t>
  </si>
  <si>
    <t>Лекарственные средства, реактивы, реагенты, изделия медицинского назначения: Электрод игольчатый системы чрескожного мониторинга уровня глюкозы в интерстициальной жидкости</t>
  </si>
  <si>
    <t>Электрод игольчатый системы чрескожного мониторинга уровня глюкозы в интерстициальной жидкости. Эббот</t>
  </si>
  <si>
    <t>'2121503822124000540'</t>
  </si>
  <si>
    <t>ФЕДЕРАЛЬНОЕ ГОСУДАРСТВЕННОЕ БЮДЖЕТНОЕ НАУЧНОЕ УЧРЕЖДЕНИЕ "НАУЧНЫЙ ЦЕНТР ПРОБЛЕМ ЗДОРОВЬЯ СЕМЬИ И РЕПРОДУКЦИИ ЧЕЛОВЕКА"</t>
  </si>
  <si>
    <t>'0334100010624000054'</t>
  </si>
  <si>
    <t>Протокол подведения итогов определения поставщика (подрядчика, исполнителя) № ИЭА1 от 29.03.2024 00:00:00</t>
  </si>
  <si>
    <t>'575к'</t>
  </si>
  <si>
    <t>закупка электрода игольчатого системы чрезкожного мониторинга уровня глюкозы в интерстициальной жидкости</t>
  </si>
  <si>
    <t>'2616304981424000320'</t>
  </si>
  <si>
    <t>МИНИСТЕРСТВО ЗДРАВООХРАНЕНИЯ РОСТОВСКОЙ ОБЛАСТИ</t>
  </si>
  <si>
    <t>Ростовская область</t>
  </si>
  <si>
    <t>'0158200001324000413'</t>
  </si>
  <si>
    <t>Протокол подведения итогов определения поставщика (подрядчика, исполнителя) № ИЭА1 от 29.03.2024;Протокол подведения итогов определения поставщика (подрядчика, исполнителя) по электронному аукциону от 29 марта 2024 г. №0158200001324000413</t>
  </si>
  <si>
    <t>Закупка медицинских изделий для обеспечения граждан детского возраста, страдающих сахарным диабетом 1-го типа, в соответствии с Постановлением Правительства Ростовской области от 25.12.2023 № 954 «О территориальной программе государственных гарантий бесплатного оказания гражданам медицинской помощи в Ростовской области на 2024 год и плановый период 2025 и 2026 годов»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 совместимый со сканером FreeStyle Libre системы Flash мониторинга глюкозы FreeStyle Libre/мобильным приложением FreeStyle LibreLink)</t>
  </si>
  <si>
    <t>Система Flash мониторинга глюкозы FreeStyle Libre.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Предназначен для измерения уровня глюкозы в интерстициальной жидкости у пациентов, страдающих сахарным диабетом в возрасте от 4 лет и старше. Датчик совместим со Сканером FreeStyle Libre системы Flash мониторинга глюкозы FreeStyle Libre/мобильным приложением FreeStyle LibreLink, имеющегося в наличии. 1. Датчик FreeStyle Libre - 1 шт.; 2. Футляр датчика FreeStyle Libre - 1 шт.; 3. Аппликатор датчика FreeStyle Libre - 1 шт.; 4. Вкладыш - 1 шт.; 5. Инструкция по применению на русском языке- 1 шт. Назначение: Для использования в системе FreeStyle Libre. Производитель: «Эбботт Дайабитиз Кэе Лтд.», Соединенное Королевство Страна происхождения: Соединенное Королевство, Ирландия РУ № РЗН 2018/6764</t>
  </si>
  <si>
    <t>'2170105270724000231'</t>
  </si>
  <si>
    <t>'0112200000824001035'</t>
  </si>
  <si>
    <t>Протокол подведения итогов определения поставщика (подрядчика, исполнителя) № ИЭА1 от 27.03.2024;Протокол подведения итогов определения поставщика (подрядчика, исполнителя) № 7BF74B2C-8E97-44C7-A915-94A154483BEF от 27.03.2024</t>
  </si>
  <si>
    <t>2024.1035</t>
  </si>
  <si>
    <t>Поставка изделий медицинского назначения (Электрод игольчатый системы чрескожного мониторинга уровня глюкозы в интерстициальной жидкости) для льготных категорий граждан территориального регистра на 2024 год.</t>
  </si>
  <si>
    <t>'2212801542024000019'</t>
  </si>
  <si>
    <t>МИНИСТЕРСТВО ЗДРАВООХРАНЕНИЯ ЧУВАШСКОЙ РЕСПУБЛИКИ</t>
  </si>
  <si>
    <t>Республика Чувашия</t>
  </si>
  <si>
    <t>'0815500000524002513'</t>
  </si>
  <si>
    <t>Протокол подведения итогов определения поставщика (подрядчика, исполнителя) № ИЭА1 от 27.03.2024;0815500000524002513-2-2-1335414</t>
  </si>
  <si>
    <t>10-16/785</t>
  </si>
  <si>
    <t>Датчик глюкозы СТ-202</t>
  </si>
  <si>
    <t>ОБЩЕСТВО С ОГРАНИЧЕННОЙ ОТВЕТСТВЕННОСТЬЮ "ЭРВИН"</t>
  </si>
  <si>
    <t>Эрвин</t>
  </si>
  <si>
    <t>'2143536061024000173'</t>
  </si>
  <si>
    <t>ГОСУДАРСТВЕННОЕ КАЗЕННОЕ УЧРЕЖДЕНИЕ РЕСПУБЛИКИ САХА (ЯКУТИЯ) "РЕСУРСНЫЙ ЦЕНТР ПРИ МИНИСТЕРСТВЕ ЗДРАВООХРАНЕНИЯ РЕСПУБЛИКИ САХА (ЯКУТИЯ)"</t>
  </si>
  <si>
    <t>Республика Саха (Якутия)</t>
  </si>
  <si>
    <t>'0816500000624005130'</t>
  </si>
  <si>
    <t>Протокол подведения итогов определения поставщика (подрядчика, исполнителя) № ИЗК1 от 05.04.2024;0816500000624005130-1-1</t>
  </si>
  <si>
    <t>Поставка товара: Электрод игольчатый системы чрескожного мониторинга уровня глюкозы в интерстициальной жидкости в целях социального обеспечения</t>
  </si>
  <si>
    <t>'2380817232724000365'</t>
  </si>
  <si>
    <t>МИНИСТЕРСТВО ЗДРАВООХРАНЕНИЯ ИРКУТСКОЙ ОБЛАСТИ</t>
  </si>
  <si>
    <t>'0134200005924000180'</t>
  </si>
  <si>
    <t>Протокол подведения итогов определения поставщика (подрядчика, исполнителя) № ИЭА1 от 26.03.2024;Статья 93, ч.1, п.25, Федерального закона №44-ФЗ от 05.04.2013. Итоговый протокол № 0134200005924000180-3 от 26.03.2024</t>
  </si>
  <si>
    <t>902/106-оз/СД/0180-ЭА/24</t>
  </si>
  <si>
    <t>Поставка медицинских изделий для медицинского применения Электрод игольчатый системы чрезкожного мониторинга уровня глюкозы в интерстициальной жидкости</t>
  </si>
  <si>
    <t>АКЦИОНЕРНОЕ ОБЩЕСТВО "ИРКУТСКАЯ ОБЛАСТНАЯ ОПТОВО-СНАБЖЕНЧЕСКАЯ АПТЕЧНАЯ БАЗА"</t>
  </si>
  <si>
    <t>Иркутская ООСА</t>
  </si>
  <si>
    <t>'2710500830624000264'</t>
  </si>
  <si>
    <t>ГОСУДАРСТВЕННОЕ УЧРЕЖДЕНИЕ ЗДРАВООХРАНЕНИЯ ТУЛЬСКОЙ ОБЛАСТИ "ТУЛЬСКАЯ ОБЛАСТНАЯ КЛИНИЧЕСКАЯ БОЛЬНИЦА"</t>
  </si>
  <si>
    <t>'0366200000224000046'</t>
  </si>
  <si>
    <t>2024.000046</t>
  </si>
  <si>
    <t>ОБЩЕСТВО С ОГРАНИЧЕННОЙ ОТВЕТСТВЕННОСТЬЮ "МЕДТЕХСИНТЕЗ"</t>
  </si>
  <si>
    <t>'1780203042924000454'</t>
  </si>
  <si>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</si>
  <si>
    <t>'0372100049624000407'</t>
  </si>
  <si>
    <t>Протокол подведения итогов определения поставщика (подрядчика, исполнителя) № ИЗК1 от 09.04.2024 00:00:00</t>
  </si>
  <si>
    <t>03721000496240004070001/МИ</t>
  </si>
  <si>
    <t>Поставка расходных медицинских изделий для эндокринологии</t>
  </si>
  <si>
    <t>'2254001845424000162'</t>
  </si>
  <si>
    <t>МИНИСТЕРСТВО ЗДРАВООХРАНЕНИЯ ПРИМОРСКОГО КРАЯ</t>
  </si>
  <si>
    <t>Приморский край</t>
  </si>
  <si>
    <t>'0820500000824001592'</t>
  </si>
  <si>
    <t>Протокол подведения итогов определения поставщика (подрядчика, исполнителя) № ИЭА1 от 01.04.2024;-</t>
  </si>
  <si>
    <t>"0820500000824001592"</t>
  </si>
  <si>
    <t xml:space="preserve">Электрода игольчатого системы чрескожного мониторинга уровня глюкозы в интерстициальной жидкости реализация мероприятий по обеспечению детей с сахарным диабетом I типа в возрасте от 4-х до 17- ти лет системами непрерывного мониторинга глюкозы </t>
  </si>
  <si>
    <t>Электрод игольчатый системы чрескожного мониторинга уровня глюкозы в интерстициальной жидкости / Датчик системы Flash - мониторинга глюкозы FreeStyle Libre 2 №1</t>
  </si>
  <si>
    <t>'2502406865624000839'</t>
  </si>
  <si>
    <t>'0348200081024000502'</t>
  </si>
  <si>
    <t>Протокол подведения итогов определения поставщика (подрядчика, исполнителя) № ИЭА1 от 27.03.2024;Закупка вследствие признания несостоявшимся электронного аукциона по основаниям, представленным в пункте 6 части 2, части 5, части 7 статьи 52 Федерального закона от 05.04.2013 г.</t>
  </si>
  <si>
    <t>Поставка датчиков системы чрескожного мониторинга уровня глюкозы (М242972)</t>
  </si>
  <si>
    <t>'2462901942024000135'</t>
  </si>
  <si>
    <t>'0744200000224002375'</t>
  </si>
  <si>
    <t>Протокол подведения итогов определения поставщика (подрядчика, исполнителя) № ИЭА1 от 01.04.2024 00:00:00</t>
  </si>
  <si>
    <t>"0744200000224002375"</t>
  </si>
  <si>
    <t>Hematonix</t>
  </si>
  <si>
    <t>'2190113011024000185'</t>
  </si>
  <si>
    <t>'0380200000124001359'</t>
  </si>
  <si>
    <t>Протокол подведения итогов определения поставщика (подрядчика, исполнителя) № ИЭА1 от 02.04.2024</t>
  </si>
  <si>
    <t>2024.1359</t>
  </si>
  <si>
    <t>Поставка электрода игольчатого системы чрескожного мониторинга уровня глюкозы в интерстициальной жидкости для обеспечения льготной категории граждан РЛО в 2024 году</t>
  </si>
  <si>
    <t>Электрод игольчатый системы чрескожного мониторинга уровня глюкозы в интерстициальной жидкости/Датчик FreeStyle Libre системы Flash мониторинга глюкозы FreeStyle Libre</t>
  </si>
  <si>
    <t>'2190113011024000184'</t>
  </si>
  <si>
    <t>'0380200000124001352'</t>
  </si>
  <si>
    <t>Протокол подведения итогов определения поставщика (подрядчика, исполнителя) № ИЭА1 от 03.04.2024</t>
  </si>
  <si>
    <t>2024.1352</t>
  </si>
  <si>
    <t>'2352501051924000104'</t>
  </si>
  <si>
    <t>ДЕПАРТАМЕНТ ЗДРАВООХРАНЕНИЯ ВОЛОГОДСКОЙ ОБЛАСТИ</t>
  </si>
  <si>
    <t>Вологодская область</t>
  </si>
  <si>
    <t>'0830500000224001160'</t>
  </si>
  <si>
    <t>Протокол подведения итогов определения поставщика (подрядчика, исполнителя) № ИЭА1 от 04.04.2024</t>
  </si>
  <si>
    <t>2024.0830500000224001160</t>
  </si>
  <si>
    <t>Поставка медицинских изделий Электродов игольчатых системы чрескожного мониторинга уровня глюкозы в интерстициальной жидкости</t>
  </si>
  <si>
    <t>'2120000088124000076'</t>
  </si>
  <si>
    <t>МИНИСТЕРСТВО ЗДРАВООХРАНЕНИЯ РЕСПУБЛИКИ МАРИЙ ЭЛ</t>
  </si>
  <si>
    <t>Республика Марий Эл</t>
  </si>
  <si>
    <t>'0108500000424001086'</t>
  </si>
  <si>
    <t>Протокол подведения итогов определения поставщика (подрядчика, исполнителя) № ИЭА1 от 02.04.2024; протокол подведения итогов определения поставщика (подрядчика, исполнителя) от 2 апреля 2024 г. № 0108500000424001086-2-1</t>
  </si>
  <si>
    <t>0108500000424001086/ЭА</t>
  </si>
  <si>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</si>
  <si>
    <t>'2132512662524000246'</t>
  </si>
  <si>
    <t>МИНИСТЕРСТВО ЗДРАВООХРАНЕНИЯ РЕСПУБЛИКИ МОРДОВИЯ</t>
  </si>
  <si>
    <t>Республика Мордовия</t>
  </si>
  <si>
    <t>'0809500000324000823'</t>
  </si>
  <si>
    <t>Протокол подведения итогов определения поставщика (подрядчика, исполнителя) № ИЭА1 от 03.04.2024;№ 543-ЭА-24/МИ</t>
  </si>
  <si>
    <t>'08095000003240008230001'</t>
  </si>
  <si>
    <t xml:space="preserve">поставка медицинских изделий (Электрод игольчатый системы чрескожного мониторинга уровня глюкозы в интерстициальной жидкости), в рамках мероприятий по обеспечению детей с сахарным диабетом 1 типа в возрасте от 4-х до 17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 </t>
  </si>
  <si>
    <t>'2420534966424000770'</t>
  </si>
  <si>
    <t>ГОСУДАРСТВЕННОЕ КАЗЕННОЕ УЧРЕЖДЕНИЕ ЗДРАВООХРАНЕНИЯ "АГЕНТСТВО ПО ЗАКУПКАМ В СФЕРЕ ЗДРАВООХРАНЕНИЯ"</t>
  </si>
  <si>
    <t>Кемеровская область</t>
  </si>
  <si>
    <t>'0139200000124003803'</t>
  </si>
  <si>
    <t>1-СД-ЭА/24</t>
  </si>
  <si>
    <t>Поставка систем непрерывного мониторинга глюкозы для обеспечения детей с сахарным диабетом 1 типа в возрасте от 4-х до 17-ти лет. Меры социальной поддержки (приобретение товаров в пользу граждан в целях их социального обеспечения): Электрод игольчатый системы чрескожного мониторинга уровня глюкозы в интерстициальной жидкости</t>
  </si>
  <si>
    <t>Электрод игольчатый системы чрескожного мониторинга уровня глюкозы в интерстициальной жидкости / Система Flash мониторинга глюкозы FreeStyle Libre / Система Flash мониторинга глюкозы FreeStyle Libre                                                                                             (в соответствии с КТРУ: Электрод игольчатый системы чрескожного мониторинга уровня глюкозы в интерстициальной жидкости)</t>
  </si>
  <si>
    <t>'2540215512324001076'</t>
  </si>
  <si>
    <t>'0351200003324001329'</t>
  </si>
  <si>
    <t>24.1329-2024 ЗК РП 148-рп</t>
  </si>
  <si>
    <t>2024-№1197 (ЗК) Поставка медицинских изделий: Электрод игольчатый системы чрескожного мониторинга уровня глюкозы в интерстициальной жидкости</t>
  </si>
  <si>
    <t>'2540215512324001075'</t>
  </si>
  <si>
    <t>'0351200003324001328'</t>
  </si>
  <si>
    <t>24.1328-2024 ЗК РП 147-рп</t>
  </si>
  <si>
    <t>2024-№1198 (ЗК) Поставка медицинских изделий: Электрод игольчатый системы чрескожного мониторинга уровня глюкозы в интерстициальной жидкости</t>
  </si>
  <si>
    <t>'2450102465924000153'</t>
  </si>
  <si>
    <t>'0843500000224001744'</t>
  </si>
  <si>
    <t>Протокол подведения итогов определения поставщика (подрядчика, исполнителя) № ИЭА1 от 05.04.2024;0843500000224001744-1</t>
  </si>
  <si>
    <t>'2462901942024000157'</t>
  </si>
  <si>
    <t>'0744200000224002373'</t>
  </si>
  <si>
    <t>Протокол подведения итогов определения поставщика (подрядчика, исполнителя) № ИЭА1 от 04.04.2024; Протокол подведения итогов определения поставщика (подрядчика, исполнителя) № ИЭА1 от 04.04.2024 00:00:00</t>
  </si>
  <si>
    <t>Комплект изделий чрескожного мониторинга уровня глюкозы в интерстициальной жидкости, электрохимический метод. "Чжэцзян ПОКТех Ко., Лтд"</t>
  </si>
  <si>
    <t>'2732500095124000143'</t>
  </si>
  <si>
    <t>МИНИСТЕРСТВО ЗДРАВООХРАНЕНИЯ УЛЬЯНОВСКОЙ ОБЛАСТИ</t>
  </si>
  <si>
    <t>Ульяновская область</t>
  </si>
  <si>
    <t>'0168500000624001509'</t>
  </si>
  <si>
    <t>Протокол подведения итогов определения поставщика (подрядчика, исполнителя) № ИЗК1 от 12.04.2024;Протокол подведения итогов определения поставщика (подрядчика, исполнителя)</t>
  </si>
  <si>
    <t>Датчик системы чрескожного мониторинга уровня глюкозы для обеспечения детей, страдающих сахарным диабетом 1-го типа, медицинскими изделиями для непрерывного мониторинга глюкозы в 2024 году.</t>
  </si>
  <si>
    <t>'2462901942024000156'</t>
  </si>
  <si>
    <t>'0144200002424000052'</t>
  </si>
  <si>
    <t>Протокол подведения итогов определения поставщика (подрядчика, исполнителя) № ИЭА1 от 03.04.2024 00:00:00</t>
  </si>
  <si>
    <t>Комплект изделий чрескожного мониторинга уровня глюкозы в интерстициальной жидкости, электрохимический метод. Чжэцзян ПОКТех Ко., Лтд</t>
  </si>
  <si>
    <t>'2402712264524000428'</t>
  </si>
  <si>
    <t>392-гп-сд/24</t>
  </si>
  <si>
    <t>Сенсор системы непрерывного мониторинга глюкозы Dr.Brinner RGMS-II</t>
  </si>
  <si>
    <t>'2010502343924000129'</t>
  </si>
  <si>
    <t>МИНИСТЕРСТВО ЗДРАВООХРАНЕНИЯ РЕСПУБЛИКИ АДЫГЕЯ</t>
  </si>
  <si>
    <t>Республика Адыгея</t>
  </si>
  <si>
    <t>'0176200000624000005'</t>
  </si>
  <si>
    <t>0176200000624000004-п.12</t>
  </si>
  <si>
    <t>'2702102165324000177'</t>
  </si>
  <si>
    <t>ДЕПАРТАМЕНТ ЗДРАВООХРАНЕНИЯ ТОМСКОЙ ОБЛАСТИ</t>
  </si>
  <si>
    <t>Томская область</t>
  </si>
  <si>
    <t>'0165100007924000164'</t>
  </si>
  <si>
    <t>Протокол подведения итогов определения поставщика (подрядчика, исполнителя) № ИЭА1 от 08.04.2024 00:00:00</t>
  </si>
  <si>
    <t>ОБ.1164</t>
  </si>
  <si>
    <t>Поставка передатчика имплантируемой системы мониторинга уровня глюкозы у детей в возрасте от 4 до 17 лет</t>
  </si>
  <si>
    <t>'2410117335024000089'</t>
  </si>
  <si>
    <t>'0338200013924000095'</t>
  </si>
  <si>
    <t>Протокол подведения итогов определения поставщика (подрядчика, исполнителя) № ИЭА1 от 08.04.2024</t>
  </si>
  <si>
    <t>Поставка электродов игольчатый системы чрескожного мониторинга уровня глюкозы в интерстициальной жидкости для обеспечения детей с сахарным диабетом 1 типа в возрасте от 4-х до 17-х лет в пользу граждан в целях их социального обеспечения на 2024 год</t>
  </si>
  <si>
    <t>'2165801224724000189'</t>
  </si>
  <si>
    <t>ГОСУДАРСТВЕННОЕ АВТОНОМНОЕ УЧРЕЖДЕНИЕ ЗДРАВООХРАНЕНИЯ "ГОРОДСКАЯ КЛИНИЧЕСКАЯ БОЛЬНИЦА №7 ИМЕНИ М.Н.САДЫКОВА" Г.КАЗАНИ</t>
  </si>
  <si>
    <t>'0311300098124000155'</t>
  </si>
  <si>
    <t>Протокол подведения итогов определения поставщика (подрядчика, исполнителя) № ИЭА1 от 09.04.2024 00:00:00</t>
  </si>
  <si>
    <t>2024.155</t>
  </si>
  <si>
    <t>Поставка расходных материалов для оказания высокотехнологичной медицинской помощи для эндокринологического отделения (Заявка №1)</t>
  </si>
  <si>
    <t>'1770401401024000082'</t>
  </si>
  <si>
    <t>ФЕДЕРАЛЬНОЕ ГОСУДАРСТВЕННОЕ БЮДЖЕТНОЕ УЧРЕЖДЕНИЕ "ФЕДЕРАЛЬНЫЙ НАУЧНО-КЛИНИЧЕСКИЙ ЦЕНТР ФИЗИКО-ХИМИЧЕСКОЙ МЕДИЦИНЫ ИМЕНИ АКАДЕМИКА Ю.М. ЛОПУХИНА ФЕДЕРАЛЬНОГО МЕДИКО-БИОЛОГИЧЕСКОГО АГЕНТСТВА"</t>
  </si>
  <si>
    <t>'0373100013424000067'</t>
  </si>
  <si>
    <t>Протокол подведения итогов определения поставщика (подрядчика, исполнителя) № ИЭА1 от 11.04.2024 00:00:00</t>
  </si>
  <si>
    <t>067-ЭА-24-44</t>
  </si>
  <si>
    <t>Поставка Электродов игольчатых системы чрескожного мониторинга уровня глюкозы в интерстициальной жидкости</t>
  </si>
  <si>
    <t>'2010502343924000128'</t>
  </si>
  <si>
    <t>'0176200000624000006'</t>
  </si>
  <si>
    <t>0176200000624000006-п.12</t>
  </si>
  <si>
    <t>0176200000624000005-п.12</t>
  </si>
  <si>
    <t>'2482500508524000210'</t>
  </si>
  <si>
    <t>УПРАВЛЕНИЕ ЗДРАВООХРАНЕНИЯ ЛИПЕЦКОЙ ОБЛАСТИ</t>
  </si>
  <si>
    <t>'0846500000624000150'</t>
  </si>
  <si>
    <t>Протокол подведения итогов определения поставщика (подрядчика, исполнителя) № ИЭА1 от 09.04.2024;0846500000624000150-1 Протокол от 09.04.2024 подведения итогов электронного аукциона № 317</t>
  </si>
  <si>
    <t>'08465000006240001500001'</t>
  </si>
  <si>
    <t>Поставка медицинского изделия датчика системы чрескожного мониторинга уровня глюкозы, совместимого со сканером FreeStyleLibre системы Flash мониторинга глюкозы FreeStyleLibre 2, для социального обеспечения граждан</t>
  </si>
  <si>
    <t>'2590506107024000273'</t>
  </si>
  <si>
    <t>ГОСУДАРСТВЕННОЕ БЮДЖЕТНОЕ УЧРЕЖДЕНИЕ ЗДРАВООХРАНЕНИЯ ПЕРМСКОГО КРАЯ "КРАЕВАЯ ДЕТСКАЯ КЛИНИЧЕСКАЯ БОЛЬНИЦА"</t>
  </si>
  <si>
    <t>'0156200009924000259'</t>
  </si>
  <si>
    <t>Протокол подведения итогов определения поставщика (подрядчика, исполнителя) № ИЭА1 от 11.04.2024</t>
  </si>
  <si>
    <t>"0156200009924000259"</t>
  </si>
  <si>
    <t xml:space="preserve">Поставка датчика FreeStyle Libre системы Flash  мониторинга глюкозы FreeStyle Libre  </t>
  </si>
  <si>
    <t>'2081602584224000055'</t>
  </si>
  <si>
    <t>МИНИСТЕРСТВО ЗДРАВООХРАНЕНИЯ РЕСПУБЛИКИ КАЛМЫКИЯ</t>
  </si>
  <si>
    <t>Республика Калмыкия</t>
  </si>
  <si>
    <t>'0105500000224000533'</t>
  </si>
  <si>
    <t>Протокол подведения итогов определения поставщика (подрядчика, исполнителя) № ИЭА1 от 12.04.2024 00:00:00</t>
  </si>
  <si>
    <t>72/24</t>
  </si>
  <si>
    <t>Поставка электродов игольчатых системы чрескожного мониторинга уровня глюкозы в интерстициальной жидкости для детей в возрасте от 4-х до 17-ти лет включительно за счет средств 2024 года.</t>
  </si>
  <si>
    <t>ОБЩЕСТВО С ОГРАНИЧЕННОЙ ОТВЕТСТВЕННОСТЬЮ "ЛЕГАС-ТРЕЙД"</t>
  </si>
  <si>
    <t>'2519010997224000325'</t>
  </si>
  <si>
    <t>МИНИСТЕРСТВО ЗДРАВООХРАНЕНИЯ  МУРМАНСКОЙ ОБЛАСТИ</t>
  </si>
  <si>
    <t>'0149200002324001876'</t>
  </si>
  <si>
    <t>Протокол подведения итогов определения поставщика (подрядчика, исполнителя) № ИЭА1 от 12.04.2024;0149200002324001876-3</t>
  </si>
  <si>
    <t>2024.1876</t>
  </si>
  <si>
    <t>поставка изделия медицинского назначения (Датчик системы Flash-мониторинга глюкозы FreeStyle Libre 2)</t>
  </si>
  <si>
    <t>Датчик системы Flash-мониторинга глюкозы FreeStyle Libre 2, № 1</t>
  </si>
  <si>
    <t>'2540215512324001140'</t>
  </si>
  <si>
    <t>'0351200003324001384'</t>
  </si>
  <si>
    <t>24.1384-2024 ЗК НСГ: 4-17</t>
  </si>
  <si>
    <t>2024-№1273 (ЗК) Поставка медицинских изделий: Приемник (сканер) системы чрескожного мониторинга уровня глюкозы в интерстициальной жидкости</t>
  </si>
  <si>
    <t>'2090102408524000137'</t>
  </si>
  <si>
    <t>МИНИСТЕРСТВО ЗДРАВООХРАНЕНИЯ КАРАЧАЕВО-ЧЕРКЕССКОЙ РЕСПУБЛИКИ</t>
  </si>
  <si>
    <t>Республика Карачаево Черкессия</t>
  </si>
  <si>
    <t>'0179200001724000118'</t>
  </si>
  <si>
    <t>Датчик системы чрескожного мониторинга уровня глюкозы.</t>
  </si>
  <si>
    <t>"55609027223240002680000 "</t>
  </si>
  <si>
    <t>"32413402582"</t>
  </si>
  <si>
    <t>'2753614997524000099'</t>
  </si>
  <si>
    <t>ГОСУДАРСТВЕННОЕ УЧРЕЖДЕНИЕ ЗДРАВООХРАНЕНИЯ "ДЕТСКИЙ КЛИНИЧЕСКИЙ МЕДИЦИНСКИЙ ЦЕНТР Г. ЧИТЫ"</t>
  </si>
  <si>
    <t>Забайкальский край</t>
  </si>
  <si>
    <t>'0891200000624003367'</t>
  </si>
  <si>
    <t>115-24</t>
  </si>
  <si>
    <t>Приобретение датчиков системы чрескожного мониторинга уровня глюкозы (00003610-ЭА)</t>
  </si>
  <si>
    <t xml:space="preserve">  Датчик системы чрескожного мониторинга уровня глюкозы. FreeStyle Libre</t>
  </si>
  <si>
    <t>'2920402328124000289'</t>
  </si>
  <si>
    <t>'0174500001124001692'</t>
  </si>
  <si>
    <t>Протокол подведения итогов определения поставщика (подрядчика, исполнителя) № ИЗК1 от 24.04.2024 00:00:00</t>
  </si>
  <si>
    <t>0174500001124001692_315745</t>
  </si>
  <si>
    <t>на поставку систем чрескожного мониторинга уровня глюкозы для льготной категории граждан</t>
  </si>
  <si>
    <t>Электрод игольчатый системы чрескожного мониторинга уровня глюкозы в интерстициальной жидкости. Эбботт Дайабитиз Кэе Лтд.</t>
  </si>
  <si>
    <t>'2860501128124000160'</t>
  </si>
  <si>
    <t>БЮДЖЕТНОЕ УЧРЕЖДЕНИЕ ХАНТЫ-МАНСИЙСКОГО АВТОНОМНОГО ОКРУГА - ЮГРЫ "МЕГИОНСКАЯ ГОРОДСКАЯ БОЛЬНИЦА"</t>
  </si>
  <si>
    <t>'0387200027824000106'</t>
  </si>
  <si>
    <t>ПОСТАВКА ДАТЧИКОВ СИСТЕМЫ ЧРЕСКОЖНОГО МОНИТОРИНГА УРОВНЯ ГЛЮКОЗЫ</t>
  </si>
  <si>
    <t>Датчик системы чрескожного мониторинга уровня глюкозы              . FreeStyle Libre</t>
  </si>
  <si>
    <t>'2702102165323000346'</t>
  </si>
  <si>
    <t>ГОСУДАРСТВЕННОЕ БЮДЖЕТНОЕ УЧРЕЖДЕНИЕ ЗДРАВООХРАНЕНИЯ АРХАНГЕЛЬСКОЙ ОБЛАСТИ "АРХАНГЕЛЬСКАЯ ОБЛАСТНАЯ КЛИНИЧЕСКАЯ БОЛЬНИЦА"</t>
  </si>
  <si>
    <t>Архангельская область</t>
  </si>
  <si>
    <t>'0165100007923000357'</t>
  </si>
  <si>
    <t>Протокол подведения итогов определения поставщика (подрядчика, исполнителя) № ИЭА1 от 17.04.2024 00:00:00</t>
  </si>
  <si>
    <t>629-О</t>
  </si>
  <si>
    <t>Поставка датчиков системы мониторинга глюкозы.</t>
  </si>
  <si>
    <t>'2890100700624000525'</t>
  </si>
  <si>
    <t>'0190200000324004162'</t>
  </si>
  <si>
    <t>4162-СНМГ-В-24</t>
  </si>
  <si>
    <t>'2771433860924003817'</t>
  </si>
  <si>
    <t>'0873200009824000970'</t>
  </si>
  <si>
    <t>Протокол подведения итогов определения поставщика (подрядчика, исполнителя) № ИЗК1 от 25.04.2024;0873200009824000970-1-211259</t>
  </si>
  <si>
    <t>398/2024-КС</t>
  </si>
  <si>
    <t>Запрос котировок в электронной форме на поставку датчиков системы чрескожного мониторинга уровня глюкозы (ВКД2024-1)</t>
  </si>
  <si>
    <t>'2143536061024000189'</t>
  </si>
  <si>
    <t>'0816500000624005615'</t>
  </si>
  <si>
    <t>'2780804383324000332'</t>
  </si>
  <si>
    <t>'0172200002524000124'</t>
  </si>
  <si>
    <t>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 Протокол подведения итогов определения поставщика (подрядчика, исполнителя) № ИЭА1 от 17.04.2024</t>
  </si>
  <si>
    <t>"0172200002524000124"</t>
  </si>
  <si>
    <t>Поставка № 181 медицинского изделия Датчик системы чрескожного мониторинга уровня глюкозы для обеспечения отдельных категорий граждан в 2024 году</t>
  </si>
  <si>
    <t>АКЦИОНЕРНОЕ ОБЩЕСТВО "ФИРМА ЕВРОСЕРВИС"</t>
  </si>
  <si>
    <t>Евросервис</t>
  </si>
  <si>
    <t>'2272404126024000131'</t>
  </si>
  <si>
    <t>'0122200002524001581'</t>
  </si>
  <si>
    <t>Протокол подведения итогов определения поставщика (подрядчика, исполнителя) № ИЗК1 от 25.04.2024;0122200002524001581-0</t>
  </si>
  <si>
    <t>Поставка систем чрескожного мониторинга уровня глюкозы</t>
  </si>
  <si>
    <t>Система чрескожного мониторинга уровня глюкозы. FreeStyle Libre</t>
  </si>
  <si>
    <t>'2770206615724000260'</t>
  </si>
  <si>
    <t>ГОСУДАРСТВЕННОЕ БЮДЖЕТНОЕ УЧРЕЖДЕНИЕ ЗДРАВООХРАНЕНИЯ МОСКОВСКОЙ ОБЛАСТИ "МОСКОВСКИЙ ОБЛАСТНОЙ НАУЧНО-ИССЛЕДОВАТЕЛЬСКИЙ КЛИНИЧЕСКИЙ ИНСТИТУТ ИМ. М.Ф.ВЛАДИМИРСКОГО"</t>
  </si>
  <si>
    <t>'0348200027024000209'</t>
  </si>
  <si>
    <t>Электрод игольчатый системы чрескожного мониторинга уровня глюкозы в интерстициальной жидкости 32.50.50.190-00002929</t>
  </si>
  <si>
    <t>ОБЩЕСТВО С ОГРАНИЧЕННОЙ ОТВЕТСТВЕННОСТЬЮ "ИНТЕЛТРЕЙД"</t>
  </si>
  <si>
    <t>'2272404126024000132'</t>
  </si>
  <si>
    <t>'0122200002524001596'</t>
  </si>
  <si>
    <t>Протокол подведения итогов определения поставщика (подрядчика, исполнителя) № ИЗК1 от 26.04.2024;Протокол подведения итогов ЭЗК 0122200002524001596</t>
  </si>
  <si>
    <t>'2540215512324001185'</t>
  </si>
  <si>
    <t>'0351200003324001442'</t>
  </si>
  <si>
    <t>24.Ф.2024.1442 НСГ: 4-17</t>
  </si>
  <si>
    <t>2024-№1300 Поставка медицинских изделий: Электрод игольчатый системы чрескожного мониторинга уровня глюкозы в интерстициальной жидкости</t>
  </si>
  <si>
    <t>'2246621260724000475'</t>
  </si>
  <si>
    <t>МИНИСТЕРСТВО ЗДРАВООХРАНЕНИЯ КРАСНОЯРСКОГО КРАЯ</t>
  </si>
  <si>
    <t>'0119200000124005718'</t>
  </si>
  <si>
    <t>Протокол подведения итогов определения поставщика (подрядчика, исполнителя) № ИЭА1 от 23.04.2024 00:00:00</t>
  </si>
  <si>
    <t>2024/28/3</t>
  </si>
  <si>
    <t>ЭА-№-5969/24 «Электрод игольчатый системы чрескожного мониторинга уровня глюкозы в интерстициальной жидкости »</t>
  </si>
  <si>
    <t>'2550400463824000228'</t>
  </si>
  <si>
    <t>БЮДЖЕТНОЕ УЧРЕЖДЕНИЕ ЗДРАВООХРАНЕНИЯ ОМСКОЙ ОБЛАСТИ "ОБЛАСТНАЯ ДЕТСКАЯ КЛИНИЧЕСКАЯ БОЛЬНИЦА"</t>
  </si>
  <si>
    <t>'0852500000124000839'</t>
  </si>
  <si>
    <t>Протокол подведения итогов определения поставщика (подрядчика, исполнителя) № ИЭА1 от 25.04.2024;Протокол подведения итогов определения поставщика (подрядчика, исполнителя) № 0852500000124000839-3 от 25.04.2024</t>
  </si>
  <si>
    <t>'08525000001240008390001'</t>
  </si>
  <si>
    <t>'2550400463824000229'</t>
  </si>
  <si>
    <t>'0852500000124000835'</t>
  </si>
  <si>
    <t>Протокол подведения итогов определения поставщика (подрядчика, исполнителя) № ИЭА1 от 23.04.2024;Протокол подведения итогов определения поставщика (подрядчика, исполнителя) № 0852500000124000835-3 от 23.04.2024</t>
  </si>
  <si>
    <t>'08525000001240008350001'</t>
  </si>
  <si>
    <t>'2434701856224000108'</t>
  </si>
  <si>
    <t>КИРОВСКОЕ ОБЛАСТНОЕ ГОСУДАРСТВЕННОЕ БЮДЖЕТНОЕ УЧРЕЖДЕНИЕ ЗДРАВООХРАНЕНИЯ "КИРОВСКАЯ ОБЛАСТНАЯ ДЕТСКАЯ КЛИНИЧЕСКАЯ БОЛЬНИЦА"</t>
  </si>
  <si>
    <t>Кировская область</t>
  </si>
  <si>
    <t>'0340200003324004394'</t>
  </si>
  <si>
    <t>Протокол подведения итогов определения поставщика (подрядчика, исполнителя) № ИЭА1 от 23.04.2024;0340200003324004394</t>
  </si>
  <si>
    <t>'03402000033240043940001'</t>
  </si>
  <si>
    <t>Электрод игольчатый системы чрескожного мониторинга уровня глюкозы в интерстициальной жидкости  (Система Flash мониторинга глюкозы FreeStyle Libre 2)</t>
  </si>
  <si>
    <t>'2100104678624000228'</t>
  </si>
  <si>
    <t>'0306200010224000293'</t>
  </si>
  <si>
    <t>Поставка Электрод игольчатый системы чрескожного мониторинга уровня глюкозы в интерстициальной жидкости (для системы FreeStyle Libre) в рамках реализации мероприятий по обеспечению детей с сахарным диабетом 1 типа в возрасте от 4-х до 17-ти лет системами непрерывного мониторинга глюкозы (для социального обеспечения отдельных категорий граждан)</t>
  </si>
  <si>
    <t xml:space="preserve">Электрод игольчатый системы чрескожного мониторинга уровня глюкозы в интерстициальной жидкости. FreeStyle Libre </t>
  </si>
  <si>
    <t>'2780804622424000574'</t>
  </si>
  <si>
    <t>САНКТ-ПЕТЕРБУРГСКОЕ ГОСУДАРСТВЕННОЕ БЮДЖЕТНОЕ УЧРЕЖДЕНИЕ ЗДРАВООХРАНЕНИЯ "ГОРОДСКАЯ МАРИИНСКАЯ БОЛЬНИЦА"</t>
  </si>
  <si>
    <t>'0372200000124000501'</t>
  </si>
  <si>
    <t>Протокол подведения итогов определения поставщика (подрядчика, исполнителя) № ИЗК1 от 02.05.2024;  Протокол подведения итогов определения поставщика (подрядчика, исполнителя) № ИЗК1 от 02.05.2024 00:00:00 Протокол подведения итогов определения поставщика (подрядчика, исполнителя) № ИЗК1 от 02.05.2024</t>
  </si>
  <si>
    <t>'03722000001240005010001'</t>
  </si>
  <si>
    <t>Поставка медицинского расходного материала для нужд больницы Лот 3</t>
  </si>
  <si>
    <t>ОБЩЕСТВО С ОГРАНИЧЕННОЙ ОТВЕТСТВЕННОСТЬЮ "МЕДИМКОМ"</t>
  </si>
  <si>
    <t>'2830001052624000203'</t>
  </si>
  <si>
    <t>'0384200001824000009'</t>
  </si>
  <si>
    <t>Протокол подведения итогов определения поставщика № ИЗТ1 от 03.05.2024 00:00:00</t>
  </si>
  <si>
    <t>'2402712264524000463'</t>
  </si>
  <si>
    <t>423-гп-сд/24</t>
  </si>
  <si>
    <t>'2771303416424000631'</t>
  </si>
  <si>
    <t>ГОСУДАРСТВЕННОЕ БЮДЖЕТНОЕ УЧРЕЖДЕНИЕ ЗДРАВООХРАНЕНИЯ ГОРОДА МОСКВЫ "ГОРОДСКАЯ КЛИНИЧЕСКАЯ БОЛЬНИЦА ИМЕНИ В.В. ВЕРЕСАЕВА ДЕПАРТАМЕНТА ЗДРАВООХРАНЕНИЯ ГОРОДА МОСКВЫ"</t>
  </si>
  <si>
    <t>'0373200001324000708'</t>
  </si>
  <si>
    <t>Протокол подведения итогов определения поставщика (подрядчика, исполнителя) № ИЗК1 от 03.05.2024;0373200001324000708-4-15765118</t>
  </si>
  <si>
    <t>Электронный запрос котировок на поставку расходных материалов для эндокринологического отделения (датчик системы чрескожного мониторинга уровня глюкозы) ГБУЗ «ГКБ им. В.В. Вересаева ДЗМ» в 2024 году по ОМС и ВМП</t>
  </si>
  <si>
    <t>Датчик системы чрескожного мониторинга уровня глюкозы. Датчик Freestyle Libre</t>
  </si>
  <si>
    <t>ЧАЛЫХ АНАТОЛЬЕВНА СВЕТЛАНА</t>
  </si>
  <si>
    <t>'2540215512324001220'</t>
  </si>
  <si>
    <t>'0351200003324001529'</t>
  </si>
  <si>
    <t>24.1529-2024 ЗК НСГ: 4-17</t>
  </si>
  <si>
    <t>2024-№1378 (ЗК) Поставка медицинских изделий: Приемник (сканер) системы чрескожного мониторинга уровня глюкозы в интерстициальной жидкости</t>
  </si>
  <si>
    <t>'2332902556524000218'</t>
  </si>
  <si>
    <t>'0128200000124001762'</t>
  </si>
  <si>
    <t>0128200000124001762_63971</t>
  </si>
  <si>
    <t>'2631819736724001395'</t>
  </si>
  <si>
    <t>'0142200001324009226'</t>
  </si>
  <si>
    <t>Протокол подведения итогов определения поставщика (подрядчика, исполнителя) № ИЭА1 от 03.05.2024 00:00:00</t>
  </si>
  <si>
    <t>1291/24/ИМН-Т</t>
  </si>
  <si>
    <t>Поставка изделий медицинского назначения для больных сахарным диабетом, в рамках льготного обеспечения на 2024 год.</t>
  </si>
  <si>
    <t>'2650102496624000434'</t>
  </si>
  <si>
    <t>МИНИСТЕРСТВО ЗДРАВООХРАНЕНИЯ САХАЛИНСКОЙ ОБЛАСТИ</t>
  </si>
  <si>
    <t>Сахалинская область</t>
  </si>
  <si>
    <t>'0361200015024002463'</t>
  </si>
  <si>
    <t>Поставка датчика системы непрерывного мониторирования глюкозы (СНМГ) для обеспечения пациентов с заболеванием сахарный диабет 1 типа с установленными инсулиновыми помпами федеральной ответственности</t>
  </si>
  <si>
    <t>'2212801480424000111'</t>
  </si>
  <si>
    <t>БЮДЖЕТНОЕ УЧРЕЖДЕНИЕ ЧУВАШСКОЙ РЕСПУБЛИКИ "РЕСПУБЛИКАНСКАЯ ДЕТСКАЯ КЛИНИЧЕСКАЯ БОЛЬНИЦА" МИНИСТЕРСТВА ЗДРАВООХРАНЕНИЯ ЧУВАШСКОЙ РЕСПУБЛИКИ</t>
  </si>
  <si>
    <t>'0815500000524004545'</t>
  </si>
  <si>
    <t>Протокол подведения итогов определения поставщика (подрядчика, исполнителя) № ИЗК1 от 13.05.2024;0815500000524004545-1-225779</t>
  </si>
  <si>
    <t>97/ЗК-24</t>
  </si>
  <si>
    <t>Поставка медицинских изделий (электрод игольчатый системы чрескожного мониторинга уровня глюкозы в интерстициальной жидкости)</t>
  </si>
  <si>
    <t>Электрод игольчатый системы чрескожного мониторинга уровня глюкозы в интерстициальной жидкости/Система Flash мониторинга глюкозы FreeStyleLibre 2</t>
  </si>
  <si>
    <t>Электрод игольчатый системы чрескожного мониторинга уровня глюкозы в интерстициальной жидкости/Система Flash мониторинга глюкозы FreeStyleLibre</t>
  </si>
  <si>
    <t>Протокол подведения итогов определения поставщика (подрядчика, исполнителя) № ИЭА1 от 06.05.2024 00:00:00</t>
  </si>
  <si>
    <t>1312/24/СД-4-17</t>
  </si>
  <si>
    <t>'2490908578524000127'</t>
  </si>
  <si>
    <t>'0847500000924000666'</t>
  </si>
  <si>
    <t>Поставка датчиков системы чрескожного мониторинга уровня глюкозы для детей имеющих право на государственную социальную помощь с сахарным диабетом 1 типа в возрасте от 4-х до 17-ти лет системами непрерывного мониторинга глюкозы.</t>
  </si>
  <si>
    <t>Электрод игольчатый системы чрескожного мониторинга уровня глюкозы в интерстициальной жидкости. Датчик системы Flash -  мониторинга глюкозы FreeStyle Libre 2</t>
  </si>
  <si>
    <t>'2100104678624000239'</t>
  </si>
  <si>
    <t>'0306200010224000298'</t>
  </si>
  <si>
    <t>Протокол подведения итогов определения поставщика (подрядчика, исполнителя) № ИЗК1 от 14.05.2024 00:00:00</t>
  </si>
  <si>
    <t>Поставка Электрод игольчатый системы чрескожного мониторинга уровня глюкозы в интерстициальной жидкости (для системы FreeStyle Libre 2) в рамках реализации ведомственной целевой программы "Предупреждение и борьба с социально значимыми заболеваниями в Республике Карелия" в 2024 году (для социального обеспечения отдельных категорий граждан)</t>
  </si>
  <si>
    <t>'2056204455024000351'</t>
  </si>
  <si>
    <t>'0103200008424001724'</t>
  </si>
  <si>
    <t>Протокол подведения итогов определения поставщика (подрядчика, исполнителя) № ИЭА1 от 07.05.2024 00:00:00; № ИЭА1 от 07.05.2024 00:00:00</t>
  </si>
  <si>
    <t>'1526010135224000303'</t>
  </si>
  <si>
    <t>ФЕДЕРАЛЬНОЕ БЮДЖЕТНОЕ УЧРЕЖДЕНИЕ ЗДРАВООХРАНЕНИЯ "ПРИВОЛЖСКИЙ ОКРУЖНОЙ МЕДИЦИНСКИЙ ЦЕНТР"  ФЕДЕРАЛЬНОГО МЕДИКО-БИОЛОГИЧЕСКОГО АГЕНТСТВА</t>
  </si>
  <si>
    <t>Нижегородская область</t>
  </si>
  <si>
    <t>'0332100021324000267'</t>
  </si>
  <si>
    <t>41-ЗК</t>
  </si>
  <si>
    <t>Запрос котировок №41. Поставка расходных материалов</t>
  </si>
  <si>
    <t>'2720216180724000284'</t>
  </si>
  <si>
    <t>'0167200003424003086'</t>
  </si>
  <si>
    <t>421/2024</t>
  </si>
  <si>
    <t>'2540215512324001294'</t>
  </si>
  <si>
    <t>'0351200003324001555'</t>
  </si>
  <si>
    <t>24.Ф.2024.1555 НСГ: 4-17</t>
  </si>
  <si>
    <t>2024-№1409 Поставка медицинских изделий: Электрод игольчатый системы чрескожного мониторинга уровня глюкозы в интерстициальной жидкости</t>
  </si>
  <si>
    <t>ОБЩЕСТВО С ОГРАНИЧЕННОЙ ОТВЕТСТВЕННОСТЬЮ "ФАРМАЦВЕТ"</t>
  </si>
  <si>
    <t>Фармацвет</t>
  </si>
  <si>
    <t>'2710700631124000516'</t>
  </si>
  <si>
    <t>'0366200035624003156'</t>
  </si>
  <si>
    <t>2024.00491</t>
  </si>
  <si>
    <t>Поставка медицинских изделий Электрод игольчатый системы чрескожного мониторинга уровня глюкозы в интерстициальной жидкости,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</si>
  <si>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'1526003794024000383'</t>
  </si>
  <si>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</si>
  <si>
    <t>'0332100022724000467'</t>
  </si>
  <si>
    <t>Протокол подведения итогов определения поставщика (подрядчика, исполнителя) № ИЗК1 от 21.05.2024 00:00:00</t>
  </si>
  <si>
    <t>105-ЗК</t>
  </si>
  <si>
    <t>Поставка электрода игольчатого системы чрескожного мониторинга уровня глюкозы (105-ЗК)</t>
  </si>
  <si>
    <t>'2041100854224000202'</t>
  </si>
  <si>
    <t>МИНИСТЕРСТВО ЗДРАВООХРАНЕНИЯ РЕСПУБЛИКИ АЛТАЙ</t>
  </si>
  <si>
    <t>Республика Алтай</t>
  </si>
  <si>
    <t>'0177200000424000003'</t>
  </si>
  <si>
    <t>Протокол подведения итогов определения поставщика № ИЗТ1 от 23.05.2024 00:00:00</t>
  </si>
  <si>
    <t>МЗ РА СД 30/2024</t>
  </si>
  <si>
    <t>'2041100854224000201'</t>
  </si>
  <si>
    <t>'0177200000424000004'</t>
  </si>
  <si>
    <t>МЗ РА СД 29/2024</t>
  </si>
  <si>
    <t>'1701801361325000220'</t>
  </si>
  <si>
    <t>'0365100014825000152'</t>
  </si>
  <si>
    <t>Протокол подведения итогов определения поставщика (подрядчика, исполнителя) № ИЭА1 от 14.05.2024;0131200001024003923-3</t>
  </si>
  <si>
    <t>А.2024.3923</t>
  </si>
  <si>
    <t>2024-04183**Поставка медицинских изделий.</t>
  </si>
  <si>
    <t>ГОСУДАРСТВЕННОЕ БЮДЖЕТНОЕ УЧРЕЖДЕНИЕ "КУРГАНСКАЯ ОБЛАСТНАЯ БОЛЬНИЦА №2"</t>
  </si>
  <si>
    <t>475-ЭА</t>
  </si>
  <si>
    <t>Поставка медицинского изделия (Электрод игольчатый системы чрескожного мониторинга уровня глюкозы в интерстициальной жидкости)</t>
  </si>
  <si>
    <t>'2771433860924007780'</t>
  </si>
  <si>
    <t>'0873200009824002002'</t>
  </si>
  <si>
    <t>24.Ф.2024.1566 НСГ: 4-17</t>
  </si>
  <si>
    <t>2024-№1440 Поставка медицинских изделий: Электрод игольчатый системы чрескожного мониторинга уровня глюкозы в интерстициальной жидкости</t>
  </si>
  <si>
    <t>'2550400463824000278'</t>
  </si>
  <si>
    <t>'0852500000124001216'</t>
  </si>
  <si>
    <t>'08525000001240012160001'</t>
  </si>
  <si>
    <t>Поставка медицинских изделий (Реестровый номер 241367)</t>
  </si>
  <si>
    <t>'2550400463824000279'</t>
  </si>
  <si>
    <t>'0852500000124001203'</t>
  </si>
  <si>
    <t>'08525000001240012030001'</t>
  </si>
  <si>
    <t>Поставка медицинских изделий (Реестровый номер 241331)</t>
  </si>
  <si>
    <t>ГОСУДАРСТВЕННОЕ БЮДЖЕТНОЕ УЧРЕЖДЕНИЕ ЗДРАВООХРАНЕНИЯ "КРАЕВАЯ КЛИНИЧЕСКАЯ БОЛЬНИЦА № 2" МИНИСТЕРСТВА ЗДРАВООХРАНЕНИЯ КРАСНОДАРСКОГО КРАЯ</t>
  </si>
  <si>
    <t>Краснодарский край</t>
  </si>
  <si>
    <t>Протокол подведения итогов определения поставщика (подрядчика, исполнителя) № ИЭА1 от 15.05.2024 00:00:00</t>
  </si>
  <si>
    <t>'03183001267240002140001'</t>
  </si>
  <si>
    <t>Датчик системы Flash - мониторинга глюкозы FreeStyle Libre 2/Система Flash мониторинга глюкозы FreeStyle Libre 2</t>
  </si>
  <si>
    <t>'2770206615724000302'</t>
  </si>
  <si>
    <t>'0348200027024000227'</t>
  </si>
  <si>
    <t>Протокол подведения итогов определения поставщика (подрядчика, исполнителя) № ИЭА1 от 15.05.2024;протокол подведения итогов  № 0348200027024000227 от 15.05.2024 г.</t>
  </si>
  <si>
    <t>Поставка расходных медицинских материалов для эндокринологии и педиатрии в 2024 году (лот 3)</t>
  </si>
  <si>
    <t>Электрод игольчатый системы чрескожного мониторинга уровня глюкозы в интерстициальной жидкости, КТРУ 32.50.50.190-00002929. Датчик системы Flash - мониторинга глюкозы FreeStyle Libre 2/Система Flash мониторинга глюкозы FreeStyle Libre 2</t>
  </si>
  <si>
    <t>'2320100491724000390'</t>
  </si>
  <si>
    <t>ДЕПАРТАМЕНТ ЗДРАВООХРАНЕНИЯ БРЯНСКОЙ ОБЛАСТИ</t>
  </si>
  <si>
    <t>'0127200001124000074'</t>
  </si>
  <si>
    <t>Протокол подведения итогов определения поставщика (подрядчика, исполнителя) № ИЗК1 от 22.05.2024;протокол подведения итогов электронного запроса котировок №0127200001124000074 от 22.05.2024 года</t>
  </si>
  <si>
    <t>Закупка в целях обеспечения детей с сахарным диабетом I типа от 4-х до 17-ти лет системами непрерывного мониторинга глюкозы</t>
  </si>
  <si>
    <t>'2056204455024000380'</t>
  </si>
  <si>
    <t>'0103200008424001699'</t>
  </si>
  <si>
    <t>Протокол подведения итогов определения поставщика (подрядчика, исполнителя) № ИЭА1 от 14.05.2024 00:00:00; 4.05.2024 00:00:00</t>
  </si>
  <si>
    <t>Поставка медицинских изделий в рамках федерального проекта "Борьба с сахарным диабетом"_К</t>
  </si>
  <si>
    <t>'2246503087624001890'</t>
  </si>
  <si>
    <t>ГОСУДАРСТВЕННОЕ БЮДЖЕТНОЕ УЧРЕЖДЕНИЕ ЗДРАВООХРАНЕНИЯ ТВЕРСКОЙ ОБЛАСТИ "КЛИНИЧЕСКАЯ ДЕТСКАЯ БОЛЬНИЦА №2"</t>
  </si>
  <si>
    <t>'0319200039724000807'</t>
  </si>
  <si>
    <t>'2320100491724000391'</t>
  </si>
  <si>
    <t>'0127200001124000075'</t>
  </si>
  <si>
    <t>Протокол подведения итогов определения поставщика (подрядчика, исполнителя) № ИЗК2 от 22.05.2024;протокола подведения итогов электронного запроса котировок №0127200001124000075 от 22.05.2024 года</t>
  </si>
  <si>
    <t>"0127200001124000075"</t>
  </si>
  <si>
    <t>Закупка в целях обеспечения детей с сахарным диабетом I типа от 2-х до 4-х лет системами непрерывного мониторинга глюкозы</t>
  </si>
  <si>
    <t>Комплект изделий чрескожного мониторинга уровня глюкозы в интерстициальной жидкости, электрохимический метод. Hematonix GS1</t>
  </si>
  <si>
    <t>'2720216180724000291'</t>
  </si>
  <si>
    <t>'0167200003424003194'</t>
  </si>
  <si>
    <t>428/2024</t>
  </si>
  <si>
    <t>'2060101115924000029'</t>
  </si>
  <si>
    <t>ГОСУДАРСТВЕННОЕ БЮДЖЕТНОЕ УЧРЕЖДЕНИЕ ЗДРАВООХРАНЕНИЯ "МАЛГОБЕКСКАЯ ЦЕНТРАЛЬНАЯ РАЙОННАЯ БОЛЬНИЦА"</t>
  </si>
  <si>
    <t>Республика Ингушетия</t>
  </si>
  <si>
    <t>'0114500000824000784'</t>
  </si>
  <si>
    <t>Протокол подведения итогов определения поставщика (подрядчика, исполнителя) № ИЭА1 от 17.05.2024 00:00:00</t>
  </si>
  <si>
    <t>Поставка изделий медицинского назначения для больных сахарным диабетом.</t>
  </si>
  <si>
    <t>ОБЩЕСТВО С ОГРАНИЧЕННОЙ ОТВЕТСТВЕННОСТЬЮ "ПАРАДИЗ-М"</t>
  </si>
  <si>
    <t>'2230905305824001080'</t>
  </si>
  <si>
    <t>МИНИСТЕРСТВО ЗДРАВООХРАНЕНИЯ КРАСНОДАРСКОГО КРАЯ</t>
  </si>
  <si>
    <t>'0818500000824003424'</t>
  </si>
  <si>
    <t>Протокол подведения итогов определения поставщика (подрядчика, исполнителя) № ИЭА1 от 17.05.2024;Протокол подведения итогов определения поставщика (подрядчика, исполнителя) № 0818500000824003424-3 от 17.05.2024</t>
  </si>
  <si>
    <t>0818500000824003424.2024 (1819-Г/М)</t>
  </si>
  <si>
    <t>Поставка электрода игольчатой системы чрескожного мониторинга уровня глюкозы в интерстициальной жидкости</t>
  </si>
  <si>
    <t>ОБЩЕСТВО С ОГРАНИЧЕННОЙ ОТВЕТСТВЕННОСТЬЮ "ПАНАЦЕЯ"</t>
  </si>
  <si>
    <t>Панацея</t>
  </si>
  <si>
    <t>'2502406865624003289'</t>
  </si>
  <si>
    <t>'0348200081024004275'</t>
  </si>
  <si>
    <t>24.Ф.2024.1584 РП 180-рп</t>
  </si>
  <si>
    <t>2024-№1371 (ЗК) Поставка медицинских изделий: Электрод игольчатый системы чрескожного мониторинга уровня глюкозы в интерстициальной жидкости</t>
  </si>
  <si>
    <t>'2165901171124000105'</t>
  </si>
  <si>
    <t>'0711200015924000088'</t>
  </si>
  <si>
    <t>Протокол подведения итогов определения поставщика (подрядчика, исполнителя) № ИЭА1 от 17.05.2024 00:00:00; Протокол подведения итогов определения поставщика (подрядчика, исполнителя) № ИЭА1 от 17.05.2024 00:00:00</t>
  </si>
  <si>
    <t>2024.842784</t>
  </si>
  <si>
    <t>'2502406865624001429'</t>
  </si>
  <si>
    <t>'0348200081024001794'</t>
  </si>
  <si>
    <t>Поставка датчиков системы чрескожного мониторинга уровня глюкозы (М244497)</t>
  </si>
  <si>
    <t>'2540215512324001310'</t>
  </si>
  <si>
    <t>'0351200003324001602'</t>
  </si>
  <si>
    <t>24.1602-2024 ЗК РП 191-рп</t>
  </si>
  <si>
    <t>2024-№1418 (ЗК) Поставка медицинских изделий: Электрод игольчатый системы чрескожного мониторинга уровня глюкозы в интерстициальной жидкости</t>
  </si>
  <si>
    <t>'2041100854224000203'</t>
  </si>
  <si>
    <t>'0177200000424000005'</t>
  </si>
  <si>
    <t>Протокол подведения итогов определения поставщика № ИЗТ1 от 28.05.2024 00:00:00</t>
  </si>
  <si>
    <t>МЗ РА СД 31/2024</t>
  </si>
  <si>
    <t>'2683200841124000219'</t>
  </si>
  <si>
    <t>ГОСУДАРСТВЕННОЕ БЮДЖЕТНОЕ УЧРЕЖДЕНИЕ ЗДРАВООХРАНЕНИЯ "ТАМБОВСКАЯ ОБЛАСТНАЯ КЛИНИЧЕСКАЯ БОЛЬНИЦА ИМЕНИ В.Д. БАБЕНКО"</t>
  </si>
  <si>
    <t>'0164200001924001453'</t>
  </si>
  <si>
    <t>Протокол подведения итогов определения поставщика (подрядчика, исполнителя) № ИЭА1 от 20.05.2024 00:00:00</t>
  </si>
  <si>
    <t>0164200001924001453_52288</t>
  </si>
  <si>
    <t>Поставка медицинского изделия датчик системы мониторинга глюкозы Flash мониторинга глюкозы FreeStyle Lidre.</t>
  </si>
  <si>
    <t>'2772009352324000921'</t>
  </si>
  <si>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</si>
  <si>
    <t>'0373200022224000947'</t>
  </si>
  <si>
    <t xml:space="preserve">Электронный аукцион на поставку расходных материалов для отделения эндокринологии (Этап 6) в 2024 году для нужд ГБУЗ МКНЦ имени А.С. Логинова ДЗМ </t>
  </si>
  <si>
    <t>Электрод игольчатый системы чрескожного мониторинга уровня глюкозы в интерстициальной жидкости. Отсутствует</t>
  </si>
  <si>
    <t>ОБЩЕСТВО С ОГРАНИЧЕННОЙ ОТВЕТСТВЕННОСТЬЮ "МЕДИКАЛ САПЛАЙ"</t>
  </si>
  <si>
    <t>'2732500095124000198'</t>
  </si>
  <si>
    <t>'0168500000624002489'</t>
  </si>
  <si>
    <t>Протокол подведения итогов определения поставщика (подрядчика, исполнителя) № ИЗК1 от 28.05.2024;Протокол подведения итогов определения поставщика (подрядчика, исполнителя)</t>
  </si>
  <si>
    <t>Датчики системы чрескожного мониторинга уровня глюкозы для обеспечения граждан по решениям, принятым судебными органами в 2024 году.</t>
  </si>
  <si>
    <t>ГОСУДАРСТВЕННОЕ БЮДЖЕТНОЕ УЧРЕЖДЕНИЕ РЕСПУБЛИКИ МАРИЙ ЭЛ "ДЕТСКАЯ РЕСПУБЛИКАНСКАЯ КЛИНИЧЕСКАЯ БОЛЬНИЦА"</t>
  </si>
  <si>
    <t>Протокол подведения итогов определения поставщика (подрядчика, исполнителя) № ИЭА1 от 23.05.2024 00:00:00</t>
  </si>
  <si>
    <t>235/ЭА-2024</t>
  </si>
  <si>
    <t xml:space="preserve">Электрод игольчатый системы чрескожного мониторинга уровня глюкозы в интерстициальной жидкости (объект закупки является медицинским изделием, код НКМИ: 300910: Электрод игольчатый системы чрескожного мониторинга уровня глюкозы в интерстициальной жидкости, наименование в соответствии с РУ: Система Flash мониторинга глюкозы FreeStyle Libre 2) FreeStyle Libre 2 </t>
  </si>
  <si>
    <t xml:space="preserve">Электрод игольчатый системы чрескожного мониторинга уровня глюкозы в интерстициальной жидкости (объект закупки является медицинским изделием, код НКМИ: 300910: Электрод игольчатый системы чрескожного мониторинга уровня глюкозы в интерстициальной жидкости, наименование в соответствии с РУ: Система Flash мониторинга глюкозы FreeStyle Libre) FreeStyle Libre </t>
  </si>
  <si>
    <t>'2631819736724001651'</t>
  </si>
  <si>
    <t>'0142200001324010753'</t>
  </si>
  <si>
    <t>Протокол подведения итогов определения поставщика (подрядчика, исполнителя) № ИЭА1 от 22.05.2024; Протокол подведения итогов определения поставщика (подрядчика, исполнителя) № ИЭА1 от 22.05.2024 00:00:00</t>
  </si>
  <si>
    <t>1375/24/ИМН-СУД</t>
  </si>
  <si>
    <t>Поставка изделий медицинского назначения для больных сахарным диабетом, в рамках льготного лекарственного обеспечения на 2024 год.</t>
  </si>
  <si>
    <t>Приемник (сканер) системы чрескожного мониторинга уровня глюкозы в интерстициальной жидкости. Сканер FreeStyle Libre системы Flash мониторинга глюкозы FreeStyle Libre</t>
  </si>
  <si>
    <t>'2470000118024000229'</t>
  </si>
  <si>
    <t>КОМИТЕТ ПО ЗДРАВООХРАНЕНИЮ ЛЕНИНГРАДСКОЙ ОБЛАСТИ</t>
  </si>
  <si>
    <t>'0145200000424000837'</t>
  </si>
  <si>
    <t>'01452000004240008370001'</t>
  </si>
  <si>
    <t>Поставка в 2024 году электрода игольчатого системы мониторинга уровня глюкозы</t>
  </si>
  <si>
    <t>'2344419822024000593'</t>
  </si>
  <si>
    <t>'0129200005324001269'</t>
  </si>
  <si>
    <t>Протокол подведения итогов определения поставщика (подрядчика, исполнителя) № ИЭА1 от 21.05.2024 00:00:00</t>
  </si>
  <si>
    <t>'2060300584124000041'</t>
  </si>
  <si>
    <t>ГОСУДАРСТВЕННОЕ БЮДЖЕТНОЕ УЧРЕЖДЕНИЕ ЗДРАВООХРАНЕНИЯ "КАРАБУЛАКСКАЯ ГОРОДСКАЯ БОЛЬНИЦА"</t>
  </si>
  <si>
    <t>'0114500000824001094'</t>
  </si>
  <si>
    <t>Протокол подведения итогов определения поставщика № ИЗТ1 от 30.05.2024 00:00:00</t>
  </si>
  <si>
    <t xml:space="preserve">Электрод игольчатый системы чрескожного мониторинга уровня глюкозы в интерстициальной жидкости.  FreeStyle Libre </t>
  </si>
  <si>
    <t>'2540215512324001326'</t>
  </si>
  <si>
    <t>'0851200000624003294'</t>
  </si>
  <si>
    <t>24.Ф.2024.3294 У НСГ: 4-17</t>
  </si>
  <si>
    <t>2024-№1399 Поставка медицинских изделий: Электрод игольчатый системы чрескожного мониторинга уровня глюкозы в интерстициальной жидкости</t>
  </si>
  <si>
    <t>'1526003794024000416'</t>
  </si>
  <si>
    <t>'0332100022724000546'</t>
  </si>
  <si>
    <t>Протокол подведения итогов определения поставщика (подрядчика, исполнителя) № ИЗК1 от 31.05.2024 00:00:00</t>
  </si>
  <si>
    <t>119-ЗК</t>
  </si>
  <si>
    <t>Поставка медицинских расходных материалов для системы непрерывного мониторинга глюкозы (119-ЗК)</t>
  </si>
  <si>
    <t>Электрод игольчатый системы чрескожного мониторинга уровня глюкозы в интерстициальной жидкости. Датчик глюкозы СТ-202</t>
  </si>
  <si>
    <t>ОБЩЕСТВО С ОГРАНИЧЕННОЙ ОТВЕТСТВЕННОСТЬЮ "ЭКОМЕДИКА"</t>
  </si>
  <si>
    <t>Экомедика</t>
  </si>
  <si>
    <t>'2502406865624001532'</t>
  </si>
  <si>
    <t>'0348200081024001880'</t>
  </si>
  <si>
    <t>Поставка электрода игольчатого системы чрескожного мониторинга уровня глюкозы в интерстициальной жидкости (Р-33, лот 2)</t>
  </si>
  <si>
    <t>Электрод игольчатый системы чрескожного мониторинга уровня глюкозы в интерстициальной жидкости. Датчик системы Flash - мониторинга глюкозы FreeStyle Libre 2</t>
  </si>
  <si>
    <t>'2254001845424000270'</t>
  </si>
  <si>
    <t>'0820500000824003068'</t>
  </si>
  <si>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 Датчик FreeStyle Libre2 и сканер FreeStyle Libre2 являются взаимосвязанными компонентами системы Flash мониторинга глюкозы FreeStyle Libre 2</t>
  </si>
  <si>
    <t>'2110148649124000162'</t>
  </si>
  <si>
    <t>МИНИСТЕРСТВО ЗДРАВООХРАНЕНИЯ РЕСПУБЛИКИ КОМИ</t>
  </si>
  <si>
    <t>'0307200030624001080'</t>
  </si>
  <si>
    <t>Протокол подведения итогов определения поставщика (подрядчика, исполнителя) № ИЭА1 от 27.05.2024 00:00:00</t>
  </si>
  <si>
    <t>Поставка электрода игольчатого системы чрескожного мониторинга уровня глюкозы в интерстициальной жидкости для реализации мероприятий по обеспечению детей с сахарным диабетом 1 типа в возрасте от 4-х до 17 лет включительно системами непрерывного мониторинга глюкозы</t>
  </si>
  <si>
    <t>'2631819736724001708'</t>
  </si>
  <si>
    <t>'0142200001324011598'</t>
  </si>
  <si>
    <t>Протокол подведения итогов определения поставщика (подрядчика, исполнителя) № ИЭА1 от 30.05.2024 00:00:00</t>
  </si>
  <si>
    <t>1398/24/СД-2-4</t>
  </si>
  <si>
    <t>'2183104497924000480'</t>
  </si>
  <si>
    <t>МИНИСТЕРСТВО ЗДРАВООХРАНЕНИЯ УДМУРТСКОЙ РЕСПУБЛИКИ</t>
  </si>
  <si>
    <t>06/01-05/128-МЗ</t>
  </si>
  <si>
    <t>Поставка медицинских изделий - систем непрерывного мониторинга глюкозы для детей с сахарным диабетом 1 типа в возрасте от 4-х до 17-ти лет,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</si>
  <si>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'2771603570524000421'</t>
  </si>
  <si>
    <t>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t>
  </si>
  <si>
    <t>'0373200152824000417'</t>
  </si>
  <si>
    <t>0373200152824000417_49719</t>
  </si>
  <si>
    <t>Поставка расходных материалов для мониторинга для нужд ГБУЗ «ГКБ им. А.К. Ерамишанцева ДЗМ»</t>
  </si>
  <si>
    <t>Электрод игольчатый системы чрескожного мониторинга уровня глюкозы в интерстициальной жидкости. Система Flash мониторинга глюкозы FreeStyle Libre 2</t>
  </si>
  <si>
    <t>'2290107030324000026'</t>
  </si>
  <si>
    <t>МИНИСТЕРСТВО ЗДРАВООХРАНЕНИЯ АРХАНГЕЛЬСКОЙ ОБЛАСТИ</t>
  </si>
  <si>
    <t>'0124200000624003319'</t>
  </si>
  <si>
    <t>Протокол подведения итогов определения поставщика (подрядчика, исполнителя) № ИЭА1 от 29.05.2024 00:00:00</t>
  </si>
  <si>
    <t>02-04-05/92</t>
  </si>
  <si>
    <t>поставка систем непрерывного мониторинга глюкозы для обеспечения детей с сахарным диабетом 1 типа в возрасте от 4-х до 17-ти лет</t>
  </si>
  <si>
    <t>'2222100785824000421'</t>
  </si>
  <si>
    <t>'0817200000324006676'</t>
  </si>
  <si>
    <t>Протокол подведения итогов определения поставщика (подрядчика, исполнителя) № ИЭА1 от 30.05.2024 00:00:00; Протокол подведения итогов определения поставщика (подрядчика, исполнителя) № ИЭА1 от 30.05.2024 00:00:00</t>
  </si>
  <si>
    <t>'08172000003240066760001'</t>
  </si>
  <si>
    <t>'2502406865624001567'</t>
  </si>
  <si>
    <t>'0348200081024001881'</t>
  </si>
  <si>
    <t>Поставка электрода игольчатого системы чрескожного мониторинга уровня глюкозы в интерстициальной жидкости (Р-33, лот 1)</t>
  </si>
  <si>
    <t>'2860103583824000805'</t>
  </si>
  <si>
    <t>'0387200009124003239'</t>
  </si>
  <si>
    <t>Поставка в 2024 году медицинского изделия в рамках реализации государственной программы Ханты-Мансийского автономного округа - Югры «Современное здравоохранение»</t>
  </si>
  <si>
    <t>ГОСУДАРСТВЕННОЕ БЮДЖЕТНОЕ УЧРЕЖДЕНИЕ ЗДРАВООХРАНЕНИЯ ИРКУТСКАЯ ОРДЕНА "ЗНАК ПОЧЕТА" ОБЛАСТНАЯ КЛИНИЧЕСКАЯ БОЛЬНИЦА</t>
  </si>
  <si>
    <t>0375-ЭА/24-03РМ</t>
  </si>
  <si>
    <t>Поставка расходного материала для эндокринологического отделения</t>
  </si>
  <si>
    <t>'2540215512324001369'</t>
  </si>
  <si>
    <t>'0351200003324001645'</t>
  </si>
  <si>
    <t>24.Ф.2024.1645 РП 209-рп</t>
  </si>
  <si>
    <t>Поставка медицинских изделий: Электрод игольчатый системы чрескожного мониторинга уровня глюкозы в интерстициальной жидкости</t>
  </si>
  <si>
    <t>'2550305352024000032'</t>
  </si>
  <si>
    <t>'0352300008624000018'</t>
  </si>
  <si>
    <t>'2830001052625000110'</t>
  </si>
  <si>
    <t>ГОСУДАРСТВЕННОЕ АВТОНОМНОЕ УЧРЕЖДЕНИЕ ЗДРАВООХРАНЕНИЯ СВЕРДЛОВСКОЙ ОБЛАСТИ "ГОРОДСКАЯ КЛИНИЧЕСКАЯ БОЛЬНИЦА № 40 ГОРОД ЕКАТЕРИНБУРГ"</t>
  </si>
  <si>
    <t>"32413644504"</t>
  </si>
  <si>
    <t>670Х</t>
  </si>
  <si>
    <t>Система мониторинга глюкозы</t>
  </si>
  <si>
    <t>Лот №1 Система мониторинга глюкозы</t>
  </si>
  <si>
    <t>'2450102509924000263'</t>
  </si>
  <si>
    <t>ГОСУДАРСТВЕННОЕ БЮДЖЕТНОЕ УЧРЕЖДЕНИЕ "КУРГАНСКАЯ ОБЛАСТНАЯ КЛИНИЧЕСКАЯ БОЛЬНИЦА"</t>
  </si>
  <si>
    <t>'0343200010724000182'</t>
  </si>
  <si>
    <t>Протокол подведения итогов определения поставщика (подрядчика, исполнителя) № ИЭА1 от 04.06.2024;0343200010724000182</t>
  </si>
  <si>
    <t>219-к/24</t>
  </si>
  <si>
    <t>на поставку медицинских изделий</t>
  </si>
  <si>
    <t>'2372901059524000319'</t>
  </si>
  <si>
    <t>'0133200001724001211'</t>
  </si>
  <si>
    <t>Протокол подведения итогов определения поставщика (подрядчика, исполнителя) № ИЭА1 от 05.06.2024 00:00:00</t>
  </si>
  <si>
    <t>'2540215512324001397'</t>
  </si>
  <si>
    <t>'0851200000624003568'</t>
  </si>
  <si>
    <t>Протокол подведения итогов определения поставщика (подрядчика, исполнителя) № ИЭА1 от 06.06.2024;Протокол подведения итогов определения поставщика (подрядчика, исполнителя) № ИЭА1 от 06.06.2024; Протокол подведения итогов определения поставщика (подрядчика, исполнителя) № 0851200000624003568-2 от 06.06.2024</t>
  </si>
  <si>
    <t>24.Ф.2024.3568 У НСГ: 4-17</t>
  </si>
  <si>
    <t>2024-№1410 Поставка медицинских изделий: Электрод игольчатый системы чрескожного мониторинга уровня глюкозы в интерстициальной жидкости</t>
  </si>
  <si>
    <t>ОБЩЕСТВО С ОГРАНИЧЕННОЙ ОТВЕТСТВЕННОСТЬЮ "ГИГГЛС РУС"</t>
  </si>
  <si>
    <t>Гигглс Рус</t>
  </si>
  <si>
    <t>'2780804383324000466'</t>
  </si>
  <si>
    <t>'0172200001924000377'</t>
  </si>
  <si>
    <t>Протокол подведения итогов определения поставщика (подрядчика, исполнителя) № ИЗК1 от 13.06.2024; Протокол подведения итогов определения поставщика (подрядчика, исполнителя) № ИЗК1 от 13.06.2024 00:00:00</t>
  </si>
  <si>
    <t>Поставка № 472 медицинского изделия ЭЛЕКТРОД ИГОЛЬЧАТЫЙ СИСТЕМЫ ЧРЕСКОЖНОГО МОНИТОРИНГА УРОВНЯ ГЛЮКОЗЫ В ИНТЕРСТИЦИАЛЬНОЙ ЖИДКОСТИ для обеспечения отдельных категорий граждан в 2024 году</t>
  </si>
  <si>
    <t>'2710700631124000531'</t>
  </si>
  <si>
    <t>'0366200035624003993'</t>
  </si>
  <si>
    <t>2024.00505</t>
  </si>
  <si>
    <t>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</si>
  <si>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ОБЩЕСТВО С ОГРАНИЧЕННОЙ ОТВЕТСТВЕННОСТЬЮ "ЛЕКНА"</t>
  </si>
  <si>
    <t>'2602702400024000440'</t>
  </si>
  <si>
    <t>ГОСУДАРСТВЕННОЕ БЮДЖЕТНОЕ УЧРЕЖДЕНИЕ ЗДРАВООХРАНЕНИЯ ПСКОВСКОЙ ОБЛАСТИ "ПСКОВСКАЯ ОБЛАСТНАЯ КЛИНИЧЕСКАЯ БОЛЬНИЦА"</t>
  </si>
  <si>
    <t>'0357200022824000343'</t>
  </si>
  <si>
    <t>Протокол подведения итогов определения поставщика № ИЗТ1 от 14.06.2024 00:00:00</t>
  </si>
  <si>
    <t>'03572000228240003430001'</t>
  </si>
  <si>
    <t>'2920402328124000426'</t>
  </si>
  <si>
    <t>'0174500001124002656'</t>
  </si>
  <si>
    <t>Протокол подведения итогов определения поставщика (подрядчика, исполнителя) № ИЗК1 от 13.06.2024 00:00:00</t>
  </si>
  <si>
    <t>0174500001124002656_1043</t>
  </si>
  <si>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</si>
  <si>
    <t>'2222100785824000473'</t>
  </si>
  <si>
    <t>'0817200000324007586'</t>
  </si>
  <si>
    <t>Протокол подведения итогов определения поставщика (подрядчика, исполнителя) № ИЭА1 от 13.06.2024 00:00:00; Протокол подведения итогов определения поставщика (подрядчика, исполнителя) № ИЭА1 от 13.06.2024 00:00:00</t>
  </si>
  <si>
    <t>'08172000003240075860001'</t>
  </si>
  <si>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Hematonix GS1, модель GS1Sb</t>
  </si>
  <si>
    <t>'2372901059524000323'</t>
  </si>
  <si>
    <t>'0133200003124000118'</t>
  </si>
  <si>
    <t>Протокол подведения итогов определения поставщика (подрядчика, исполнителя) № ИЗК1 от 19.06.2024 00:00:00</t>
  </si>
  <si>
    <t>"0133200003124000118"</t>
  </si>
  <si>
    <t>Поставка систем непрерывного мониторинга уровня глюкозы для детей с сахарным диабетом 1 типа в возрасте от 2-х до 4-х лет</t>
  </si>
  <si>
    <t>'2583700874124000437'</t>
  </si>
  <si>
    <t>'0855200000524002084'</t>
  </si>
  <si>
    <t>Протокол подведения итогов определения поставщика (подрядчика, исполнителя) № ИЭА1 от 14.06.2024;Статья 93, ч.1, п.25, Федерального закона №44-ФЗ от 05.04.2013. Итоговый протокол № 0855200000524002084-3 от 14.06.2024</t>
  </si>
  <si>
    <t>Электрод игольчатый системы чрескожного мониторинга уровня глюкозы в интерстициальной жидкости, 32.50.50.190-00002929, 32.50.50.190 Наименование медицинского изделия в соответствии с РУ: Датчик глюкозы СТ-202</t>
  </si>
  <si>
    <t>'2730001673424000015'</t>
  </si>
  <si>
    <t>ОБЛАСТНОЕ ГОСУДАРСТВЕННОЕ КАЗЁННОЕ УЧРЕЖДЕНИЕ "УЛЬЯНОВСКИЙ ОБЛАСТНОЙ ЗАКУПОЧНЫЙ ЦЕНТР"</t>
  </si>
  <si>
    <t>'0168500000624002868'</t>
  </si>
  <si>
    <t>Протокол подведения итогов определения поставщика (подрядчика, исполнителя) № ИЗК1 от 18.06.2024;Протокол подведения итогов определения поставщика (подрядчика, исполнителя)</t>
  </si>
  <si>
    <t>'2540215512324001437'</t>
  </si>
  <si>
    <t>'0351200003324001723'</t>
  </si>
  <si>
    <t>Протокол подведения итогов определения поставщика (подрядчика, исполнителя) № ИЭА1 от 13.06.2024;Протокол подведения итогов определения поставщика (подрядчика, исполнителя) № ИЭА1 от 13.06.2024; Протокол подведения итогов определения поставщика (подрядчика, исполнителя) № 0351200003324001723-3 от 13.06.2024</t>
  </si>
  <si>
    <t>24.Ф.2024.1723 НМГ: 2-4</t>
  </si>
  <si>
    <t>2024-№1641 Поставка медицинских изделий: Комплект изделий чрескожного мониторинга уровня глюкозы в интерстициальной жидкости, электрохимический метод</t>
  </si>
  <si>
    <t>ОБЩЕСТВО С ОГРАНИЧЕННОЙ ОТВЕТСТВЕННОСТЬЮ "МЕРКУРИЙ ТРЕЙД"</t>
  </si>
  <si>
    <t>'2272404126024000303'</t>
  </si>
  <si>
    <t>'0322200002124000281'</t>
  </si>
  <si>
    <t>'2730001673424000016'</t>
  </si>
  <si>
    <t>'0168500000624002962'</t>
  </si>
  <si>
    <t>Протокол подведения итогов определения поставщика (подрядчика, исполнителя) № ИЗК1 от 24.06.2024;Протокол подведения итогов определения поставщика (подрядчика, исполнителя)</t>
  </si>
  <si>
    <t>'2060200071324000044'</t>
  </si>
  <si>
    <t>ГОСУДАРСТВЕННОЕ БЮДЖЕТНОЕ УЧРЕЖДЕНИЕ ЗДРАВООХРАНЕНИЯ "НАЗРАНОВСКАЯ РАЙОННАЯ БОЛЬНИЦА"</t>
  </si>
  <si>
    <t>'0114500000824001233'</t>
  </si>
  <si>
    <t>Протокол подведения итогов определения поставщика № ИЗТ1 от 20.06.2024 00:00:00</t>
  </si>
  <si>
    <t>'2027415782123001672'</t>
  </si>
  <si>
    <t>'0801200000223001369'</t>
  </si>
  <si>
    <t>Протокол подведения итогов определения поставщика (подрядчика, исполнителя) № ИЗК1 от 24.06.2024 00:00:00</t>
  </si>
  <si>
    <t>ЗК12024-Д-ДБ-1091-01204R1070</t>
  </si>
  <si>
    <t>ЗК12024-1091-01204R1070 Поставка изделий медицинского назначения</t>
  </si>
  <si>
    <t>'2312344802024000258'</t>
  </si>
  <si>
    <t>ОБЛАСТНОЕ ГОСУДАРСТВЕННОЕ БЮДЖЕТНОЕ УЧРЕЖДЕНИЕ ЗДРАВООХРАНЕНИЯ "ДЕТСКАЯ ОБЛАСТНАЯ КЛИНИЧЕСКАЯ БОЛЬНИЦА"</t>
  </si>
  <si>
    <t>Белгородская область</t>
  </si>
  <si>
    <t>'0826500000924003211'</t>
  </si>
  <si>
    <t>"0826500000924003211"</t>
  </si>
  <si>
    <t>Поставка медицинских изделий Комплект изделий чрескожного мониторинга уровня глюкозы в интерстициальной жидкости, электрохимический метод на 2024 год</t>
  </si>
  <si>
    <t>'2190113011024000341'</t>
  </si>
  <si>
    <t>'0380200000124003876'</t>
  </si>
  <si>
    <t>2 полугодие 2024</t>
  </si>
  <si>
    <t>2024.3876</t>
  </si>
  <si>
    <t>'2631819736724002035'</t>
  </si>
  <si>
    <t>'0142200001324013554'</t>
  </si>
  <si>
    <t>Протокол подведения итогов определения поставщика (подрядчика, исполнителя) № ИЭА1 от 18.06.2024; Протокол подведения итогов определения поставщика (подрядчика, исполнителя) № ИЭА1 от 18.06.2024 00:00:00</t>
  </si>
  <si>
    <t>1487/24/ИМН-Т</t>
  </si>
  <si>
    <t>'2730001673424000019'</t>
  </si>
  <si>
    <t>'0168500000624002870'</t>
  </si>
  <si>
    <t>Протокол подведения итогов определения поставщика (подрядчика, исполнителя) № ИЭА1 от 19.06.2024;Итоговый протокол № 0168500000624002870 от 19.06.2024</t>
  </si>
  <si>
    <t>'2860103583824000905'</t>
  </si>
  <si>
    <t>'0387200009124003646'</t>
  </si>
  <si>
    <t>Поставка медицинского изделия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бесплатно за счет средств бюджета автономного округа в 2024 году.</t>
  </si>
  <si>
    <t>Электрод игольчатый системы чрескожного мониторинга уровня глюкозы в интерстициальной жидкости. FreeStyle Libre® 2</t>
  </si>
  <si>
    <t>'2230905305824001190'</t>
  </si>
  <si>
    <t>'0818500000824004069'</t>
  </si>
  <si>
    <t>Протокол подведения итогов определения поставщика (подрядчика, исполнителя) № ИЭА2 от 25.06.2024;Протокол подведения итогов определения поставщика (подрядчика, исполнителя) № 0818500000824004069-3-1 от 25.06.2024</t>
  </si>
  <si>
    <t>0818500000824004069.2024 (2035-Г/М)</t>
  </si>
  <si>
    <t>Поставка комплекта изделий чрескожного мониторинга уровня глюкозы в интерстициальной жидкости, электрохимический метод</t>
  </si>
  <si>
    <t>ГРИГОРЕНКО ИГОРЕВНА ТАТЬЯНА</t>
  </si>
  <si>
    <t>'2540215512324001487'</t>
  </si>
  <si>
    <t>'0351200003324001745'</t>
  </si>
  <si>
    <t>24.Ф.2024.1745 НМГ: 4-17</t>
  </si>
  <si>
    <t>2024-№1744 Поставка медицинских изделий: Комплект изделий чрескожного мониторинга уровня глюкозы в интерстициальной жидкости, электрохимический метод</t>
  </si>
  <si>
    <t>ОБЩЕСТВО С ОГРАНИЧЕННОЙ ОТВЕТСТВЕННОСТЬЮ "ТОРГМЕД"</t>
  </si>
  <si>
    <t>Торгмед</t>
  </si>
  <si>
    <t>'2616304981424000566'</t>
  </si>
  <si>
    <t>'0158200001324000821'</t>
  </si>
  <si>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 3285-р (Электрод игольчатый системы чрескожного мониторинга уровня глюкозы в интерстициальной жидкости – Датчик системы чрескожного мониторинга уровня глюкозы – совместимый со сканером FreeStyle Libre системы Flash мониторинга глюкозы FreeStyle Libre/мобильным приложением FreeStyle LibreLink)</t>
  </si>
  <si>
    <t>'2060200693024000129'</t>
  </si>
  <si>
    <t>МИНИСТЕРСТВО ЗДРАВООХРАНЕНИЯ РЕСПУБЛИКИ ИНГУШЕТИЯ</t>
  </si>
  <si>
    <t>'0114500000824001212'</t>
  </si>
  <si>
    <t>Протокол подведения итогов определения поставщика (подрядчика, исполнителя) № ИЗК1 от 26.06.2024 00:00:00</t>
  </si>
  <si>
    <t>поставка датчиков</t>
  </si>
  <si>
    <t>2272404126024000349'</t>
  </si>
  <si>
    <t>'0322200002124000304'</t>
  </si>
  <si>
    <t>Протокол подведения итогов определения поставщика № ИЗТ1 от 03.07.2024</t>
  </si>
  <si>
    <t>"0322200002124000304"</t>
  </si>
  <si>
    <t>'2623102512324000500'</t>
  </si>
  <si>
    <t>'0859200001124007704'</t>
  </si>
  <si>
    <t>'08592000011240077040001'</t>
  </si>
  <si>
    <t>Поставка комплектов изделий чрескожного мониторинга уровня глюкозы в интерстициальной жидкости, электрохимический метод</t>
  </si>
  <si>
    <t>'2372901059524000343'</t>
  </si>
  <si>
    <t>'0133200001724001368'</t>
  </si>
  <si>
    <t>Протокол подведения итогов определения поставщика (подрядчика, исполнителя) № ИЭА1 от 28.06.2024 00:00:00</t>
  </si>
  <si>
    <t>Поставка систем непрерывного мониторинга уровня глюкозы для детей с сахарным диабетом 1 типа в возрасте от 4-х до 17-ти лет</t>
  </si>
  <si>
    <t>'2773409151924000719'</t>
  </si>
  <si>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</si>
  <si>
    <t>'0373200011424000728'</t>
  </si>
  <si>
    <t>0373200011424000728-692525-200605</t>
  </si>
  <si>
    <t xml:space="preserve"> Поставка расходного материала для системы мониторирования глюкозы</t>
  </si>
  <si>
    <t>'2645504666624001152'</t>
  </si>
  <si>
    <t>'0860200000824005184'</t>
  </si>
  <si>
    <t>'2272404126024000372'</t>
  </si>
  <si>
    <t>'0322200002124000314'</t>
  </si>
  <si>
    <t>'2760404472624000142'</t>
  </si>
  <si>
    <t>'0171200001924002284'</t>
  </si>
  <si>
    <t>705мг-2024/ГК</t>
  </si>
  <si>
    <t>'2623102512324000666'</t>
  </si>
  <si>
    <t>'0859200001124009773'</t>
  </si>
  <si>
    <t>704м-2024/ГК</t>
  </si>
  <si>
    <t>'2745313582724001334'</t>
  </si>
  <si>
    <t>'0869200000224005904'</t>
  </si>
  <si>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t>
  </si>
  <si>
    <t>05904- СД/2024</t>
  </si>
  <si>
    <t>на поставку датчиков системы чрескожного мониторинга уровня глюкозы, ДС № 05904-СД/2024-1 от 29.07.2024 г., ДС № 05904-СД/2024-2 от 30.07.2024 г.</t>
  </si>
  <si>
    <t>'2222100785824000544'</t>
  </si>
  <si>
    <t>'0817200000324009405'</t>
  </si>
  <si>
    <t>Протокол подведения итогов определения поставщика (подрядчика, исполнителя) № ИЭА1 от 04.07.2024 00:00:00; Протокол подведения итогов определения поставщика (подрядчика, исполнителя) № ИЭА1 от 04.07.2024 00:00:00</t>
  </si>
  <si>
    <t>'08172000003240094050001'</t>
  </si>
  <si>
    <t>'2132512662524000388'</t>
  </si>
  <si>
    <t>'0109200000824000051'</t>
  </si>
  <si>
    <t>'01092000008240000510001'</t>
  </si>
  <si>
    <t>'2690504495024000729'</t>
  </si>
  <si>
    <t>'0136500001124003818'</t>
  </si>
  <si>
    <t>Поставка медицинских изделий (Комплект изделий чрескожного мониторинга уровня глюкозы в интерстициальной жидкости, электрохимический метод)</t>
  </si>
  <si>
    <t>'2120000088124000136'</t>
  </si>
  <si>
    <t>'0108500000424002944'</t>
  </si>
  <si>
    <t>0108500000424002944/ЭА</t>
  </si>
  <si>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</si>
  <si>
    <t>'2502406865624001971'</t>
  </si>
  <si>
    <t>'0348200081024002477'</t>
  </si>
  <si>
    <t>Поставка электрода игольчатого системы чрескожного мониторинга уровня глюкозы в интерстициальной жидкости (Р-41)</t>
  </si>
  <si>
    <t>'2027415782124001257'</t>
  </si>
  <si>
    <t>'0801500001124001104'</t>
  </si>
  <si>
    <t>Протокол подведения итогов определения поставщика (подрядчика, исполнителя) № ИЭА1 от 03.07.2024;Протокол подведения итогов определения поставщика (подрядчика, исполнителя) № 0801500001124001104-2-1 от 03.07.2024</t>
  </si>
  <si>
    <t>Поставка электродов игольчатых системы чрескожного мониторинга уровня глюкозы в интерстициальной жидкости по исполнению судебных актов за счет средств бюджета Республики Башкортостан в 2024 году</t>
  </si>
  <si>
    <t>Электрод игольчатый системы чрескожного мониторинга уровня глюкозы в интерстициальной жидкости  Товарный знак FreeStyle Libre  Система Flash - мониторинга глюкозы FreeStyle Libre 2</t>
  </si>
  <si>
    <t>'1540810013824000335'</t>
  </si>
  <si>
    <t>'0351400001324000301'</t>
  </si>
  <si>
    <t>Поставка медицинских изделий для нужд НИИКЭЛ - филиал ИЦиГ СО РАН</t>
  </si>
  <si>
    <t>ОБЩЕСТВО С ОГРАНИЧЕННОЙ ОТВЕТСТВЕННОСТЬЮ "СПЕЦИАЛИЗИРОВАННЫЙ МЕДИЦИНСКИЙ СЕРВИС"</t>
  </si>
  <si>
    <t>Медсервис</t>
  </si>
  <si>
    <t>'2222502106724001110'</t>
  </si>
  <si>
    <t>'0817200000324016131'</t>
  </si>
  <si>
    <t>630/2024</t>
  </si>
  <si>
    <t>Поставка медицинских изделий: Электрод игольчатый системы чрескожного мониторинга уровня глюкозы в интерстициальной жидкости (детское население)</t>
  </si>
  <si>
    <t>'2366603133524000407'</t>
  </si>
  <si>
    <t>'0131200001024006785'</t>
  </si>
  <si>
    <t>Протокол подведения итогов определения поставщика (подрядчика, исполнителя) № ИЭА1 от 11.07.2024</t>
  </si>
  <si>
    <t>ЭА.2024.6785</t>
  </si>
  <si>
    <t>2024-07016**Поставка комплекта изделий чрескожного мониторинга уровня глюкозы в интерстициальной жидкости, электрохимический метод</t>
  </si>
  <si>
    <t>'2222517162625000171'</t>
  </si>
  <si>
    <t>ГОСУДАРСТВЕННОЕ БЮДЖЕТНОЕ УЧРЕЖДЕНИЕ ЗДРАВООХРАНЕНИЯ МОСКОВСКОЙ ОБЛАСТИ "НАУЧНО-ИССЛЕДОВАТЕЛЬСКИЙ КЛИНИЧЕСКИЙ ИНСТИТУТ ДЕТСТВА МИНИСТЕРСТВА ЗДРАВООХРАНЕНИЯ МОСКОВСКОЙ ОБЛАСТИ"</t>
  </si>
  <si>
    <t>'0817200000325001867'</t>
  </si>
  <si>
    <t>Поставка электродов игольчатых системы чрескожного мониторинга уровня глюкозы в интерстициальной жидкости (227)</t>
  </si>
  <si>
    <t>2910201286924000378'</t>
  </si>
  <si>
    <t>'0175200000424000519'</t>
  </si>
  <si>
    <t>Протокол подведения итогов определения поставщика (подрядчика, исполнителя) № ИЭА1 от 15.07.2024 00:00:00</t>
  </si>
  <si>
    <t>"0175200000424000519"</t>
  </si>
  <si>
    <t>Поставка медицинских изделий "Комплект изделий чрескожного мониторинга уровня глюкозы в интерстициальной жидкости, электрохимический метод"</t>
  </si>
  <si>
    <t>'2540215512324001611'</t>
  </si>
  <si>
    <t>'0851200000624004749'</t>
  </si>
  <si>
    <t>Протокол подведения итогов определения поставщика (подрядчика, исполнителя) № ИЭА1 от 15.07.2024;Протокол подведения итогов определения поставщика (подрядчика, исполнителя) № ИЭА1 от 15.07.2024; Протокол подведения итогов определения поставщика (подрядчика, исполнителя) № 0851200000624004749-1 от 15.07.2024</t>
  </si>
  <si>
    <t>24.Ф.2024.4749 У НСГ: 4-17</t>
  </si>
  <si>
    <t>2024-№1299 Поставка медицинских изделий: Электрод игольчатый системы чрескожного мониторинга уровня глюкозы в интерстициальной жидкости</t>
  </si>
  <si>
    <t>ОБЩЕСТВО С ОГРАНИЧЕННОЙ ОТВЕТСТВЕННОСТЬЮ "СПАРТА"</t>
  </si>
  <si>
    <t>'2332500810324000552'</t>
  </si>
  <si>
    <t>ГОСУДАРСТВЕННОЕ КАЗЕННОЕ УЧРЕЖДЕНИЕ ЗДРАВООХРАНЕНИЯ ВЛАДИМИРСКОЙ ОБЛАСТИ "ЦЕНТР ПО ОСУЩЕСТВЛЕНИЮ ЗАКУПОК ТОВАРОВ, РАБОТ И УСЛУГ В СФЕРЕ ЗДРАВООХРАНЕНИЯ ВЛАДИМИРСКОЙ ОБЛАСТИ"</t>
  </si>
  <si>
    <t>'0128200000124003431'</t>
  </si>
  <si>
    <t>Протокол подведения итогов определения поставщика (подрядчика, исполнителя) № ИЭА1 от 11.07.2024 00:00:00</t>
  </si>
  <si>
    <t>Закупка изделий медицинского назначения (Электрод игольчатый системы чрескожного мониторинга уровня глюкозы в интерстициальной жидкости) для обеспечения детей с сахарным диабетом 1 типа в возрасте от 4-х до 17-ти лет системами непрерывного мониторинга глюкозы в 2024 году для нужд государственного казенного учреждения здравоохранения Владимирской области «Центр по осуществлению закупок товаров, работ и услуг в сфере здравоохранения Владимирской области»</t>
  </si>
  <si>
    <t>'2165901366024000565'</t>
  </si>
  <si>
    <t>'0711200011024000355'</t>
  </si>
  <si>
    <t>Протокол подведения итогов определения поставщика (подрядчика, исполнителя) № ИЭА1 от 16.07.2024 00:00:00</t>
  </si>
  <si>
    <t>440-861/24</t>
  </si>
  <si>
    <t>Поставка расходных материалов для оказания высокотехнологичной медицинской помощи</t>
  </si>
  <si>
    <t>'2771433860924006309'</t>
  </si>
  <si>
    <t>'0873200009824001651'</t>
  </si>
  <si>
    <t>Протокол подведения итогов определения поставщика (подрядчика, исполнителя) № ИЭА1 от 17.07.2024;0873200009824001651-3-303943</t>
  </si>
  <si>
    <t>658/2024-КСЕ</t>
  </si>
  <si>
    <t>Аукцион в электронной форме на поставку датчиков системы чрескожного мониторинга уровня глюкозы (СНМГ2024-01П1)</t>
  </si>
  <si>
    <t>Устройство для измерения глюкозы. Hematonix</t>
  </si>
  <si>
    <t>32.50.13.190</t>
  </si>
  <si>
    <t>ОБЩЕСТВО С ОГРАНИЧЕННОЙ ОТВЕТСТВЕННОСТЬЮ "СИСТЕМЫ МЕДИЦИНСКОГО МОНИТОРИНГА"</t>
  </si>
  <si>
    <t>СММ</t>
  </si>
  <si>
    <t>'2100133412824000627'</t>
  </si>
  <si>
    <t>ГОСУДАРСТВЕННОЕ БЮДЖЕТНОЕ УЧРЕЖДЕНИЕ ЗДРАВООХРАНЕНИЯ РЕСПУБЛИКИ КАРЕЛИЯ "РЕСПУБЛИКАНСКАЯ БОЛЬНИЦА ИМ. В.А. БАРАНОВА"</t>
  </si>
  <si>
    <t>'0306500000324000641'</t>
  </si>
  <si>
    <t>Протокол подведения итогов определения поставщика (подрядчика, исполнителя) № ИЭА1 от 19.07.2024 00:00:00</t>
  </si>
  <si>
    <t>641-3</t>
  </si>
  <si>
    <t>Поставка электродов игольчатых системы чрескожного мониторинга уровня глюкозы</t>
  </si>
  <si>
    <t>'2183300285424000895'</t>
  </si>
  <si>
    <t>'0813500000124011493'</t>
  </si>
  <si>
    <t>зз-0014-29514 - 2024 Датчики системы чрескожного мониторинга уровня глюкозы</t>
  </si>
  <si>
    <t>'2683202476624000276'</t>
  </si>
  <si>
    <t>'0164200001924002281'</t>
  </si>
  <si>
    <t>0164200001924002281_50613</t>
  </si>
  <si>
    <t>Поставка системы непрерывного мониторинга глюкозы для обеспечения детей сахарным диабетом в возрасте от 2х до 4х лет</t>
  </si>
  <si>
    <t>'2540215512324001637'</t>
  </si>
  <si>
    <t>'0851200000624004999'</t>
  </si>
  <si>
    <t>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ИЭА1 от 22.07.2024; Протокол подведения итогов определения поставщика (подрядчика, исполнителя) № 0851200000624004999-1 от 22.07.2024</t>
  </si>
  <si>
    <t>24.Ф.2024.4999 НСГ: 4-17 У</t>
  </si>
  <si>
    <t>2024-№1753 Поставка медицинских изделий: Электрод игольчатый системы чрескожного мониторинга уровня глюкозы в интерстициальной жидкости</t>
  </si>
  <si>
    <t>'2773409151924000806'</t>
  </si>
  <si>
    <t>'0373200011424000833'</t>
  </si>
  <si>
    <t>0373200011424000833-692525-1172785</t>
  </si>
  <si>
    <t>ОБЩЕСТВО С ОГРАНИЧЕННОЙ ОТВЕТСТВЕННОСТЬЮ "ФАРМ-2С"</t>
  </si>
  <si>
    <t>'2540310615024000963'</t>
  </si>
  <si>
    <t>ГОСУДАРСТВЕННОЕ БЮДЖЕТНОЕ УЧРЕЖДЕНИЕ ЗДРАВООХРАНЕНИЯ НОВОСИБИРСКОЙ ОБЛАСТИ "ГОСУДАРСТВЕННАЯ НОВОСИБИРСКАЯ ОБЛАСТНАЯ  КЛИНИЧЕСКАЯ БОЛЬНИЦА"</t>
  </si>
  <si>
    <t>'0351200000724000853'</t>
  </si>
  <si>
    <t>ГК 1016/24 АЭФ</t>
  </si>
  <si>
    <t>'2702102165325000223'</t>
  </si>
  <si>
    <t>'0165100007925000162'</t>
  </si>
  <si>
    <t>Протокол подведения итогов определения поставщика (подрядчика, исполнителя) № ИЭА1 от 29.07.2024;Протокол подведения итогов определения поставщика (подрядчика, исполнителя) № 0190200000324008903-1 от 29.07.2024</t>
  </si>
  <si>
    <t>8903-СНМГ-Д-24</t>
  </si>
  <si>
    <t>'2060600791024000001'</t>
  </si>
  <si>
    <t>ГОСУДАРСТВЕННОЕ БЮДЖЕТНОЕ УЧРЕЖДЕНИЕ ЗДРАВООХРАНЕНИЯ "ГОРОДСКАЯ ДЕТСКАЯ ПОЛИКЛИНИКА"</t>
  </si>
  <si>
    <t>'0114500000824001405'</t>
  </si>
  <si>
    <t>Протокол подведения итогов определения поставщика (подрядчика, исполнителя) № ИЭА1 от 22.07.2024 00:00:00</t>
  </si>
  <si>
    <t>Поставка изделий медицинского назначения для больных сахарным диабетом</t>
  </si>
  <si>
    <t>'2771433860924006741'</t>
  </si>
  <si>
    <t>'0173200001424001090'</t>
  </si>
  <si>
    <t>Протокол подведения итогов определения поставщика (подрядчика, исполнителя) № ИЭА1 от 30.07.2024;0173200001424001090-6-15832822</t>
  </si>
  <si>
    <t>678/2024-КСЕ</t>
  </si>
  <si>
    <t>Аукцион в электронной форме на поставку датчиков системы чрескожного мониторинга уровня глюкозы (ДТЧК2024-02)</t>
  </si>
  <si>
    <t>'2772459896624000546'</t>
  </si>
  <si>
    <t>ГОСУДАРСТВЕННОЕ БЮДЖЕТНОЕ УЧРЕЖДЕНИЕ ЗДРАВООХРАНЕНИЯ ГОРОДА МОСКВЫ "ГОРОДСКАЯ КЛИНИЧЕСКАЯ БОЛЬНИЦА ИМЕНИ В.М. БУЯНОВА ДЕПАРТАМЕНТА ЗДРАВООХРАНЕНИЯ ГОРОДА МОСКВЫ"</t>
  </si>
  <si>
    <t>'0373200052724000532'</t>
  </si>
  <si>
    <t>Поставка расходных материалов для эндокринологии для ГБУЗ "ГКБ имени В.М.Буянова ДЗМ"</t>
  </si>
  <si>
    <t>'2190113011024000419'</t>
  </si>
  <si>
    <t>'0380200000124004771'</t>
  </si>
  <si>
    <t>2024.4771</t>
  </si>
  <si>
    <t>'03182000281250004300001'</t>
  </si>
  <si>
    <t>Поставка приемников (сканеров) системы чрескожного мониторинга уровня глюкозы в интерстициальной жидкости</t>
  </si>
  <si>
    <t xml:space="preserve">Приемник (сканер) системы чрескожного мониторинга уровня глюкозы в интерстициальной жидкости. FreeStyle Libre </t>
  </si>
  <si>
    <t>2690504495024000772'</t>
  </si>
  <si>
    <t>'0136200001924000068'</t>
  </si>
  <si>
    <t>"0136200001924000068"</t>
  </si>
  <si>
    <t>'2561207412824000457'</t>
  </si>
  <si>
    <t>МИНИСТЕРСТВО ЗДРАВООХРАНЕНИЯ ОРЕНБУРГСКОЙ ОБЛАСТИ</t>
  </si>
  <si>
    <t>'0853500000324006141'</t>
  </si>
  <si>
    <t>На поставку медицинских изделий: Электрод игольчатый системы чрескожного мониторинга уровня глюкозы в интерстициальной жидкости для обеспечения льготных категорий граждан</t>
  </si>
  <si>
    <t>'2720216180724000500'</t>
  </si>
  <si>
    <t>'0167200003424005569'</t>
  </si>
  <si>
    <t>695/2024</t>
  </si>
  <si>
    <t>'2720216180724000494'</t>
  </si>
  <si>
    <t>'0167200003424005489'</t>
  </si>
  <si>
    <t>688/2024</t>
  </si>
  <si>
    <t>'2720216180724000505'</t>
  </si>
  <si>
    <t>'0167200003424005621'</t>
  </si>
  <si>
    <t>700/2024</t>
  </si>
  <si>
    <t>'2352501051924000272'</t>
  </si>
  <si>
    <t>'0830500000224003134'</t>
  </si>
  <si>
    <t>2024.0830500000224003134</t>
  </si>
  <si>
    <t>'2380817232724000593'</t>
  </si>
  <si>
    <t>'0134200000124004482'</t>
  </si>
  <si>
    <t>Протокол подведения итогов определения поставщика (подрядчика, исполнителя) № ИЭА1 от 08.08.2024;Протокол подведения итогов определения поставщика (подрядчика, исполнителя)</t>
  </si>
  <si>
    <t>1376/106-оз/СД/4482-ЭА/24</t>
  </si>
  <si>
    <t>Поставка медицинских изделий для медицинского применения Электрод игольчатый системы чрескожного мониторинга уровня глюкозы в интерстициальной жидкости</t>
  </si>
  <si>
    <t>'1774308567024000204'</t>
  </si>
  <si>
    <t>ФЕДЕРАЛЬНОЕ ГОСУДАРСТВЕННОЕ БЮДЖЕТНОЕ УЧРЕЖДЕНИЕ "ФЕДЕРАЛЬНОЕ БЮРО МЕДИКО-СОЦИАЛЬНОЙ ЭКСПЕРТИЗЫ" МИНИСТЕРСТВА ТРУДА И СОЦИАЛЬНОЙ ЗАЩИТЫ РОССИЙСКОЙ ФЕДЕРАЦИИ</t>
  </si>
  <si>
    <t>'0373100068724000201'</t>
  </si>
  <si>
    <t>Протокол подведения итогов определения поставщика № ИЗТ1 от 15.08.2024 00:00:00</t>
  </si>
  <si>
    <t>06/2024 (ч 12)</t>
  </si>
  <si>
    <t>'2690504495024000779'</t>
  </si>
  <si>
    <t>'0136500001124004341'</t>
  </si>
  <si>
    <t>Поставка медицинских изделий (Электрод игольчатый системы чрескожного мониторинга уровня глюкозы в интерстициальной жидкости) на 2024 год</t>
  </si>
  <si>
    <t>'2502406865624002330'</t>
  </si>
  <si>
    <t>'0348200081024002819'</t>
  </si>
  <si>
    <t>Поставка медицинских изделий (М245279, М245278)</t>
  </si>
  <si>
    <t>'2631819736724002736'</t>
  </si>
  <si>
    <t>'0142200001324018018'</t>
  </si>
  <si>
    <t>Протокол подведения итогов определения поставщика (подрядчика, исполнителя) № ИЭА1 от 12.08.2024 00:00:00</t>
  </si>
  <si>
    <t>1773/24/ИМН-Т</t>
  </si>
  <si>
    <t>Приемник (сканер) системы чрескожного мониторинга уровня глюкозы в интерстициальной жидкости. Сканер системы Flash мониторинга уровня глюкозы FreeStyle Libre 2</t>
  </si>
  <si>
    <t>'2631819736724002735'</t>
  </si>
  <si>
    <t>'0142200001324018016'</t>
  </si>
  <si>
    <t>Протокол подведения итогов определения поставщика (подрядчика, исполнителя) № ИЭА1 от 12.08.2024; Протокол подведения итогов определения поставщика (подрядчика, исполнителя) № ИЭА1 от 12.08.2024 00:00:00</t>
  </si>
  <si>
    <t>1772/24/ СД-2-4</t>
  </si>
  <si>
    <t>Электрод игольчатый системы чрескожного мониторинга уровня глюкозы в интерстициальной жидкости. Датчик системы  Flash - мониторинга глюкозы FreeStyle Libre 2</t>
  </si>
  <si>
    <t>'2631819736724002734'</t>
  </si>
  <si>
    <t>'0142200001324018015'</t>
  </si>
  <si>
    <t>1771/24/ СД-4-17</t>
  </si>
  <si>
    <t>Приемник (сканер) системы чрескожного мониторинга уровня глюкозы в интерстициальной жидкости. Сканер системы Flash мониторинга глюкозы FreeStyle Libre 2</t>
  </si>
  <si>
    <t>'2631819736724002789'</t>
  </si>
  <si>
    <t>'0142200001324018225'</t>
  </si>
  <si>
    <t>Протокол подведения итогов определения поставщика (подрядчика, исполнителя) № ИЭА1 от 13.08.2024; Протокол подведения итогов определения поставщика (подрядчика, исполнителя) № ИЭА1 от 13.08.2024 00:00:00</t>
  </si>
  <si>
    <t>1794/24/ИМН-Т</t>
  </si>
  <si>
    <t>Электрод игольчатый системы чрескожного мониторинга уровня глюкозы в интерстициальной жидкости / Система Flash мониторинга глюкозы FreeStyleLibre 2</t>
  </si>
  <si>
    <t>'2616304981424000673'</t>
  </si>
  <si>
    <t>'0158200001324000991'</t>
  </si>
  <si>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 3285-р (Приемник (сканер) системы чрескожного мониторинга уровня глюкозы в интерстициальной жидкости для системы FreeStyle Libre совместимый с датчиком FreeStyle Libre системы Flash мониторинга глюкозы FreeStyle Libre)</t>
  </si>
  <si>
    <t>Приемник (сканер) системы чрескожного мониторинга уровня глюкозы в интерстициальной жидкости. FreeStyle Libre</t>
  </si>
  <si>
    <t>'2352502347624000402'</t>
  </si>
  <si>
    <t>БЮДЖЕТНОЕ УЧРЕЖДЕНИЕ ЗДРАВООХРАНЕНИЯ ВОЛОГОДСКОЙ ОБЛАСТИ "ВОЛОГОДСКАЯ ОБЛАСТНАЯ КЛИНИЧЕСКАЯ БОЛЬНИЦА"</t>
  </si>
  <si>
    <t>'0330200016824000209'</t>
  </si>
  <si>
    <t>Протокол подведения итогов определения поставщика (подрядчика, исполнителя) № ИЗК1 от 23.08.2024;Протокол подведения итогов определения поставщика (подрядчика, исполнителя) № ИЗК1 от 23.08.2024</t>
  </si>
  <si>
    <t>384-ГЗ</t>
  </si>
  <si>
    <t>Поставка изделий медицинского назначения (электроды игольчатые системы чрескожного мониторинга уровня глюкозы в интерстициальной жидкости)</t>
  </si>
  <si>
    <t>Электрод игольчатый системы чрескожного мониторинга уровня глюкозы в интерстициальной жидкости (Система Flash мониторинга глюкозы FreeStyle Libre)</t>
  </si>
  <si>
    <t>'2366603133524000463'</t>
  </si>
  <si>
    <t>'0131200001024008360'</t>
  </si>
  <si>
    <t>ЭА.2024.8360</t>
  </si>
  <si>
    <t>2024-08874//.Поставка электрода игольчатого системы чрескожного мониторинга уровня глюкозы в интерстициальной жидкости.</t>
  </si>
  <si>
    <t>'2890100700624000877'</t>
  </si>
  <si>
    <t>'0190200000324009722'</t>
  </si>
  <si>
    <t>Протокол подведения итогов определения поставщика (подрядчика, исполнителя) № ИЭА1 от 21.08.2024</t>
  </si>
  <si>
    <t>9722-СНМГ-Д-24</t>
  </si>
  <si>
    <t>ОБЩЕСТВО С ОГРАНИЧЕННОЙ ОТВЕТСТВЕННОСТЬЮ "МЕДТЭК-ЗАПАДНАЯ СИБИРЬ"</t>
  </si>
  <si>
    <t>Медтэк</t>
  </si>
  <si>
    <t>'2332900762224000520'</t>
  </si>
  <si>
    <t>ГОСУДАРСТВЕННОЕ БЮДЖЕТНОЕ УЧРЕЖДЕНИЕ ЗДРАВООХРАНЕНИЯ ВЛАДИМИРСКОЙ ОБЛАСТИ "ГОРОДСКАЯ КЛИНИЧЕСКАЯ БОЛЬНИЦА №5 Г.ВЛАДИМИРА"</t>
  </si>
  <si>
    <t>'0128200000124003885'</t>
  </si>
  <si>
    <t>Протокол подведения итогов определения поставщика (подрядчика, исполнителя) № ИЭА1 от 22.08.2024 00:00:00</t>
  </si>
  <si>
    <t>0128200000124003885_56651</t>
  </si>
  <si>
    <t>Поставка товара "Электрод игольчатый мониторинг глюкозы"</t>
  </si>
  <si>
    <t>'08592000011240097730001'</t>
  </si>
  <si>
    <t>'2540215512324001790'</t>
  </si>
  <si>
    <t>'0851200000624005784'</t>
  </si>
  <si>
    <t>Протокол подведения итогов определения поставщика (подрядчика, исполнителя) № ИЭА1 от 23.08.2024 00:00:00</t>
  </si>
  <si>
    <t>24.Ф.2024.5784 У НСГ:4-17</t>
  </si>
  <si>
    <t>2024-№2010 Поставка медицинских изделий: Электрод игольчатый системы чрескожного мониторинга уровня глюкозы в интерстициальной жидкости</t>
  </si>
  <si>
    <t>'2434701856224000205'</t>
  </si>
  <si>
    <t>'0340200003324011253'</t>
  </si>
  <si>
    <t>Протокол подведения итогов определения поставщика (подрядчика, исполнителя) № ИЭА1 от 23.08.2024</t>
  </si>
  <si>
    <t>'03402000033240112530001'</t>
  </si>
  <si>
    <t>'2540215512324002404'</t>
  </si>
  <si>
    <t>'0351200003324002869'</t>
  </si>
  <si>
    <t>Протокол подведения итогов определения поставщика (подрядчика, исполнителя) № ИЭА1 от 26.08.2024 00:00:00</t>
  </si>
  <si>
    <t>24.Ф.2024.2133 НСГ: 4-17</t>
  </si>
  <si>
    <t>2024-№2000 Поставка медицинских изделий: Электрод игольчатый системы чрескожного мониторинга уровня глюкозы в интерстициальной жидкости</t>
  </si>
  <si>
    <t>'2301506815924000447'</t>
  </si>
  <si>
    <t>'0125200000724000041'</t>
  </si>
  <si>
    <t>242/41</t>
  </si>
  <si>
    <t>Поставка изделия медицинского назначения: комплект изделий чрескожного мониторинга уровня глюкозы в интерстициальной жидкости, электрохимический метод</t>
  </si>
  <si>
    <t>'2540215512324001828'</t>
  </si>
  <si>
    <t>'0351200003324002144'</t>
  </si>
  <si>
    <t>Протокол подведения итогов определения поставщика (подрядчика, исполнителя) № ИЭА1 от 27.08.2024 00:00:00</t>
  </si>
  <si>
    <t>24.Ф.2024.2144 НСГ: 4-17</t>
  </si>
  <si>
    <t>2024-№2106 Поставка медицинских изделий: Электрод игольчатый системы чрескожного мониторинга уровня глюкозы в интерстициальной жидкости</t>
  </si>
  <si>
    <t>'2540215512324001829'</t>
  </si>
  <si>
    <t>'0351200003324002143'</t>
  </si>
  <si>
    <t>24.Ф.2024.2143 НСГ: 4-17</t>
  </si>
  <si>
    <t>2024-№2105 Поставка медицинских изделий: Электрод игольчатый системы чрескожного мониторинга уровня глюкозы в интерстициальной жидкости</t>
  </si>
  <si>
    <t>'2732500095124000314'</t>
  </si>
  <si>
    <t>'0168500000624004192'</t>
  </si>
  <si>
    <t>'2463228633724000592'</t>
  </si>
  <si>
    <t>ОБЛАСТНОЕ БЮДЖЕТНОЕ УЧРЕЖДЕНИЕ ЗДРАВООХРАНЕНИЯ "КУРСКАЯ ОБЛАСТНАЯ МНОГОПРОФИЛЬНАЯ КЛИНИЧЕСКАЯ БОЛЬНИЦА"</t>
  </si>
  <si>
    <t>'0744200000224007027'</t>
  </si>
  <si>
    <t>Протокол подведения итогов определения поставщика (подрядчика, исполнителя) № ИЗК1 от 06.09.2024 00:00:00</t>
  </si>
  <si>
    <t>Поставка медицинских изделий - электродов игольчатых системы чрескожного мониторинга уровня глюкозы в интерстициальной жидкости</t>
  </si>
  <si>
    <t>'2301506815924000456'</t>
  </si>
  <si>
    <t>'0125200000724000048'</t>
  </si>
  <si>
    <t>248/48</t>
  </si>
  <si>
    <t>Поставка изделий медицинского назначения: датчик системы чрескожного мониторинга уровня глюкозы</t>
  </si>
  <si>
    <t>'2631819736724002957'</t>
  </si>
  <si>
    <t>'0142200001324019507'</t>
  </si>
  <si>
    <t>Протокол подведения итогов определения поставщика (подрядчика, исполнителя) № ИЭА1 от 30.08.2024; Протокол подведения итогов определения поставщика (подрядчика, исполнителя) № ИЭА1 от 30.08.2024 00:00:00</t>
  </si>
  <si>
    <t>1870/24/СД 4-17</t>
  </si>
  <si>
    <t>Электрод игольчатый системы чрескожного мониторинга уровня глюкозы в интерстициальной жидкости. Система  Flash - мониторинга глюкозы FreeStyle Libre 2</t>
  </si>
  <si>
    <t>Электрод игольчатый системы чрескожного мониторинга уровня глюкозы в интерстициальной жидкости. Система Flash - мониторинга глюкозы FreeStyle Libre 2</t>
  </si>
  <si>
    <t>'2502406865624002681'</t>
  </si>
  <si>
    <t>'0348200081024003359'</t>
  </si>
  <si>
    <t>Поставка электрода игольчатого системы чрескожного мониторинга уровня глюкозы в интерстициальной жидкости (Р-50)</t>
  </si>
  <si>
    <t>'2420534966424001493'</t>
  </si>
  <si>
    <t>'0139200000124014195'</t>
  </si>
  <si>
    <t>Протокол подведения итогов определения поставщика (подрядчика, исполнителя) № ИЗК1 от 13.09.2024 00:00:00</t>
  </si>
  <si>
    <t>2329-К-ЗК/24</t>
  </si>
  <si>
    <t>Поставка медицинских изделий (приобретение товаров в пользу граждан в целях их социального обеспечения)</t>
  </si>
  <si>
    <t>ОБЩЕСТВО С ОГРАНИЧЕННОЙ ОТВЕТСТВЕННОСТЬЮ "СИБИРСКИЙ ЛЕКАРЬ"</t>
  </si>
  <si>
    <t>'2602705399524000193'</t>
  </si>
  <si>
    <t>'0157200000324001124'</t>
  </si>
  <si>
    <t>Протокол подведения итогов определения поставщика (подрядчика, исполнителя) № ИЭА1 от 11.09.2024 00:00:00</t>
  </si>
  <si>
    <t>1303-А-ГЗ</t>
  </si>
  <si>
    <t>Поставка медицинских изделий - электродов игольчатых системы чрескожного мониторинга уровня глюкозы в интерстициальной жидкости – 2 (Регистрационный номер: 1303-А-ГЗ)</t>
  </si>
  <si>
    <t>'2602705399524000192'</t>
  </si>
  <si>
    <t>'0157200000324001123'</t>
  </si>
  <si>
    <t>Протокол подведения итогов определения поставщика (подрядчика, исполнителя) № ИЭА1 от 10.09.2024 00:00:00</t>
  </si>
  <si>
    <t>1301-А-ГЗ</t>
  </si>
  <si>
    <t>Поставка медицинских изделий - электродов игольчатых системы чрескожного мониторинга уровня глюкозы в интерстициальной жидкости – 1 (регистрационный номер: 1301-А-ГЗ)</t>
  </si>
  <si>
    <t>'2120000088124000184'</t>
  </si>
  <si>
    <t>'0108500000424003837'</t>
  </si>
  <si>
    <t>0108500000424003837/ЭА</t>
  </si>
  <si>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</si>
  <si>
    <t>Комплект изделий чрескожного мониторинга уровня глюкозы в интерстициальной жидкости, электрохимический метод. ТачКеар (TouchCare)</t>
  </si>
  <si>
    <t>Medtrum</t>
  </si>
  <si>
    <t>ОБЩЕСТВО С ОГРАНИЧЕННОЙ ОТВЕТСТВЕННОСТЬЮ "ФАРМКОНТУР"</t>
  </si>
  <si>
    <t>Витанта</t>
  </si>
  <si>
    <t>'2602705399524000196'</t>
  </si>
  <si>
    <t>'0357200023024000118'</t>
  </si>
  <si>
    <t>Протокол подведения итогов определения поставщика (подрядчика, исполнителя) № ИЭА1 от 13.09.2024 00:00:00</t>
  </si>
  <si>
    <t>24А-118</t>
  </si>
  <si>
    <t>Поставка медицинских изделий - приемников (сканеров) системы чрескожного мониторинга уровня глюкозы в интерстициальной жидкости</t>
  </si>
  <si>
    <t>Приемник (сканер) системы чрескожного мониторинга уровня глюкозы в интерстициальной жидкости. Libre</t>
  </si>
  <si>
    <t>'2780804622424000921'</t>
  </si>
  <si>
    <t>'0372200000124000821'</t>
  </si>
  <si>
    <t>'03722000001240008210001'</t>
  </si>
  <si>
    <t>Поставка медицинского расходного материала для эндокринологического отделения</t>
  </si>
  <si>
    <t>НЕДЕЛИНА СЕРГЕЕВНА ЕЛЕНА</t>
  </si>
  <si>
    <t>'2690504495024000950'</t>
  </si>
  <si>
    <t>БЮДЖЕТНОЕ УЧРЕЖДЕНИЕ ЗДРАВООХРАНЕНИЯ ОМСКОЙ ОБЛАСТИ "ОБЛАСТНАЯ КЛИНИЧЕСКАЯ БОЛЬНИЦА"</t>
  </si>
  <si>
    <t>'0136500001124005247'</t>
  </si>
  <si>
    <t>Поставка медицинского расходного материала (электрод игольчатый системы чрескожного мониторинга уровня глюкозы в интерстециальной жидкости). (Реестровый номер 2024.059436)</t>
  </si>
  <si>
    <t>'2272404126024000558'</t>
  </si>
  <si>
    <t>'0322200002124000597'</t>
  </si>
  <si>
    <t>'2532102896024000304'</t>
  </si>
  <si>
    <t>'0150200003924000799'</t>
  </si>
  <si>
    <t>Протокол подведения итогов определения поставщика (подрядчика, исполнителя) № ИЭА1 от 16.09.2024 00:00:00</t>
  </si>
  <si>
    <t>'1772908209024000689'</t>
  </si>
  <si>
    <t>ФЕДЕРАЛЬНОЕ ГОСУДАРСТВЕННОЕ БЮДЖЕТНОЕ ОБРАЗОВАТЕЛЬНОЕ УЧРЕЖДЕНИЕ ВЫСШЕГО ОБРАЗОВАНИЯ "МОСКОВСКИЙ ГОСУДАРСТВЕННЫЙ УНИВЕРСИТЕТ ИМЕНИ М.В.ЛОМОНОСОВА"</t>
  </si>
  <si>
    <t>'0373100040124000581'</t>
  </si>
  <si>
    <t>Протокол подведения итогов определения поставщика (подрядчика, исполнителя) № ИЭА1 от 17.09.2024 00:00:00</t>
  </si>
  <si>
    <t>1177-44-2024</t>
  </si>
  <si>
    <t>Закупка расходных материалов (электрод игольчатый системы чрескожного мониторинга уровня глюкозы в интерстициальной жидкости) для МНОИ МГУ имени М.В. Ломоносова (ИД 71482))</t>
  </si>
  <si>
    <t>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</si>
  <si>
    <t>Протокол подведения итогов определения поставщика (подрядчика, исполнителя) № ИЭА1 от 19.09.2024 00:00:00</t>
  </si>
  <si>
    <t>Поставка медицинских изделий для нужд Клиники БГМУ</t>
  </si>
  <si>
    <t>'2532102896024000306'</t>
  </si>
  <si>
    <t>'0150200003924000804'</t>
  </si>
  <si>
    <t>'2616304981424000748'</t>
  </si>
  <si>
    <t>'0158200001324001115'</t>
  </si>
  <si>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и на основании распоряжения Правительства Российской Федерации от 22.11.2023 №3285-р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</si>
  <si>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отсутствует</t>
  </si>
  <si>
    <t>'2540215512324001934'</t>
  </si>
  <si>
    <t>'0351200003324002285'</t>
  </si>
  <si>
    <t>Протокол подведения итогов определения поставщика (подрядчика, исполнителя) № ИЭА1 от 20.09.2024 00:00:00</t>
  </si>
  <si>
    <t>24.Ф.2024.2285 РП 447-рп</t>
  </si>
  <si>
    <t>2024-№2301 Поставка медицинских изделий: Электрод игольчатый системы чрескожного мониторинга уровня глюкозы в интерстициальной жидкости</t>
  </si>
  <si>
    <t>'2201400016324000033'</t>
  </si>
  <si>
    <t>ГОСУДАРСТВЕННОЕ БЮДЖЕТНОЕ УЧРЕЖДЕНИЕ "РЕСПУБЛИКАНСКИЙ ЭНДОКРИНОЛОГИЧЕСКИЙ ДИСПАНСЕР"</t>
  </si>
  <si>
    <t>Чеченская республика</t>
  </si>
  <si>
    <t>'0194200000524004621'</t>
  </si>
  <si>
    <t>013/24</t>
  </si>
  <si>
    <t>изделия медицинского назначения. Датчик системы Flash – мониторинга глюкозы FreeStyle Libre 2</t>
  </si>
  <si>
    <t>ОБЩЕСТВО С ОГРАНИЧЕННОЙ ОТВЕТСТВЕННОСТЬЮ "ФАРМЛИГА"</t>
  </si>
  <si>
    <t>2462901942024000337'</t>
  </si>
  <si>
    <t>'0744200000224007271'</t>
  </si>
  <si>
    <t>"0744200000224007271"</t>
  </si>
  <si>
    <t>'2502406865624003129'</t>
  </si>
  <si>
    <t>'0348200081024003924'</t>
  </si>
  <si>
    <t>Поставка электродов игольчатых системы чрескожного мониторинга уровня глюкозы в интерстициальной жидкости  (М245837)</t>
  </si>
  <si>
    <t>'2616304981424000758'</t>
  </si>
  <si>
    <t>'0158200001324001116'</t>
  </si>
  <si>
    <t>Протокол подведения итогов определения поставщика (подрядчика, исполнителя) № ИЭА1 от 23.09.2024;Протокол подведения итогов определения поставщика (подрядчика, исполнителя) от 23 сентября 2024 г. №0158200001324001116</t>
  </si>
  <si>
    <t>Комплект изделий чрескожного мониторинга уровня глюкозы в интерстициальной жидкости, электрохимический метод. FreeStyle Libre система Flash</t>
  </si>
  <si>
    <t>'2212801542024000095'</t>
  </si>
  <si>
    <t>'0815500000524009764'</t>
  </si>
  <si>
    <t>10-16/131</t>
  </si>
  <si>
    <t>Поставка медицинских изделий - Электрод игольчатый системы чрескожного мониторинга уровня глюкозы в интерстициальной жидкости</t>
  </si>
  <si>
    <t>'2462901942024000344'</t>
  </si>
  <si>
    <t>'0144200002424000125'</t>
  </si>
  <si>
    <t>Протокол подведения итогов определения поставщика (подрядчика, исполнителя) № ИЭА1 от 25.09.2024; Протокол подведения итогов определения поставщика (подрядчика, исполнителя) № ИЭА1 от 25.09.2024 00:00:00</t>
  </si>
  <si>
    <t>Комплект изделий чрескожного мониторинга уровня глюкозы в интерстициальной жидкости, электрохимический метод. Отсутствует</t>
  </si>
  <si>
    <t>'2482500511024000512'</t>
  </si>
  <si>
    <t>'0346200002824000473'</t>
  </si>
  <si>
    <t>495ФОМС</t>
  </si>
  <si>
    <t>Медицинские изделия</t>
  </si>
  <si>
    <t>Датчик системы чрескожного мониторинга уровня глюкозы. FreeStyle Libre</t>
  </si>
  <si>
    <t>'2391751525324000914'</t>
  </si>
  <si>
    <t>'0835200000824000509'</t>
  </si>
  <si>
    <t>Протокол подведения итогов определения поставщика № ИЗТ1 от 03.10.2024 00:00:00</t>
  </si>
  <si>
    <t>'2860103583824001279'</t>
  </si>
  <si>
    <t>'0387200009124005154'</t>
  </si>
  <si>
    <t>Протокол подведения итогов определения поставщика (подрядчика, исполнителя) № ИЭА1 от 26.09.2024;Протокол подведения итогов определения поставщика (подрядчика, исполнителя) № 0387200009124005154-3 от 26.09.2024</t>
  </si>
  <si>
    <t>Электрод игольчатый системы чрескожного мониторинга уровня глюкозы в интерстициальной жидкости Система Flash мониторинга глюкозы FreeStyle Libre 2</t>
  </si>
  <si>
    <t>Протокол подведения итогов определения поставщика (подрядчика, исполнителя) № ИЭА1 от 30.09.2024 00:00:00</t>
  </si>
  <si>
    <t>Ф.101-25</t>
  </si>
  <si>
    <t>Электронный аукцион №101-25 на право заключения контракта на поставку медицинских изделий для эндокринологического отделения</t>
  </si>
  <si>
    <t>Электрод игольчатый системы чрескожного мониторинга уровня глюкозы в интерстициальной жидкости / Система Flash мониторинга глюкозы FreeStyle Libre 2</t>
  </si>
  <si>
    <t>'2027415782124001494'</t>
  </si>
  <si>
    <t>'0801500001124001702'</t>
  </si>
  <si>
    <t>Протокол подведения итогов определения поставщика (подрядчика, исполнителя) № ИЭА1 от 02.10.2024;Протокол подведения итогов определения поставщика (подрядчика, исполнителя) № 0801500001124001702-2-1 от 02.10.2024</t>
  </si>
  <si>
    <t>'2666100219925000220'</t>
  </si>
  <si>
    <t>'0362200025825000115'</t>
  </si>
  <si>
    <t>Протокол подведения итогов определения поставщика (подрядчика, исполнителя) № ИЭА1 от 03.10.2024 00:00:00</t>
  </si>
  <si>
    <t>1421-А-ГЗ</t>
  </si>
  <si>
    <t>Поставка медицинских изделий - комплектов изделий чрескожного мониторинга уровня глюкозы в интерстициальной жидкости, электрохимическим методом (Регистрационный номер: 1421-А-ГЗ)</t>
  </si>
  <si>
    <t>Комплект изделий чрескожного мониторинга уровня глюкозы в интерстициальной жидкости, электрохимический метод. TouchCare</t>
  </si>
  <si>
    <t>'2312316211024000658'</t>
  </si>
  <si>
    <t>МИНИСТЕРСТВО ЗДРАВООХРАНЕНИЯ БЕЛГОРОДСКОЙ ОБЛАСТИ</t>
  </si>
  <si>
    <t>'0826500000924006027'</t>
  </si>
  <si>
    <t>1039/24 МЗ БО</t>
  </si>
  <si>
    <t>Поставка медицинских изделий Комплект изделий чрескожного мониторинга уровня глюкозы в интерстициальной жидкости, электрохимический метод на 2024г.</t>
  </si>
  <si>
    <t>Комплект изделий чрескожного мониторинга уровня глюкозы в интерстициальной жидкости, электрохимический метод. Hematonix</t>
  </si>
  <si>
    <t>'2391751525324000934'</t>
  </si>
  <si>
    <t>'0835200000824000517'</t>
  </si>
  <si>
    <t>Протокол подведения итогов определения поставщика № ИЗТ1 от 11.10.2024 00:00:00</t>
  </si>
  <si>
    <t>Поставка электродов игольчатых системы чрескожного мониторинга уровня глюкозы в интерстициальной жидкости (М245848)</t>
  </si>
  <si>
    <t>'3370500347924000076'</t>
  </si>
  <si>
    <t>ОБЛАСТНОЕ БЮДЖЕТНОЕ УЧРЕЖДЕНИЕ ЗДРАВООХРАНЕНИЯ ФУРМАНОВСКАЯ ЦЕНТРАЛЬНАЯ РАЙОННАЯ БОЛЬНИЦА</t>
  </si>
  <si>
    <t>'0333300078924000084'</t>
  </si>
  <si>
    <t>Протокол подведения итогов определения поставщика (подрядчика, исполнителя) № ИЭА1 от 07.10.2024 00:00:00</t>
  </si>
  <si>
    <t>'03333000789240000840001'</t>
  </si>
  <si>
    <t>Поставка расходных материалов (Датчик непрерывного мониторинга глюкозы FreeStyle Libre) по торговому наименованию в соответствии с решением суда</t>
  </si>
  <si>
    <t>Электрод игольчатый системы чрескожного мониторинга уровня глюкозы в интерстициальной жидкости. FREESTYLE LIBRE</t>
  </si>
  <si>
    <t>ОБЩЕСТВО С ОГРАНИЧЕННОЙ ОТВЕТСТВЕННОСТЬЮ "ПК ПРОМЕТЕЙ"</t>
  </si>
  <si>
    <t>'2027415782124001896'</t>
  </si>
  <si>
    <t>ГОСУДАРСТВЕННОЕ БЮДЖЕТНОЕ УЧРЕЖДЕНИЕ ЗДРАВООХРАНЕНИЯ "ПЕНЗЕНСКИЙ ОБЛАСТНОЙ ЦЕНТР ОБЩЕСТВЕННОГО ЗДОРОВЬЯ И МЕДИЦИНСКОЙ ПРОФИЛАКТИКИ"</t>
  </si>
  <si>
    <t>'0801200000224001572'</t>
  </si>
  <si>
    <t>Электрод игольчатый системы чрескожного мониторинга уровня глюкозы в интерстициальной жидкости. Датчик FreeStyle Libre 2 системы Flash мониторинга глюкозы</t>
  </si>
  <si>
    <t>'2502406865624003171'</t>
  </si>
  <si>
    <t>'0348200081024003927'</t>
  </si>
  <si>
    <t>Протокол подведения итогов определения поставщика (подрядчика, исполнителя) № ИЭА1 от 04.10.2024;44-фз от 05.04.2013 г.</t>
  </si>
  <si>
    <t>Поставка электрода игольчатого системы чрескожного мониторинга уровня глюкозы в интерстициальной жидкости (Р-52, Лот 2)</t>
  </si>
  <si>
    <t>'2212801542024000114'</t>
  </si>
  <si>
    <t>'0115200006924000011'</t>
  </si>
  <si>
    <t>Протокол подведения итогов определения поставщика № ИЗТ1 от 18.10.2024;-</t>
  </si>
  <si>
    <t>10-16/135</t>
  </si>
  <si>
    <t>Поставка электродов игольчатых системы чрескожного мониторинга уровня глюкозы в интерстициальной жидкости (М245957)</t>
  </si>
  <si>
    <t>'2830001052624000474'</t>
  </si>
  <si>
    <t>'0384200001824000038'</t>
  </si>
  <si>
    <t>Протокол подведения итогов определения поставщика № ИЗТ1 от 18.10.2024 00:00:00</t>
  </si>
  <si>
    <t>"23661006889 24 000793"</t>
  </si>
  <si>
    <t>"0131200001024010480"</t>
  </si>
  <si>
    <t>Ф.2024.10824-ЭА</t>
  </si>
  <si>
    <t>2024-10824**Поставка медицинских изделий</t>
  </si>
  <si>
    <t>'2434701856224000244'</t>
  </si>
  <si>
    <t>'0340200003324013565'</t>
  </si>
  <si>
    <t>Протокол подведения итогов определения поставщика (подрядчика, исполнителя) № ИЭА1 от 15.10.2024</t>
  </si>
  <si>
    <t>'03402000033240135650001'</t>
  </si>
  <si>
    <t>'2246621260724000985'</t>
  </si>
  <si>
    <t>'0119200000124016825'</t>
  </si>
  <si>
    <t>Протокол подведения итогов определения поставщика (подрядчика, исполнителя) № ИЗК1 от 23.10.2024 00:00:00</t>
  </si>
  <si>
    <t>2024/28/5</t>
  </si>
  <si>
    <t>ЗК-№-16991/24 «Комплект изделий чрескожного мониторинга уровня глюкозы в интерстициальной жидкости, электрохимический метод»</t>
  </si>
  <si>
    <t>ОБЩЕСТВО С ОГРАНИЧЕННОЙ ОТВЕТСТВЕННОСТЬЮ "ДИАМАРКА"</t>
  </si>
  <si>
    <t>'2272404126024000617'</t>
  </si>
  <si>
    <t>'0322200002124000694'</t>
  </si>
  <si>
    <t>Протокол подведения итогов определения поставщика № ИЗТ1 от 29.10.2024</t>
  </si>
  <si>
    <t>'0322200002124000694 '</t>
  </si>
  <si>
    <t>2272404126024000618'</t>
  </si>
  <si>
    <t>'0322200002124000693'</t>
  </si>
  <si>
    <t>"0322200002124000693"</t>
  </si>
  <si>
    <t>'2470000125424001348'</t>
  </si>
  <si>
    <t>'0345200004024001018'</t>
  </si>
  <si>
    <t>РТС. 0345200004024001018</t>
  </si>
  <si>
    <t>Поставка датчиков системы чрескожного мониторинга уровня глюкозы для эндокринологического отделения ГБУЗ ЛОКБ (часть 4) на 2025-2026 год</t>
  </si>
  <si>
    <t>'1770401401024000378'</t>
  </si>
  <si>
    <t>'0373100013424000446'</t>
  </si>
  <si>
    <t>Протокол подведения итогов определения поставщика № ИЗТ1 от 30.10.2024 00:00:00</t>
  </si>
  <si>
    <t>446-ЭЗТ-24-44</t>
  </si>
  <si>
    <t>'3762700392724000293'</t>
  </si>
  <si>
    <t>ГОСУДАРСТВЕННОЕ УЧРЕЖДЕНИЕ ЗДРАВООХРАНЕНИЯ ЯРОСЛАВСКОЙ ОБЛАСТИ ЯРОСЛАВСКАЯ ЦЕНТРАЛЬНАЯ РАЙОННАЯ БОЛЬНИЦА</t>
  </si>
  <si>
    <t>'0371300045624000276'</t>
  </si>
  <si>
    <t>2024.276</t>
  </si>
  <si>
    <t>Поставка медицинских изделий (Датчик системы чрескожного мониторинга уровня глюкозы) для нужд ГУЗ ЯО Ярославская ЦРБ</t>
  </si>
  <si>
    <t>Датчик системы чрескожного мониторинга уровня глюкозы. -</t>
  </si>
  <si>
    <t>ОБЩЕСТВО С ОГРАНИЧЕННОЙ ОТВЕТСТВЕННОСТЬЮ "СФЕРА"</t>
  </si>
  <si>
    <t>'2890100700624000993'</t>
  </si>
  <si>
    <t>'0190200000324011805'</t>
  </si>
  <si>
    <t>11805-СНМГ-Д-24</t>
  </si>
  <si>
    <t>'2890100700624000994'</t>
  </si>
  <si>
    <t>'0190200000324011772'</t>
  </si>
  <si>
    <t>11772-СНМГ-Д-24</t>
  </si>
  <si>
    <t>Поставка медицинских изделий (Приемник (сканер) системы чрескожного мониторинга уровня глюкозы в интерстициальной жидкости)</t>
  </si>
  <si>
    <t>Приемник (сканер) системы чрескожного мониторинга уровня глюкозы в интерстициальной жидкости. FreeStyle Libre система Flash</t>
  </si>
  <si>
    <t>'2890100700624000992'</t>
  </si>
  <si>
    <t>'0190200000324011699'</t>
  </si>
  <si>
    <t>11699-СНМГ-Д-24</t>
  </si>
  <si>
    <t>'2860103583824001418'</t>
  </si>
  <si>
    <t>'0387200009124005928'</t>
  </si>
  <si>
    <t>Протокол подведения итогов определения поставщика (подрядчика, исполнителя) № ИЭА1 от 23.10.2024;Протокол подведения итогов определения поставщика (подрядчика, исполнителя) № 0387200009124005928-3 от 23.10.2024</t>
  </si>
  <si>
    <t>Поставка в 2024 году систем непрерывного мониторинга глюкозы для обеспечения беременных женщин с сахарным диабетом в рамках реализации федерального проекта «Борьба с сахарным диабетом».</t>
  </si>
  <si>
    <t>Электрод игольчатый системы чрескожного мониторинга уровня глюкозы в интерстициальной жидкости. FREESTYLE LIBRE             СИСТЕМА FLASH</t>
  </si>
  <si>
    <t>Беременные</t>
  </si>
  <si>
    <t>'2391751525324001001'</t>
  </si>
  <si>
    <t>'0835200000824000581'</t>
  </si>
  <si>
    <t>Протокол подведения итогов определения поставщика № ИЗТ1 от 02.11.2024 00:00:00</t>
  </si>
  <si>
    <t>'1526003794024000938'</t>
  </si>
  <si>
    <t>'0332100022724001182'</t>
  </si>
  <si>
    <t>916Ц</t>
  </si>
  <si>
    <t>Поставка расходных материалов для системы мониторинга глюкозы (916Ц)</t>
  </si>
  <si>
    <t>'2745313582724001937'</t>
  </si>
  <si>
    <t>'0869200000224009282'</t>
  </si>
  <si>
    <t>09282-СД/2024</t>
  </si>
  <si>
    <t>на поставку Комплектов изделий чрескожного мониторинга уровня глюкозы в интерстициальной жидкости, электрохимический метод</t>
  </si>
  <si>
    <t>'2631819736724003630'</t>
  </si>
  <si>
    <t>'0142200001324024060'</t>
  </si>
  <si>
    <t>Протокол подведения итогов определения поставщика (подрядчика, исполнителя) № ИЭА1 от 30.10.2024; Протокол подведения итогов определения поставщика (подрядчика, исполнителя) № ИЭА1 от 30.10.2024 00:00:00</t>
  </si>
  <si>
    <t>2187/24/ СД-2-4</t>
  </si>
  <si>
    <t>'2631819736724003648'</t>
  </si>
  <si>
    <t>'0142200001324024162'</t>
  </si>
  <si>
    <t>Протокол подведения итогов определения поставщика (подрядчика, исполнителя) № ИЭА1 от 01.11.2024 00:00:00</t>
  </si>
  <si>
    <t>2193/24/СД-4-17</t>
  </si>
  <si>
    <t>'2230200116324000179'</t>
  </si>
  <si>
    <t>'0318200023424000165'</t>
  </si>
  <si>
    <t>Поставка медицинских изделий чрескожного мониторинга уровня глюкозы в интерстициальной жидкости (Р-53)</t>
  </si>
  <si>
    <t>'2120000088124000270'</t>
  </si>
  <si>
    <t>'0108500000424004566'</t>
  </si>
  <si>
    <t>0108500000424004566/ЗК</t>
  </si>
  <si>
    <t>Поставка медицинского изделия «Электрод игольчатый системы чрескожного мониторинга уровня глюкозы в интерстициальной жидкости» в целях социального обеспечения граждан</t>
  </si>
  <si>
    <t>'2730001673424000039'</t>
  </si>
  <si>
    <t>'0168500000624004857'</t>
  </si>
  <si>
    <t>Протокол подведения итогов определения поставщика (подрядчика, исполнителя) № ИЗК1 от 08.11.2024;Протокол подведения итогов определения поставщика (подрядчика, исполнителя)</t>
  </si>
  <si>
    <t>'168500000624004857'</t>
  </si>
  <si>
    <t>Система непрерывного мониторинга глюкозы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</si>
  <si>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Отсутсвует</t>
  </si>
  <si>
    <t>'2312316211024000728'</t>
  </si>
  <si>
    <t>'0826500000924006954'</t>
  </si>
  <si>
    <t>Протокол подведения итогов определения поставщика (подрядчика, исполнителя) № ИЭА1 от 07.11.2024;Протокол подведения итогов определения поставщика (подрядчика, исполнителя)</t>
  </si>
  <si>
    <t>38/25 МЗ БО</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</si>
  <si>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на 2025г.</t>
  </si>
  <si>
    <t>Протокол подведения итогов определения поставщика (подрядчика, исполнителя) № ИЭА1 от 05.11.2024 00:00:00</t>
  </si>
  <si>
    <t>2024.16131</t>
  </si>
  <si>
    <t>Поставка медицинских расходных материалов для отделения эндокринологии Лот 1</t>
  </si>
  <si>
    <t>'2720216180724000964'</t>
  </si>
  <si>
    <t>'0167200003424008424'</t>
  </si>
  <si>
    <t>Протокол подведения итогов определения поставщика (подрядчика, исполнителя) № ИЭА1 от 06.11.2024 00:00:00</t>
  </si>
  <si>
    <t>1279/2024</t>
  </si>
  <si>
    <t>Поставка медицинских изделий: Комплект изделий чрескожного мониторинга уровня глюкозы в интерстициальной жидкости, электрохимический метод (для детского населения)</t>
  </si>
  <si>
    <t>2332500810324000930'</t>
  </si>
  <si>
    <t>'0128200000124005491'</t>
  </si>
  <si>
    <t>Протокол подведения итогов определения поставщика (подрядчика, исполнителя) № ИЭА1 от 07.11.2024 00:00:00</t>
  </si>
  <si>
    <t>"0128200000124005491"</t>
  </si>
  <si>
    <t>Закупка изделий медицинского назначения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4-х системами непрерывного мониторинга глюкозы в 2024 году для нужд государственного казенного учреждения здравоохранения Владимирской области «Центр по осуществлению закупок товаров, работ и услуг в сфере здравоохранения Владимирской области»</t>
  </si>
  <si>
    <t>'1540810013824000525'</t>
  </si>
  <si>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</si>
  <si>
    <t>'0351100003724000068'</t>
  </si>
  <si>
    <t>А76.2024</t>
  </si>
  <si>
    <t>'2650123225025000140'</t>
  </si>
  <si>
    <t>'0361200014325000134'</t>
  </si>
  <si>
    <t>ЕД/134/25</t>
  </si>
  <si>
    <t>Поставка датчиков системы чрескожного мониторинга уровня глюкозы (М246268, лот 1)</t>
  </si>
  <si>
    <t>'2344390130625000243'</t>
  </si>
  <si>
    <t>'0329200062225004026'</t>
  </si>
  <si>
    <t>ЗК119/ОМС/СМП/2025</t>
  </si>
  <si>
    <t>Поставка датчиков системы чрескожного мониторинга уровня глюкозы (М246220)</t>
  </si>
  <si>
    <t>'2583510860624000071'</t>
  </si>
  <si>
    <t>'0155200000924000766'</t>
  </si>
  <si>
    <t>Протокол подведения итогов определения поставщика (подрядчика, исполнителя) № ИЭА1 от 08.11.2024;Протокол подведения итогов определения поставщика (подрядчика, исполнителя)</t>
  </si>
  <si>
    <t>149-ЗК</t>
  </si>
  <si>
    <t>Запрос котировок №149 Поставка расходных материалов, применяемых в медицинских целях</t>
  </si>
  <si>
    <t>'2745313582724001988'</t>
  </si>
  <si>
    <t>'0869200000224009601'</t>
  </si>
  <si>
    <t>09601-ДЛП/2024</t>
  </si>
  <si>
    <t>на поставку Датчика системы чрескожного мониторинга уровня глюкозы для обеспечения вне федеральных перечней льготных категорий граждан дорогостоящими лекарственными препаратами, в том числе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включая обеспечение по решениям суда</t>
  </si>
  <si>
    <t>'2056002077924000376'</t>
  </si>
  <si>
    <t>'0103200008424005906'</t>
  </si>
  <si>
    <t>Протокол подведения итогов определения поставщика (подрядчика, исполнителя) № ИЭА1 от 11.11.2024 00:00:00</t>
  </si>
  <si>
    <t>' 01032000084240059060001'</t>
  </si>
  <si>
    <t>'2540215512324002251'</t>
  </si>
  <si>
    <t>'0351200003324002726'</t>
  </si>
  <si>
    <t>Протокол подведения итогов определения поставщика (подрядчика, исполнителя) № ИЗК1 от 21.11.2024 00:00:00</t>
  </si>
  <si>
    <t>24.2726-2024 ЗК РП 561-рп</t>
  </si>
  <si>
    <t>2024-№2868 (ЗК) Поставка медицинских изделий: Электрод игольчатый системы чрескожного мониторинга уровня глюкозы в интерстициальной жидкости</t>
  </si>
  <si>
    <t>'2470000118024000446'</t>
  </si>
  <si>
    <t>'0145200000424001917'</t>
  </si>
  <si>
    <t>'01452000004240019170001'</t>
  </si>
  <si>
    <t>Поставка в 2024 году электрода игольчатого системы мониторинга уровня глюкозы (Часть 2)</t>
  </si>
  <si>
    <t>'2072106027824001506'</t>
  </si>
  <si>
    <t>'0304200009024002037'</t>
  </si>
  <si>
    <t>Ч12/2024-1701-01204R1070</t>
  </si>
  <si>
    <t>'2072106027824001505'</t>
  </si>
  <si>
    <t>'0304200009024002036'</t>
  </si>
  <si>
    <t>Ч12/2024-1700-01204R1070</t>
  </si>
  <si>
    <t>'2072106027824001504'</t>
  </si>
  <si>
    <t>'0304200009024002035'</t>
  </si>
  <si>
    <t>Ч12/2024-1699-01204R1070</t>
  </si>
  <si>
    <t>'2072106027824001507'</t>
  </si>
  <si>
    <t>'0304200009024002025'</t>
  </si>
  <si>
    <t>Ч12/2024/11-1705-01204R1520</t>
  </si>
  <si>
    <t>'2366603133524000569'</t>
  </si>
  <si>
    <t>'0131200001024012346'</t>
  </si>
  <si>
    <t>Протокол подведения итогов определения поставщика (подрядчика, исполнителя) № ИЭА1 от 20.11.2024</t>
  </si>
  <si>
    <t>ЭА.2024.12346</t>
  </si>
  <si>
    <t>2024-13206**Поставка комплекта изделий чрескожного мониторинга уровня глюкозы в интерстициальной жидкости, электрохимический метод.</t>
  </si>
  <si>
    <t>'2072106027824001523'</t>
  </si>
  <si>
    <t>'0304200009024002040'</t>
  </si>
  <si>
    <t>Протокол подведения итогов определения поставщика № ИЗТ1 от 28.11.2024 00:00:00</t>
  </si>
  <si>
    <t>Ч12/2024-1706-01204R1520</t>
  </si>
  <si>
    <t>'2072106027824001524'</t>
  </si>
  <si>
    <t>'0304200009024002039'</t>
  </si>
  <si>
    <t>Ч12/2024-1703-01204R1070</t>
  </si>
  <si>
    <t>'2072106027824001525'</t>
  </si>
  <si>
    <t>'0304200009024002038'</t>
  </si>
  <si>
    <t>Ч12/2024-1702-01204R1070</t>
  </si>
  <si>
    <t>'2344302874824000336'</t>
  </si>
  <si>
    <t>ГОСУДАРСТВЕННОЕ УЧРЕЖДЕНИЕ ЗДРАВООХРАНЕНИЯ "ГОРОДСКАЯ КЛИНИЧЕСКАЯ БОЛЬНИЦА СКОРОЙ МЕДИЦИНСКОЙ ПОМОЩИ № 25"</t>
  </si>
  <si>
    <t>'0329200062224009913'</t>
  </si>
  <si>
    <t>9913-ЗК</t>
  </si>
  <si>
    <t>Поставка изделий медицинского назначения (набор для введения инсулина, система мониторинга глюкозы)</t>
  </si>
  <si>
    <t>ЗАКРОЕВ ОЛЕГОВИЧ МАРК</t>
  </si>
  <si>
    <t>'2301506815924000637'</t>
  </si>
  <si>
    <t>'0125200000724000167'</t>
  </si>
  <si>
    <t>392/167</t>
  </si>
  <si>
    <t>'2366200608824001779'</t>
  </si>
  <si>
    <t>БЮДЖЕТНОЕ УЧРЕЖДЕНИЕ ЗДРАВООХРАНЕНИЯ ВОРОНЕЖСКОЙ ОБЛАСТИ "ВОРОНЕЖСКАЯ ОБЛАСТНАЯ КЛИНИЧЕСКАЯ БОЛЬНИЦА №1"</t>
  </si>
  <si>
    <t>'0331200017824000217'</t>
  </si>
  <si>
    <t>2611397-00217/12</t>
  </si>
  <si>
    <t>'2490908578524000264'</t>
  </si>
  <si>
    <t>'0847500000924001687'</t>
  </si>
  <si>
    <t>Протокол подведения итогов определения поставщика (подрядчика, исполнителя) № ИЗК1 от 28.11.2024;Протокол подведения итогов определения поставщика (подрядчика, исполнителя) № 0847500000924001687-0 от 28.11.2024</t>
  </si>
  <si>
    <t>Поставка электродов игольчатых системы чрескожного мониторинга уровня глюкозы в интерстициальной жидкости, в пользу граждан Магаданской области.</t>
  </si>
  <si>
    <t>'2462901942024000397'</t>
  </si>
  <si>
    <t>'0744200000224008706'</t>
  </si>
  <si>
    <t>Протокол подведения итогов определения поставщика (подрядчика, исполнителя) № ИЭА1 от 22.11.2024; Протокол подведения итогов определения поставщика (подрядчика, исполнителя) № ИЭА1 от 22.11.2024 00:00:00</t>
  </si>
  <si>
    <t>' 0744200000224008706'</t>
  </si>
  <si>
    <t>'2366200608824001798'</t>
  </si>
  <si>
    <t>'0331200017824000221'</t>
  </si>
  <si>
    <t>27114890-00221/12</t>
  </si>
  <si>
    <t>'2732500095124000448'</t>
  </si>
  <si>
    <t>'0168500000624005208'</t>
  </si>
  <si>
    <t>'2170105270724000523'</t>
  </si>
  <si>
    <t>ст. 93 ч. 1 п. 28</t>
  </si>
  <si>
    <t>Поставка Системы Flash мониторинга глюкозы FreeStyle Libre 2 для обеспечения нуждающихся беременных женщин системами непрерывного мониторинга глюкозы на 2024 год в рамках федерального проекта "Борьба с сахарным диабетом"</t>
  </si>
  <si>
    <t>'2170105270724000510'</t>
  </si>
  <si>
    <t>Поставка Системы Flash мониторинга глюкозы FreeStyle Libre 2 для обеспечения детей с сахарным диабетом 1 типа в возрасте от 4-х до 17 лет системами непрерывного мониторинга глюкозы в 2024 году в рамках федерального проекта "Борьба с сахарным диабетом"</t>
  </si>
  <si>
    <t>'2170105270724000515'</t>
  </si>
  <si>
    <t>"5609027223240005900008"</t>
  </si>
  <si>
    <t>"32414287579"</t>
  </si>
  <si>
    <t>ОЗ/113</t>
  </si>
  <si>
    <t>Лот №1 Поставка датчиков системы чрескожного мониторинга уровня глюкозы</t>
  </si>
  <si>
    <t>28114890-00226/12</t>
  </si>
  <si>
    <t>"22633004253 24 000106"</t>
  </si>
  <si>
    <t>"0121200004724001592 "</t>
  </si>
  <si>
    <t>"0121200004724001592"</t>
  </si>
  <si>
    <t>поставка изделий медицинского назначения для больных сахарным диабетом электрод игольчатый системы чрескожного мониторинга уровня глюкозы в интерстициальной жидкости</t>
  </si>
  <si>
    <t>'2170105270724000532'</t>
  </si>
  <si>
    <t>"52020003211240001300001"</t>
  </si>
  <si>
    <t>ГОСУДАРСТВЕННОЕ АВТОНОМНОЕ УЧРЕЖДЕНИЕ "ФАРММЕДТЕХСНАБ" МИНИСТЕРСТВА ЗДРАВООХРАНЕНИЯ ЧЕЧЕНСКОЙ РЕСПУБЛИКИ</t>
  </si>
  <si>
    <t>"32414308951"</t>
  </si>
  <si>
    <t>Л/90/24</t>
  </si>
  <si>
    <t>Поставка системы мониторинга уровня глюкозы в интерстициальной жидкости</t>
  </si>
  <si>
    <t>Лот №1 Поставка системы мониторинга уровня глюкозы в интерстициальной жидкости</t>
  </si>
  <si>
    <t>"52020003211240001290001"</t>
  </si>
  <si>
    <t>"32414308929"</t>
  </si>
  <si>
    <t>Л/89/24</t>
  </si>
  <si>
    <t>'1784246167924001123'</t>
  </si>
  <si>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</si>
  <si>
    <t>'0372100052924001061'</t>
  </si>
  <si>
    <t>Протокол подведения итогов определения поставщика (подрядчика, исполнителя) № ИЭА1 от 28.11.2024 00:00:00; Протокол подведения итогов определения поставщика (подрядчика, исполнителя) №0372100052924001061 от 28.11.2024</t>
  </si>
  <si>
    <t>591/2024-ЭА</t>
  </si>
  <si>
    <t>Поставка медицинских расходных материалов для нужд Эндокринологического отделения</t>
  </si>
  <si>
    <t>Электрод игольчатый системы чрескожного мониторинга уровня глюкозы в интерстициальной жидкости. Система Flash мониторинга глюкозы FreeStyleLibre 2</t>
  </si>
  <si>
    <t>'2450102509924000574'</t>
  </si>
  <si>
    <t>'0843500000224007107'</t>
  </si>
  <si>
    <t>Протокол подведения итогов определения поставщика (подрядчика, исполнителя) № ИЗК1 от 02.12.2024;0843500000224007107</t>
  </si>
  <si>
    <t>543-к/24</t>
  </si>
  <si>
    <t>'2132512662524000608'</t>
  </si>
  <si>
    <t>'0809500000324004291'</t>
  </si>
  <si>
    <t>'08095000003240042910001'</t>
  </si>
  <si>
    <t>'2434701856224000293'</t>
  </si>
  <si>
    <t>'0340200013024000002'</t>
  </si>
  <si>
    <t>'03402000130240000020001'</t>
  </si>
  <si>
    <t>'2010502343924000312'</t>
  </si>
  <si>
    <t>'0176200000624000014'</t>
  </si>
  <si>
    <t>0176200000624000014/либра-берем</t>
  </si>
  <si>
    <t>'2027401947624001360'</t>
  </si>
  <si>
    <t>'0301000000224001177'</t>
  </si>
  <si>
    <t>Комплект изделий чрескожного мониторинга уровня глюкозы в интерстициальной жидкости, электрохимический метод. Датчик FreeStyle Libre системы Flash мониторинга глюкозы FreeStyle Libre, Соединенное Королевство  РЗН 2018/6764  от 23.11.2023 г</t>
  </si>
  <si>
    <t>'2540215512324002364'</t>
  </si>
  <si>
    <t>'0351200003324002852'</t>
  </si>
  <si>
    <t>Протокол подведения итогов определения поставщика (подрядчика, исполнителя) № ИЗК1 от 06.12.2024 00:00:00</t>
  </si>
  <si>
    <t>24.2852-2024 ЗК НМГ: 4-17</t>
  </si>
  <si>
    <t>2024-№3066 (ЗК) Поставка медицинских изделий: Электрод игольчатый системы чрескожного мониторинга уровня глюкозы в интерстициальной жидкости</t>
  </si>
  <si>
    <t>'2540215512324002365'</t>
  </si>
  <si>
    <t>'0351200003324002851'</t>
  </si>
  <si>
    <t>24.2851-2024 ЗК НМГ: 4-17</t>
  </si>
  <si>
    <t>2024-№3065 (ЗК) Поставка медицинских изделий: Электрод игольчатый системы чрескожного мониторинга уровня глюкозы в интерстициальной жидкости</t>
  </si>
  <si>
    <t>'2540215512324002363'</t>
  </si>
  <si>
    <t>'0351200003324002850'</t>
  </si>
  <si>
    <t>24.2850-2024 ЗК НМГ: 4-17</t>
  </si>
  <si>
    <t>2024-№3062 (ЗК) Поставка медицинских изделий: Электрод игольчатый системы чрескожного мониторинга уровня глюкозы в интерстициальной жидкости</t>
  </si>
  <si>
    <t>'2434540443524000276'</t>
  </si>
  <si>
    <t>'0340200020024000112'</t>
  </si>
  <si>
    <t>0355300040724000002-2024</t>
  </si>
  <si>
    <t>'2041110036124000169'</t>
  </si>
  <si>
    <t>БЮДЖЕТНОЕ УЧРЕЖДЕНИЕ ЗДРАВООХРАНЕНИЯ РЕСПУБЛИКИ АЛТАЙ " ПЕРИНАТАЛЬНЫЙ ЦЕНТР"</t>
  </si>
  <si>
    <t>'0377200009924000022'</t>
  </si>
  <si>
    <t>Протокол подведения итогов определения поставщика № ИЗТ1 от 06.12.2024 00:00:00</t>
  </si>
  <si>
    <t>0022/1</t>
  </si>
  <si>
    <t>'2434540443524000282'</t>
  </si>
  <si>
    <t>'0340200020024000119'</t>
  </si>
  <si>
    <t xml:space="preserve"> 0355300040724000003-2024</t>
  </si>
  <si>
    <t>'2583620069024000522'</t>
  </si>
  <si>
    <t>ГОСУДАРСТВЕННОЕ БЮДЖЕТНОЕ УЧРЕЖДЕНИЕ ЗДРАВООХРАНЕНИЯ "ГОРОДСКАЯ ПОЛИКЛИНИКА"</t>
  </si>
  <si>
    <t>'0355300006724000141'</t>
  </si>
  <si>
    <t>'2502406865624004034'</t>
  </si>
  <si>
    <t>'0119200000123021866'</t>
  </si>
  <si>
    <t>'0348200081024005383'</t>
  </si>
  <si>
    <t>Поставка электрода игольчатого системы чрескожного мониторинга уровня глюкозы в интерстициальной жидкости для беременных женщин (лот 1.2)</t>
  </si>
  <si>
    <t>Поставка электрода игольчатого системы чрескожного мониторинга уровня глюкозы в интерстициальной жидкости для беременных женщин (лот 1.1)</t>
  </si>
  <si>
    <t>Поставка электрода игольчатого системы чрескожного мониторинга уровня глюкозы в интерстициальной жидкости для беременных женщин (лот 1.7)</t>
  </si>
  <si>
    <t>Поставка электрода игольчатого системы чрескожного мониторинга уровня глюкозы в интерстициальной жидкости для беременных женщин (лот 1.6)</t>
  </si>
  <si>
    <t>Поставка электрода игольчатого системы чрескожного мониторинга уровня глюкозы в интерстициальной жидкости для беременных женщин (лот 1.5)</t>
  </si>
  <si>
    <t>Поставка электрода игольчатого системы чрескожного мониторинга уровня глюкозы в интерстициальной жидкости для беременных женщин (лот 1.3)</t>
  </si>
  <si>
    <t>Поставка электрода игольчатого системы чрескожного мониторинга уровня глюкозы в интерстициальной жидкости для беременных женщин (лот 1.4)</t>
  </si>
  <si>
    <t>'2502406865624004038'</t>
  </si>
  <si>
    <t>'0348200081024005389'</t>
  </si>
  <si>
    <t>Поставка электрода игольчатого системы чрескожного мониторинга уровня глюкозы в интерстициальной жидкости для беременных женщин (лот 1.8)</t>
  </si>
  <si>
    <t>'2502406865624004042'</t>
  </si>
  <si>
    <t>'0348200081024005230'</t>
  </si>
  <si>
    <t>Протокол подведения итогов определения поставщика (подрядчика, исполнителя) № ИЗК1 от 27.11.2024;44-ФЗ от 05.04.2013 г.</t>
  </si>
  <si>
    <t>Поставка медицинских изделий чрескожного мониторинга уровня глюкозы в интерстициальной жидкости (Р-52, лот 1)</t>
  </si>
  <si>
    <t>КИРОВСКОЕ ОБЛАСТНОЕ ГОСУДАРСТВЕННОЕ БЮДЖЕТНОЕ УЧРЕЖДЕНИЕ ЗДРАВООХРАНЕНИЯ "КИРОВСКАЯ КЛИНИЧЕСКАЯ БОЛЬНИЦА №7 ИМ. В.И.ЮРЛОВОЙ"</t>
  </si>
  <si>
    <t>'2100104678624000665'</t>
  </si>
  <si>
    <t>'0306200010224000831'</t>
  </si>
  <si>
    <t>'2720207019424000695'</t>
  </si>
  <si>
    <t>ГОСУДАРСТВЕННОЕ БЮДЖЕТНОЕ УЧРЕЖДЕНИЕ ЗДРАВООХРАНЕНИЯ ТЮМЕНСКОЙ ОБЛАСТИ "ПЕРИНАТАЛЬНЫЙ ЦЕНТР" (Г.ТЮМЕНЬ)</t>
  </si>
  <si>
    <t>'0167200003424010034'</t>
  </si>
  <si>
    <t>Протокол подведения итогов определения поставщика (подрядчика, исполнителя) № ИЗК1 от 09.12.2024;Статья 93, ч.1, п.25, Федерального закона №44-ФЗ от 05.04.2013. Протокол подведения итогов № 0167200003424010034-1 от 09.12.2024</t>
  </si>
  <si>
    <t>696К/24</t>
  </si>
  <si>
    <t>поставка медицинских изделий: электрод игольчатый системы чрескожного мониторинга уровня глюкозы в интерстициальной жидкости</t>
  </si>
  <si>
    <t>'2312316211024000744'</t>
  </si>
  <si>
    <t>'0826500000924008140'</t>
  </si>
  <si>
    <t>1110/24 МЗ БО ЗК</t>
  </si>
  <si>
    <t>По обеспечению нуждающихся беременных женщин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 на 2024 г.</t>
  </si>
  <si>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</si>
  <si>
    <t>ОБЩЕСТВО С ОГРАНИЧЕННОЙ ОТВЕТСТВЕННОСТЬЮ "ЭСБИЭС ФАРМАСИ"</t>
  </si>
  <si>
    <t>Эсбиэс Фармаси</t>
  </si>
  <si>
    <t>'2780804383324001041'</t>
  </si>
  <si>
    <t>"2-9/24"</t>
  </si>
  <si>
    <t>Поставка медицинского изделия  ЭЛЕКТРОД ИГОЛЬЧАТЫЙ  СИСТЕМЫ ЧРЕЗКОЖНОГО  МОНИТОРИНГА УРОВНЯ ГЛЮКОЗЫ В ИНТЕРСТИЦИАЛЬНОЙ ЖИДКОСТИ для обеспечения  отдельных категорий граждан в 2024 году</t>
  </si>
  <si>
    <t>ЭЛЕКТРОД ИГОЛЬЧАТЫЙ  СИСТЕМЫ ЧРЕЗКОЖНОГО  МОНИТОРИНГА УРОВНЯ ГЛЮКОЗЫ В ИНТЕРСТИЦИАЛЬНОЙ ЖИДКОСТИ</t>
  </si>
  <si>
    <t>'2581700060024000122'</t>
  </si>
  <si>
    <t>ГОСУДАРСТВЕННОЕ БЮДЖЕТНОЕ УЧРЕЖДЕНИЕ ЗДРАВООХРАНЕНИЯ "КОЛЫШЛЕЙСКАЯ РАЙОННАЯ БОЛЬНИЦА"</t>
  </si>
  <si>
    <t>'0355300057724000012'</t>
  </si>
  <si>
    <t>'2490908578524000276'</t>
  </si>
  <si>
    <t>'0147200000924000002'</t>
  </si>
  <si>
    <t>'2222100785824000997'</t>
  </si>
  <si>
    <t xml:space="preserve">Электрод игольчатый системы чрескожного мониторинга уровня глюкозы в интерстициальной жидкости (Система Flash мониторинга глюкозы FreeStyle Libre 2) Производитель: «Эбботт Дайабитиз Кэе Лтд.», Соединенное Королевство. РУ № РЗН 2022/16406 от 23.11.2023 г. </t>
  </si>
  <si>
    <t>АЛТАЙСКОЕ КРАЕВОЕ ГОСУДАРСТВЕННОЕ УНИТАРНОЕ ПРЕДПРИЯТИЕ "АПТЕКИ АЛТАЯ"</t>
  </si>
  <si>
    <t>'2041100854224000526'</t>
  </si>
  <si>
    <t>'0177200000424000073'</t>
  </si>
  <si>
    <t>Протокол подведения итогов определения поставщика № ИЗТ1 от 10.12.2024 00:00:00</t>
  </si>
  <si>
    <t>МЗ РА СД 47/2024</t>
  </si>
  <si>
    <t>Обеспечение детей с сахарным диабетом 1 типа в возрасте от 4 до 17 лет электродами игольчатыми системы чрескожного мониторинга уровня глюкозы в интерстициальной жидкости в рамках федерального проекта «Борьба с сахарным диабетом» согласно распоряжения Правительства РФ от 22.11.2023 г.№3285-р</t>
  </si>
  <si>
    <t>'2760404472624000463'</t>
  </si>
  <si>
    <t>'0171200001924004957'</t>
  </si>
  <si>
    <t>Протокол подведения итогов определения поставщика (подрядчика, исполнителя) № ИЗК1 от 10.12.2024;Протокол подведения итогов определения поставщика (подрядчика, исполнителя) № ИЗК1 от 10.12.2024</t>
  </si>
  <si>
    <t>843мг-2024/ГК</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</si>
  <si>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t>
  </si>
  <si>
    <t>'2212801542024000147'</t>
  </si>
  <si>
    <t>'0815500000524012811'</t>
  </si>
  <si>
    <t>10-16/195</t>
  </si>
  <si>
    <t>Поставка медицинских изделий - Электрод игольчатый системы чрескожного мониторинга уровня глюкозы в интерстициальной жидкости для обеспечения беременных женщин с сахарным диабетом в рамках реализации федерального проекта «Борьба с сахарным диабетом»</t>
  </si>
  <si>
    <t>Электрод игольчатый системы чрескожного мониторинга уровня глюкозы в интерстициальной жидкости 1.1.. FreeStyle Libre</t>
  </si>
  <si>
    <t>'2132512662524000631'</t>
  </si>
  <si>
    <t>'0809500000324004219'</t>
  </si>
  <si>
    <t>'08095000003240042190001'</t>
  </si>
  <si>
    <t>Закупка медицинских изделий (Электрод игольчатый системы чрескожного мониторинга уровня глюкозы в интерстициальной жидкости), в рамках мероприятий по обеспечению детей с сахарным диабетом 1 типа в возрасте от 4-х до 17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t>
  </si>
  <si>
    <t>'2434540443524000283'</t>
  </si>
  <si>
    <t>'0340200020024000120'</t>
  </si>
  <si>
    <t>'2910201286924000822'</t>
  </si>
  <si>
    <t>'0175200000424001193'</t>
  </si>
  <si>
    <t>Протокол подведения итогов определения поставщика (подрядчика, исполнителя) № ИЗК1 от 10.12.2024 00:00:00</t>
  </si>
  <si>
    <t>' 0175200000424001193'</t>
  </si>
  <si>
    <t>Поставка медицинских изделий "Комплект изделий чрескожного мониторинга уровня глюкозы в интерстициальной жидкости, электрохимический метод"(КБК 807 0909 41115R1070 244)</t>
  </si>
  <si>
    <t>Sinocare</t>
  </si>
  <si>
    <t>ОБЩЕСТВО С ОГРАНИЧЕННОЙ ОТВЕТСТВЕННОСТЬЮ "ЭМВИКО"</t>
  </si>
  <si>
    <t>Эмвико</t>
  </si>
  <si>
    <t>'2490908578524000281'</t>
  </si>
  <si>
    <t>'0147200000924000003'</t>
  </si>
  <si>
    <t>'2890300926324001162'</t>
  </si>
  <si>
    <t>ГОСУДАРСТВЕННОЕ БЮДЖЕТНОЕ УЧРЕЖДЕНИЕ ЗДРАВООХРАНЕНИЯ ЯМАЛО-НЕНЕЦКОГО АВТОНОМНОГО ОКРУГА "НАДЫМСКАЯ ЦЕНТРАЛЬНАЯ РАЙОННАЯ  БОЛЬНИЦА"</t>
  </si>
  <si>
    <t>'0190200000324015831'</t>
  </si>
  <si>
    <t>Протокол подведения итогов определения поставщика № ИЗТ1 от 11.12.2024 00:00:00</t>
  </si>
  <si>
    <t>'01902000003240158310001'</t>
  </si>
  <si>
    <t>'2760404472624000467'</t>
  </si>
  <si>
    <t>'0171200001924004958'</t>
  </si>
  <si>
    <t>Протокол подведения итогов определения поставщика (подрядчика, исполнителя) № ИЗК1 от 10.12.2024;Протокол подведения итогов определения поставщика (подрядчика, исполнителя) № F52F3909-7055-4ECB-80AE-69687A184F95 от 10.12.2024</t>
  </si>
  <si>
    <t>842мг-2024/ГК</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</si>
  <si>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4-х до 17-ти лет</t>
  </si>
  <si>
    <t>'2753614997524000257'</t>
  </si>
  <si>
    <t>'0891200000624011847'</t>
  </si>
  <si>
    <t>266-24</t>
  </si>
  <si>
    <t>Приобретение датчиков системы мониторирования уровня глюкозы (00012736-ЗКвЭФ)</t>
  </si>
  <si>
    <t xml:space="preserve">Комплект изделий чрескожного мониторинга уровня глюкозы в интерстициальной жидкости, электрохимический метод. Отсутствует </t>
  </si>
  <si>
    <t>'2631819736724004431'</t>
  </si>
  <si>
    <t>'0142200001324028685'</t>
  </si>
  <si>
    <t>Протокол подведения итогов определения поставщика (подрядчика, исполнителя) № ИЭА1 от 03.12.2024 00:00:00</t>
  </si>
  <si>
    <t>2514/24/СД 4-17</t>
  </si>
  <si>
    <t>Электрод игольчатый системы чрескожного мониторинга уровня глюкозы в интерстициальной жидкости. Системы Flash мониторинга глюкозы FreeStyle Libre 2</t>
  </si>
  <si>
    <t>'2631819736724004414'</t>
  </si>
  <si>
    <t>'0142200001324028504'</t>
  </si>
  <si>
    <t>2510/24/ИМН-Т</t>
  </si>
  <si>
    <t>'2631819736724004412'</t>
  </si>
  <si>
    <t>'0142200001324028505'</t>
  </si>
  <si>
    <t>Протокол подведения итогов определения поставщика (подрядчика, исполнителя) № ИЭА1 от 03.12.2024; Протокол подведения итогов определения поставщика (подрядчика, исполнителя) № ИЭА1 от 03.12.2024 00:00:00</t>
  </si>
  <si>
    <t>2506/24/СНМГ 4-17</t>
  </si>
  <si>
    <t>Поставка изделий медицинского назначения для больных сахарным диабетом, в рамках льготного лекарственного обеспечения. (СНМГ)</t>
  </si>
  <si>
    <t>Электрод игольчатый системы чрескожного мониторинга уровня глюкозы в интерстициальной жидкости. Системы  Flash мониторинга глюкозы FreeStyle Libre 2</t>
  </si>
  <si>
    <t>24.2862-2024 ЗК НМГ БЕР</t>
  </si>
  <si>
    <t>2024-№3087 (ЗК) Поставка медицинских изделий: Электрод игольчатый системы чрескожного мониторинга уровня глюкозы в интерстициальной жидкости</t>
  </si>
  <si>
    <t>24.2861-2024 ЗК НМГ БЕР</t>
  </si>
  <si>
    <t>2024-№3086 (ЗК) Поставка медицинских изделий: Электрод игольчатый системы чрескожного мониторинга уровня глюкозы в интерстициальной жидкости</t>
  </si>
  <si>
    <t>24.2860-2024 ЗК НМГ БЕР</t>
  </si>
  <si>
    <t>2024-№3083 (ЗК) Поставка медицинских изделий: Электрод игольчатый системы чрескожного мониторинга уровня глюкозы в интерстициальной жидкости</t>
  </si>
  <si>
    <t>24.2859-2024 ЗК НМГ БЕР</t>
  </si>
  <si>
    <t>2024-№3089 (ЗК) Поставка медицинских изделий: Электрод игольчатый системы чрескожного мониторинга уровня глюкозы в интерстициальной жидкости</t>
  </si>
  <si>
    <t>24.2858-2024 ЗК НМГ БЕР</t>
  </si>
  <si>
    <t>2024-№3090 (ЗК) Поставка медицинских изделий: Электрод игольчатый системы чрескожного мониторинга уровня глюкозы в интерстициальной жидкости</t>
  </si>
  <si>
    <t>24.2857-2024 ЗК НМГ БЕР</t>
  </si>
  <si>
    <t>2024-№3084 (ЗК) Поставка медицинских изделий: Электрод игольчатый системы чрескожного мониторинга уровня глюкозы в интерстициальной жидкости</t>
  </si>
  <si>
    <t>'2450100888024000732'</t>
  </si>
  <si>
    <t>'0343200025924000789'</t>
  </si>
  <si>
    <t>166-ЭА</t>
  </si>
  <si>
    <t>Поставка ИМН ( приемник (сканер) системы чрескожного мониторинга уровня глюкозы в интерстициальной жидкости)</t>
  </si>
  <si>
    <t>'2450100888024000727'</t>
  </si>
  <si>
    <t>'0343200025924000790'</t>
  </si>
  <si>
    <t>Протокол подведения итогов определения поставщика (подрядчика, исполнителя) № ИЭА1 от 04.12.2024;0343200025924000790</t>
  </si>
  <si>
    <t>165-ЭА</t>
  </si>
  <si>
    <t>Поставка ИМН (электрод игольчатый системы чрескожного мониторинга уровня глюкозы в интерстициальной жидкости)</t>
  </si>
  <si>
    <t>'2212801542024000150'</t>
  </si>
  <si>
    <t>'0815500000524012809'</t>
  </si>
  <si>
    <t>10-16/197</t>
  </si>
  <si>
    <t>Электрод игольчатый системы чрескожного мониторинга уровня глюкозы в интерстициальной жидкости 1.1.</t>
  </si>
  <si>
    <t>'2575306130824000309'</t>
  </si>
  <si>
    <t>'0154200002424000139'</t>
  </si>
  <si>
    <t>Протокол подведения итогов определения поставщика (подрядчика, исполнителя) № ИЗК1 от 11.12.2024 00:00:00</t>
  </si>
  <si>
    <t>1/к-НМГб24</t>
  </si>
  <si>
    <t>Закупка медицинских изделий с целью реализации мероприятий по обеспечению нуждающихся беременных женщин системами непрерывного мониторинга глюкозы в рамках федерального проекта "Борьба с сахарным диабетом" в 2024 году. Медицинские изделия</t>
  </si>
  <si>
    <t>'2010502343924000314'</t>
  </si>
  <si>
    <t>'0176200000624000016'</t>
  </si>
  <si>
    <t>0176200000624000016/либра-дети</t>
  </si>
  <si>
    <t>'2010502343924000315'</t>
  </si>
  <si>
    <t>'0176200000624000015'</t>
  </si>
  <si>
    <t>0176200000624000015/либра-дети</t>
  </si>
  <si>
    <t>'2027415782124001823'</t>
  </si>
  <si>
    <t>'0801500001124002232'</t>
  </si>
  <si>
    <t>Электрод игольчатый системы чрескожного мониторинга уровня глюкозы в интерстициальной жидкости (обеспечение беременных женщин)</t>
  </si>
  <si>
    <t>Электрод игольчатый системы чрескожного мониторинга уровня глюкозы в интерстициальной жидкости. Система мониторинга глюкозы Flash FreeStyle Libre 2</t>
  </si>
  <si>
    <t>ОБЩЕСТВО С ОГРАНИЧЕННОЙ ОТВЕТСТВЕННОСТЬЮ "ЗДРАВСЕРВИС"</t>
  </si>
  <si>
    <t>'2280112372024000712'</t>
  </si>
  <si>
    <t>МИНИСТЕРСТВО ЗДРАВООХРАНЕНИЯ АМУРСКОЙ ОБЛАСТИ</t>
  </si>
  <si>
    <t>Амурская область</t>
  </si>
  <si>
    <t>'0123200000324002290'</t>
  </si>
  <si>
    <t>Поставка медицинских изделий в рамках мероприятий по обеспечению беременных женщин с сахарным диабетом 1 типа системами непрерывного мониторинга глюкозы в рамках федерального проекта "Борьба с сахарным диабетом"</t>
  </si>
  <si>
    <t>'2631819736724004408'</t>
  </si>
  <si>
    <t>'0142200001324028447'</t>
  </si>
  <si>
    <t>2501/24/СД 2-4</t>
  </si>
  <si>
    <t>ОБЩЕСТВО С ОГРАНИЧЕННОЙ ОТВЕТСТВЕННОСТЬЮ "ВИТАСПЕКТР"</t>
  </si>
  <si>
    <t>'2450102509924000606'</t>
  </si>
  <si>
    <t>'0343200010724000595'</t>
  </si>
  <si>
    <t>563-к/24</t>
  </si>
  <si>
    <t>'2540215512324002406'</t>
  </si>
  <si>
    <t>'0351200003324002873'</t>
  </si>
  <si>
    <t>24.2873-2024 ЗК НМГ БЕР</t>
  </si>
  <si>
    <t>2024-№3095 (ЗК) Поставка медицинских изделий: Электрод игольчатый системы чрескожного мониторинга уровня глюкозы в интерстициальной жидкости</t>
  </si>
  <si>
    <t>'2222100785824000420'</t>
  </si>
  <si>
    <t>'0817200000324006894'</t>
  </si>
  <si>
    <t>24.2872-2024 ЗК НМГ: 4-17</t>
  </si>
  <si>
    <t>2024-№3068 (ЗК) Поставка медицинских изделий: Электрод игольчатый системы чрескожного мониторинга уровня глюкозы в интерстициальной жидкости</t>
  </si>
  <si>
    <t>24.2871-2024 ЗК НМГ: 4-17</t>
  </si>
  <si>
    <t>2024-№3063 (ЗК) Поставка медицинских изделий: Электрод игольчатый системы чрескожного мониторинга уровня глюкозы в интерстициальной жидкости</t>
  </si>
  <si>
    <t>24.2870-2024 ЗК НМГ БЕР</t>
  </si>
  <si>
    <t>2024-№3092 (ЗК) Поставка медицинских изделий: Электрод игольчатый системы чрескожного мониторинга уровня глюкозы в интерстициальной жидкости</t>
  </si>
  <si>
    <t>24.2869-2024 ЗК НМГ БЕР</t>
  </si>
  <si>
    <t>2024-№3080 (ЗК) Поставка медицинских изделий: Электрод игольчатый системы чрескожного мониторинга уровня глюкозы в интерстициальной жидкости</t>
  </si>
  <si>
    <t>24.2868-2024 ЗК НМГ БЕР</t>
  </si>
  <si>
    <t>2024-№3081 (ЗК) Поставка медицинских изделий: Электрод игольчатый системы чрескожного мониторинга уровня глюкозы в интерстициальной жидкости</t>
  </si>
  <si>
    <t>24.2867-2024 ЗК НМГ БЕР</t>
  </si>
  <si>
    <t>2024-№3082 (ЗК) Поставка медицинских изделий: Электрод игольчатый системы чрескожного мониторинга уровня глюкозы в интерстициальной жидкости</t>
  </si>
  <si>
    <t>24.2866-2024 ЗК НМГ БЕР</t>
  </si>
  <si>
    <t>2024-№3078 (ЗК) Поставка медицинских изделий: Электрод игольчатый системы чрескожного мониторинга уровня глюкозы в интерстициальной жидкости</t>
  </si>
  <si>
    <t>24.2865-2024 ЗК НМГ БЕР</t>
  </si>
  <si>
    <t>2024-№3076 (ЗК) Поставка медицинских изделий: Электрод игольчатый системы чрескожного мониторинга уровня глюкозы в интерстициальной жидкости</t>
  </si>
  <si>
    <t>24.2864-2024 ЗК НМГ БЕР</t>
  </si>
  <si>
    <t>2024-№3093 (ЗК) Поставка медицинских изделий: Электрод игольчатый системы чрескожного мониторинга уровня глюкозы в интерстициальной жидкости</t>
  </si>
  <si>
    <t>24.2863-2024 ЗК НМГ БЕР</t>
  </si>
  <si>
    <t>2024-№3079 (ЗК) Поставка медицинских изделий: Электрод игольчатый системы чрескожного мониторинга уровня глюкозы в интерстициальной жидкости</t>
  </si>
  <si>
    <t>24.2856-2024 ЗК НМГ БЕР</t>
  </si>
  <si>
    <t>2024-№3085 (ЗК) Поставка медицинских изделий: Электрод игольчатый системы чрескожного мониторинга уровня глюкозы в интерстициальной жидкости</t>
  </si>
  <si>
    <t>24.2855-2024 ЗК НМГ: 4-17</t>
  </si>
  <si>
    <t>2024-№3070 (ЗК) Поставка медицинских изделий: Электрод игольчатый системы чрескожного мониторинга уровня глюкозы в интерстициальной жидкости</t>
  </si>
  <si>
    <t>24.2854-2024 ЗК НМГ: 4-17</t>
  </si>
  <si>
    <t>2024-№3069 (ЗК) Поставка медицинских изделий: Электрод игольчатый системы чрескожного мониторинга уровня глюкозы в интерстициальной жидкости</t>
  </si>
  <si>
    <t>24.2853-2024 ЗК НМГ БЕР</t>
  </si>
  <si>
    <t>2024-№3088 (ЗК) Поставка медицинских изделий: Электрод игольчатый системы чрескожного мониторинга уровня глюкозы в интерстициальной жидкости</t>
  </si>
  <si>
    <t>24.2849-2024 ЗК НМГ: 4-17</t>
  </si>
  <si>
    <t>2024-№3071 (ЗК) Поставка медицинских изделий: Электрод игольчатый системы чрескожного мониторинга уровня глюкозы в интерстициальной жидкости</t>
  </si>
  <si>
    <t>'2540215512324002394'</t>
  </si>
  <si>
    <t>'0351200003324002848'</t>
  </si>
  <si>
    <t>24.2848-2024 ЗК НМГ: 4-17</t>
  </si>
  <si>
    <t>2024-№3072 (ЗК) Поставка медицинских изделий: Электрод игольчатый системы чрескожного мониторинга уровня глюкозы в интерстициальной жидкости</t>
  </si>
  <si>
    <t>'2720300024924001683'</t>
  </si>
  <si>
    <t>'0167200003424010277'</t>
  </si>
  <si>
    <t>2060РМ/24</t>
  </si>
  <si>
    <t>Поставка медицинских изделий: электрод игольчатый системы чрескожного мониторинга уровня глюкозы в интерстициальной жидкости</t>
  </si>
  <si>
    <t>'2450102465924000411'</t>
  </si>
  <si>
    <t>'0843500000224007537'</t>
  </si>
  <si>
    <t>Протокол подведения итогов определения поставщика (подрядчика, исполнителя) № ИЗК1 от 12.12.2024</t>
  </si>
  <si>
    <t>Поставка медицинских изделий (комплект изделий чрескожного мониторинга уровня глюкозы в интерстициальной жидкости, электрохимический метод)</t>
  </si>
  <si>
    <t>'2580301568424000223'</t>
  </si>
  <si>
    <t>ГОСУДАРСТВЕННОЕ БЮДЖЕТНОЕ УЧРЕЖДЕНИЕ ЗДРАВООХРАНЕНИЯ "КУЗНЕЦКАЯ ДЕТСКАЯ ЦЕНТРАЛЬНАЯ РАЙОННАЯ БОЛЬНИЦА"</t>
  </si>
  <si>
    <t>'0355300066024000002'</t>
  </si>
  <si>
    <t>'2502406865624004134'</t>
  </si>
  <si>
    <t>'0348200081024005407'</t>
  </si>
  <si>
    <t>Поставка датчиков системы чрескожного мониторинга уровня глюкозы  (М252421, М252422, М252423)</t>
  </si>
  <si>
    <t>'2920402328124000887'</t>
  </si>
  <si>
    <t>'0174500001124006524'</t>
  </si>
  <si>
    <t>Протокол подведения итогов определения поставщика (подрядчика, исполнителя) № ИЗК1 от 12.12.2024 00:00:00</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</si>
  <si>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нуждающихсябеременных женщин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t>
  </si>
  <si>
    <t>'2372901059524000533'</t>
  </si>
  <si>
    <t>'0133200003124000196'</t>
  </si>
  <si>
    <t>Поставка комплекта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</si>
  <si>
    <t>'2280112372024000713'</t>
  </si>
  <si>
    <t>'0123200000324002298'</t>
  </si>
  <si>
    <t>Поставка медицинских изделий в рамках мероприятий по обеспечению детей с сахарным диабетом 1 типа в возрасте от 4 до 17 лет системами непрерывного мониторинга глюкозы в рамках федерального проекта "Борьба с сахарным диабетом"</t>
  </si>
  <si>
    <t>2450102509924000608'</t>
  </si>
  <si>
    <t>'0343200010724000615'</t>
  </si>
  <si>
    <t>"569-к/24"</t>
  </si>
  <si>
    <t>'2550501364224000111'</t>
  </si>
  <si>
    <t>БЮДЖЕТНОЕ УЧРЕЖДЕНИЕ ЗДРАВООХРАНЕНИЯ ОМСКОЙ ОБЛАСТИ "ГОРОДСКАЯ ПОЛИКЛИНИКА № 10"</t>
  </si>
  <si>
    <t>'0352300018324000074'</t>
  </si>
  <si>
    <t>ЭЗТ.2024.74</t>
  </si>
  <si>
    <t>АКЦИОНЕРНОЕ ОБЩЕСТВО "АПТЕЧНАЯ СЕТЬ "ОМСКОЕ ЛЕКАРСТВО"</t>
  </si>
  <si>
    <t>'2550501364224000110'</t>
  </si>
  <si>
    <t>'0352300018324000073'</t>
  </si>
  <si>
    <t>ЭЗТ.2024.73</t>
  </si>
  <si>
    <t>'2753612058124000392'</t>
  </si>
  <si>
    <t>ГОСУДАРСТВЕННОЕ БЮДЖЕТНОЕ УЧРЕЖДЕНИЕ ЗДРАВООХРАНЕНИЯ "ЗАБАЙКАЛЬСКИЙ КРАЕВОЙ ПЕРИНАТАЛЬНЫЙ ЦЕНТР"</t>
  </si>
  <si>
    <t>'0891200000624011930'</t>
  </si>
  <si>
    <t>Протокол подведения итогов определения поставщика (подрядчика, исполнителя) № ИЗК1 от 13.12.2024 00:00:00</t>
  </si>
  <si>
    <t>Ф.2025.771930</t>
  </si>
  <si>
    <t>Приобретение расходных медицинских материалов (датчиков системы чрескожного мониторинга уровня глюкозы) (00012809-ЗКвЭФ)</t>
  </si>
  <si>
    <t>'2550303130024000261'</t>
  </si>
  <si>
    <t>БЮДЖЕТНОЕ УЧРЕЖДЕНИЕ ЗДРАВООХРАНЕНИЯ ОМСКОЙ ОБЛАСТИ "ГОРОДСКОЙ КЛИНИЧЕСКИЙ ПЕРИНАТАЛЬНЫЙ ЦЕНТР"</t>
  </si>
  <si>
    <t>'0352300034324000164'</t>
  </si>
  <si>
    <t>Протокол подведения итогов определения поставщика № ИЗТ1 от 13.12.2024;Протокол подведения итогов определения поставщика № 0352300034324000164-0 от 13.12.2024</t>
  </si>
  <si>
    <t>с.2024.961</t>
  </si>
  <si>
    <t>Поставка медицинских изделий по обеспечению беременных женщин с сахарным диабетом системами непрерывного мониторинга глюкозы (электродов игольчатых системы чрескожного мониторинга уровня глюкозы в интерстициальной жидкости)</t>
  </si>
  <si>
    <t>Протокол подведения итогов определения поставщика № ИЗТ1 от 13.12.2024;Протокол подведения итогов определения поставщика (подрядчика, исполнителя) № 0352300034324000165-0 от 13.12.2024</t>
  </si>
  <si>
    <t>с. 2024.980</t>
  </si>
  <si>
    <t>Поставка медицинских изделий по обеспечению беременных женщин с сахарным диабетом системами непрерывного мониторинга глюкозы (электродов игольчатых системы чрескожного мониторинга уровня глюкозы в интерстициальной жидкости)</t>
  </si>
  <si>
    <t>565-к/24</t>
  </si>
  <si>
    <t>'2540215512325000959'</t>
  </si>
  <si>
    <t>'0851200000625002371'</t>
  </si>
  <si>
    <t>436/223</t>
  </si>
  <si>
    <t>Комплект изделий чрескожного мониторинга уровня глюкозы в интерстициальной жидкости, электрохимический метод. "Чанша Сайнокэ Инк."</t>
  </si>
  <si>
    <t>ОБЩЕСТВО С ОГРАНИЧЕННОЙ ОТВЕТСТВЕННОСТЬЮ "ТОРГОВЫЙ ДОМ БФ"</t>
  </si>
  <si>
    <t>ТД БФ</t>
  </si>
  <si>
    <t>'2246621260724001355'</t>
  </si>
  <si>
    <t>'0119200000124022322'</t>
  </si>
  <si>
    <t>2024/28/7</t>
  </si>
  <si>
    <t>ЗК-№-24004/24 «комплект изделий чрескожного мониторинга уровня глюкозы в интерстициальной жидкости, электрохимический метод»</t>
  </si>
  <si>
    <t>АКЦИОНЕРНОЕ ОБЩЕСТВО "ГУБЕРНСКИЕ АПТЕКИ"</t>
  </si>
  <si>
    <t>'2352501051924000501'</t>
  </si>
  <si>
    <t>МИНИСТЕРСТВО ЗДРАВООХРАНЕНИЯ ВОЛОГОДСКОЙ ОБЛАСТИ</t>
  </si>
  <si>
    <t>'0130200000324000419'</t>
  </si>
  <si>
    <t>2024.0130200000324000419/зк</t>
  </si>
  <si>
    <t>Поставка датчиков системы чрескожного мониторинга уровня глюкозы для беременных женщин (2)</t>
  </si>
  <si>
    <t>'2352501051924000500'</t>
  </si>
  <si>
    <t>'0130200000324000418'</t>
  </si>
  <si>
    <t>2024.0130200000324000418/зк</t>
  </si>
  <si>
    <t>Поставка датчиков системы чрескожного мониторинга уровня глюкозы для беременных женщин (1)</t>
  </si>
  <si>
    <t>'2081602584224000087'</t>
  </si>
  <si>
    <t>'0105500000224001783'</t>
  </si>
  <si>
    <t>181/24</t>
  </si>
  <si>
    <t>Поставка систем непрерывного мониторинга глюкозы для беременных женщин за счет средств 2024 года</t>
  </si>
  <si>
    <t>Электрод игольчатый системы чрескожного мониторинга уровня глюкозы в интерстициальной жидкости. Free Style Libre 2</t>
  </si>
  <si>
    <t>'2081602584224000088'</t>
  </si>
  <si>
    <t>'0105500000224001782'</t>
  </si>
  <si>
    <t>180/24</t>
  </si>
  <si>
    <t>Поставка систем непрерывного мониторинга глюкозы для детей с сахарным диабетом 1 типа в возрасте от 4-х до 17-ти лет за счет средств 2024 года</t>
  </si>
  <si>
    <t>'2420534966424002218'</t>
  </si>
  <si>
    <t>'0839500000224000249'</t>
  </si>
  <si>
    <t>174-ЗК/24</t>
  </si>
  <si>
    <t>'2420534966424002217'</t>
  </si>
  <si>
    <t>'0839500000224000250'</t>
  </si>
  <si>
    <t>173-ЗК/24</t>
  </si>
  <si>
    <t>'2380817232724000867'</t>
  </si>
  <si>
    <t>'0134200000124007406'</t>
  </si>
  <si>
    <t>1634/СахДиаб/7406-ЗКЭФ/24</t>
  </si>
  <si>
    <t>Поставка медицинского изделия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</si>
  <si>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t>
  </si>
  <si>
    <t>'2380817232724000866'</t>
  </si>
  <si>
    <t>'0134200000124007405'</t>
  </si>
  <si>
    <t>1633/СахДиаб/7405-ЗКЭФ/24</t>
  </si>
  <si>
    <t>'2380817232724000868'</t>
  </si>
  <si>
    <t>'0134200000124007404'</t>
  </si>
  <si>
    <t xml:space="preserve">1632/СахДиаб/7404-ЗКЭФ/24 </t>
  </si>
  <si>
    <t>Комплект изделий чрескожного мониторинга уровня глюкозы в интерстициальной жидкости, электрохимический метод. SINOCARE</t>
  </si>
  <si>
    <t>ВАЛУЕВ АНДРЕЕВИЧ БОГДАН</t>
  </si>
  <si>
    <t>Сайнокэ трэйд</t>
  </si>
  <si>
    <t>'2470000118024000490'</t>
  </si>
  <si>
    <t>'0145200000424002106'</t>
  </si>
  <si>
    <t>'01452000004240021060001'</t>
  </si>
  <si>
    <t>Поставка в 2024 году электрода игольчатого системы мониторинга уровня глюкозы (Часть 3)</t>
  </si>
  <si>
    <t>'2470000118024000491'</t>
  </si>
  <si>
    <t>'0145200000424002107'</t>
  </si>
  <si>
    <t>Протокол подведения итогов определения поставщика (подрядчика, исполнителя) № ИЗК1 от 11.12.2024;Статья 93, ч.1, п.25, Федерального закона №44-ФЗ от 05.04.2013. Протокол подведения итогов № 0145200000424002107-1 от 11.12.2024</t>
  </si>
  <si>
    <t>'01452000004240021070001'</t>
  </si>
  <si>
    <t>Поставка в 2024 году электрода игольчатого системы мониторинга уровня глюкозы (Часть 4)</t>
  </si>
  <si>
    <t>'2502406865624004177'</t>
  </si>
  <si>
    <t>'0348200081024005539'</t>
  </si>
  <si>
    <t>Поставка электрода игольчатого системы чрескожного мониторинга уровня глюкозы в интерстициальной жидкости (Р-2, лот 1.12)</t>
  </si>
  <si>
    <t>'2502406865624004179'</t>
  </si>
  <si>
    <t>'0348200081024005542'</t>
  </si>
  <si>
    <t>Поставка электрода игольчатого системы чрескожного мониторинга уровня глюкозы в интерстициальной жидкости (Р-2, лот 1.13)</t>
  </si>
  <si>
    <t>'2502406865624004184'</t>
  </si>
  <si>
    <t>'0348200081024005534'</t>
  </si>
  <si>
    <t>Поставка электрода игольчатого системы чрескожного мониторинга уровня глюкозы в интерстициальной жидкости (Р-2, лот 1.7)</t>
  </si>
  <si>
    <t>Поставка электрода игольчатого системы чрескожного мониторинга уровня глюкозы в интерстициальной жидкости (Р-2, лот 1.6)</t>
  </si>
  <si>
    <t>Поставка электрода игольчатого системы чрескожного мониторинга уровня глюкозы в интерстициальной жидкости (Р-2, лот 1.4)</t>
  </si>
  <si>
    <t>Поставка электрода игольчатого системы чрескожного мониторинга уровня глюкозы в интерстициальной жидкости (Р-2, лот 1.8)</t>
  </si>
  <si>
    <t>Поставка электрода игольчатого системы чрескожного мониторинга уровня глюкозы в интерстициальной жидкости (Р-2, лот 1.9)</t>
  </si>
  <si>
    <t>Поставка электрода игольчатого системы чрескожного мониторинга уровня глюкозы в интерстициальной жидкости (Р-2, лот 1.10)</t>
  </si>
  <si>
    <t>Поставка электрода игольчатого системы чрескожного мониторинга уровня глюкозы в интерстициальной жидкости (Р-2, лот 1.11)</t>
  </si>
  <si>
    <t>'2056204455024000801'</t>
  </si>
  <si>
    <t>'0303200025124000612'</t>
  </si>
  <si>
    <t>Протокол подведения итогов определения поставщика № ИЗТ1 от 14.12.2024 00:00:00; Протокол подведения итогов определения поставщика № ИЗТ1 от 14.12.2024 00:00:00</t>
  </si>
  <si>
    <t>ОБЩЕСТВО С ОГРАНИЧЕННОЙ ОТВЕТСТВЕННОСТЬЮ "ВИС СИСТЕМ"</t>
  </si>
  <si>
    <t>Вис Систем</t>
  </si>
  <si>
    <t>'2090102408524000423'</t>
  </si>
  <si>
    <t>'0179200001724000415'</t>
  </si>
  <si>
    <t>'2650102496624000753'</t>
  </si>
  <si>
    <t>'0161200001724000238'</t>
  </si>
  <si>
    <t>'2616304981424000992'</t>
  </si>
  <si>
    <t>'0158200001324001527'</t>
  </si>
  <si>
    <t>Закупка медицинских изделий для обеспечения беременных женщин с сахарным диабетом системами непрерывного мониторирования глюкозы</t>
  </si>
  <si>
    <t>'2519010997224000709'</t>
  </si>
  <si>
    <t>'0149200002324008255'</t>
  </si>
  <si>
    <t>2024.8255-ЗК</t>
  </si>
  <si>
    <t>Поставка изделия медицинского назначения (система мониторинга уровня глюкозы)</t>
  </si>
  <si>
    <t>НЕПУБЛИЧНОЕ АКЦИОНЕРНОЕ ОБЩЕСТВО "МЕДИКО-ФАРМАЦЕВТИЧЕСКАЯ КОМПАНИЯ СЕВЕРО-ЗАПАД"</t>
  </si>
  <si>
    <t>Северо - Запад</t>
  </si>
  <si>
    <t>'2440100451424000077'</t>
  </si>
  <si>
    <t>ДЕПАРТАМЕНТ ЗДРАВООХРАНЕНИЯ КОСТРОМСКОЙ ОБЛАСТИ</t>
  </si>
  <si>
    <t>Костромская область</t>
  </si>
  <si>
    <t>'0141200001524000009'</t>
  </si>
  <si>
    <t>Протокол подведения итогов определения поставщика № ИЗТ1 от 16.12.2024 00:00:00</t>
  </si>
  <si>
    <t>Ф24-022-нмгб</t>
  </si>
  <si>
    <t>Поставка медицинских изделий для обеспечения нуждающихся беременных женщин системами непрерывного мониторинга глюкозы</t>
  </si>
  <si>
    <t>Ф24-021-нмгб</t>
  </si>
  <si>
    <t>'2450102509924000608'</t>
  </si>
  <si>
    <t>569-к/24</t>
  </si>
  <si>
    <t>Электрод игольчатый системы чрескожного мониторинга уровня глюкозы в интерстициальной жидкости. отсутствует</t>
  </si>
  <si>
    <t>'2550704526224000138'</t>
  </si>
  <si>
    <t>БЮДЖЕТНОЕ УЧРЕЖДЕНИЕ ЗДРАВООХРАНЕНИЯ ОМСКОЙ ОБЛАСТИ "КЛИНИЧЕСКИЙ РОДИЛЬНЫЙ ДОМ № 6"</t>
  </si>
  <si>
    <t>'0352300037824000070'</t>
  </si>
  <si>
    <t>Протокол подведения итогов определения поставщика № ИЗТ1 от 16.12.2024;Протокол подведения итогов определения поставщика № ИЗТ1 от 16.12.2024</t>
  </si>
  <si>
    <t>2024.089281</t>
  </si>
  <si>
    <t>Поставка изделий медицинского назначения (электрод игольчатый системы чрескожного мониторинга уровня глюкозы в интерстициальной жидкости)</t>
  </si>
  <si>
    <t>2024.088972</t>
  </si>
  <si>
    <t>Поставка изделий медицинского назначения (электродов игольчатых системы чрескожного мониторинга уровня глюкозы в интерстициальной жидкости)</t>
  </si>
  <si>
    <t>'2344419822024001210'</t>
  </si>
  <si>
    <t>'0829200001224000077'</t>
  </si>
  <si>
    <t>1056/24БСД</t>
  </si>
  <si>
    <t>Комплект изделий чрескожного мониторинга уровня глюкозы в интерстициальной жидкости, электрохимический метод. FreeStyle Libre 2</t>
  </si>
  <si>
    <t>'2344419822024001209'</t>
  </si>
  <si>
    <t>'0829200001224000076'</t>
  </si>
  <si>
    <t>1055/24БСД</t>
  </si>
  <si>
    <t>'2344419822024001208'</t>
  </si>
  <si>
    <t>'0829200001224000075'</t>
  </si>
  <si>
    <t>1054/24БСД</t>
  </si>
  <si>
    <t>1053/24БСД</t>
  </si>
  <si>
    <t>1052/24БСД</t>
  </si>
  <si>
    <t>1051/24БСД</t>
  </si>
  <si>
    <t>1050/24БСД</t>
  </si>
  <si>
    <t>1049/24БСД</t>
  </si>
  <si>
    <t>1048/24БСД</t>
  </si>
  <si>
    <t>'2623102512324001094'</t>
  </si>
  <si>
    <t>'0859200001124016243'</t>
  </si>
  <si>
    <t>'08592000011240162430001'</t>
  </si>
  <si>
    <t>Поставка систем непрерывного мониторинга глюкозы для обеспечения детей с сахарным диабетом 1 типа в возрасте от 4 до 17 лет</t>
  </si>
  <si>
    <t>'2623102512324001095'</t>
  </si>
  <si>
    <t>'0859200001124016244'</t>
  </si>
  <si>
    <t>'08592000011240162440001'</t>
  </si>
  <si>
    <t>Поставка систем непрерывного мониторинга глюкозы для обеспечения беременных женщин с сахарным диабетом</t>
  </si>
  <si>
    <t>Поставка электрода игольчатого системы чрескожного мониторинга уровня глюкозы в интерстициальной жидкости (Р-2, лот 1.5)</t>
  </si>
  <si>
    <t>'2830001052624000558'</t>
  </si>
  <si>
    <t>'0384200001824000043'</t>
  </si>
  <si>
    <t>570-к/24</t>
  </si>
  <si>
    <t>'2702102165324000631'</t>
  </si>
  <si>
    <t>'0165100007924000876'</t>
  </si>
  <si>
    <t>НМГ.876</t>
  </si>
  <si>
    <t>Поставка комплект изделий чрескожного мониторинга уровня глюкозы в интерстициальной жидкости, электрохимический метод</t>
  </si>
  <si>
    <t>'2710700631124000899'</t>
  </si>
  <si>
    <t>'0366200035624009060'</t>
  </si>
  <si>
    <t>2024.00851</t>
  </si>
  <si>
    <t>'2730001673424000045'</t>
  </si>
  <si>
    <t>'0868500001124000005'</t>
  </si>
  <si>
    <t>Протокол подведения итогов определения поставщика № ИЗТ1 от 17.12.2024;Протокол подведения итогов определения поставщика</t>
  </si>
  <si>
    <t>Электрод игольчатый системы чрескожного мониторинга уровня глюкозы в интерстициальной жидкости.FreeStyle Libre</t>
  </si>
  <si>
    <t>Поставка электрода игольчатого системы чрескожного мониторинга уровня глюкозы в интерстициальной жидкости (Р-2, лот 1.3)</t>
  </si>
  <si>
    <t>Поставка электрода игольчатого системы чрескожного мониторинга уровня глюкозы в интерстициальной жидкости (Р-2, лот 1.1)</t>
  </si>
  <si>
    <t>Поставка электрода игольчатого системы чрескожного мониторинга уровня глюкозы в интерстициальной жидкости (Р-2, лот 1.2)</t>
  </si>
  <si>
    <t>'2100104678624000693'</t>
  </si>
  <si>
    <t>'0306200010224000889'</t>
  </si>
  <si>
    <t>Протокол подведения итогов определения поставщика № ИЗТ1 от 17.12.2024 00:00:00</t>
  </si>
  <si>
    <t>'2263300425324000128'</t>
  </si>
  <si>
    <t>'0121200004724001797'</t>
  </si>
  <si>
    <t>на поставку электрода игольчатого системы чрескожного мониторинга уровня глюкозы в интерстициальной жидкости</t>
  </si>
  <si>
    <t>'2860103583824001793'</t>
  </si>
  <si>
    <t>'0387200009124007655'</t>
  </si>
  <si>
    <t>Протокол подведения итогов определения поставщика (подрядчика, исполнителя) № ИЭА1 от 09.12.2024;Протокол подведения итогов определения поставщика (подрядчика, исполнителя) № 0387200009124007655-3 от 09.12.2024</t>
  </si>
  <si>
    <t>Поставка в 2025 году систем непрерывного мониторинга глюкозы для обеспечения беременных женщин с сахарным диабетом в рамках реализации федерального проекта «Борьба с сахарным диабетом».</t>
  </si>
  <si>
    <t>'2710700631124000898'</t>
  </si>
  <si>
    <t>'0366200035624009061'</t>
  </si>
  <si>
    <t>2024.00850</t>
  </si>
  <si>
    <t>2910201286924000943'</t>
  </si>
  <si>
    <t>'0175200005224000790'</t>
  </si>
  <si>
    <t>"0175200005224000790"</t>
  </si>
  <si>
    <t>ОБЩЕСТВО С ОГРАНИЧЕННОЙ ОТВЕТСТВЕННОСТЬЮ "КОМПАНИЯ ЭРБИСИ"</t>
  </si>
  <si>
    <t>'2100104678624000696'</t>
  </si>
  <si>
    <t>'0306200010224000892'</t>
  </si>
  <si>
    <t>' 0306200010224000892'</t>
  </si>
  <si>
    <t>'2100104678624000697'</t>
  </si>
  <si>
    <t>'0306200010224000893'</t>
  </si>
  <si>
    <t>Протокол подведения итогов определения поставщика № ИЗТ1 от 18.12.2024 00:00:00</t>
  </si>
  <si>
    <t>'2165401717024000968'</t>
  </si>
  <si>
    <t>'0111200002424001298'</t>
  </si>
  <si>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0111200002424001298</t>
  </si>
  <si>
    <t>"0111200002424001298"</t>
  </si>
  <si>
    <t>поставка изделий медицинского назначения (системы непрерывного мониторинга глюкозы) для обеспечения нуждающихся беременных женщин</t>
  </si>
  <si>
    <t>'2631819736724004516'</t>
  </si>
  <si>
    <t>'0142200001324029699'</t>
  </si>
  <si>
    <t>Протокол подведения итогов определения поставщика (подрядчика, исполнителя) № ИЭА1 от 11.12.2024; Протокол подведения итогов определения поставщика (подрядчика, исполнителя) № ИЭА1 от 11.12.2024 00:00:00</t>
  </si>
  <si>
    <t>2528/24/СНМГ-Б</t>
  </si>
  <si>
    <t>Поставка изделий медицинского назначения для нуждающихся беременных женщин (СНМГ).</t>
  </si>
  <si>
    <t>'2631819736724004515'</t>
  </si>
  <si>
    <t>'0142200001324029698'</t>
  </si>
  <si>
    <t>2527/24/СНМГ-Б</t>
  </si>
  <si>
    <t>ОБЩЕСТВО С ОГРАНИЧЕННОЙ ОТВЕТСТВЕННОСТЬЮ "АДЕЛИ-ФАРМ"</t>
  </si>
  <si>
    <t>'2911008712024000663'</t>
  </si>
  <si>
    <t>ГОСУДАРСТВЕННОЕ БЮДЖЕТНОЕ УЧРЕЖДЕНИЕ ЗДРАВООХРАНЕНИЯ РЕСПУБЛИКИ КРЫМ "ЕВПАТОРИЙСКАЯ ГОРОДСКАЯ БОЛЬНИЦА"</t>
  </si>
  <si>
    <t>'0175200000424001325'</t>
  </si>
  <si>
    <t>Протокол подведения итогов определения поставщика (подрядчика, исполнителя) № ИЗК1 от 18.12.2024 00:00:00</t>
  </si>
  <si>
    <t>2024.1325ККП</t>
  </si>
  <si>
    <t>'2380817232724000883'</t>
  </si>
  <si>
    <t>'0134200000124007181'</t>
  </si>
  <si>
    <t>Протокол подведения итогов определения поставщика (подрядчика, исполнителя) № ИЭА1 от 10.12.2024 00:00:00</t>
  </si>
  <si>
    <t xml:space="preserve">1616/СахДиаб/7181-ЭА/24 </t>
  </si>
  <si>
    <t>Поставка медицинского изделия Электрод игольчатый системы чрезкожного мониторинга уровня глюкозы в интерстициальной жидкости</t>
  </si>
  <si>
    <t>'2110148756924000124'</t>
  </si>
  <si>
    <t>ГОСУДАРСТВЕННОЕ УНИТАРНОЕ ПРЕДПРИЯТИЕ РЕСПУБЛИКИ КОМИ "ГОСУДАРСТВЕННЫЕ АПТЕКИ РЕСПУБЛИКИ КОМИ"</t>
  </si>
  <si>
    <t>'0507500000324000337'</t>
  </si>
  <si>
    <t>Протокол подведения итогов определения поставщика (подрядчика, исполнителя) № ИЭА1 от 12.12.2024 00:00:00</t>
  </si>
  <si>
    <t>Поставка систем Flash мониторинга глюкозы FreeStyleLibre для обеспечения беременных женщин с сахарным диабетом</t>
  </si>
  <si>
    <t>'2391751525324001189'</t>
  </si>
  <si>
    <t>'0335200014924003961'</t>
  </si>
  <si>
    <t>на поставку медицинских изделий (комплект изделий чрескожного мониторинга уровня глюкозы в интерстициальной жидкости, электрохимический метод)</t>
  </si>
  <si>
    <t>'2254001845424000561'</t>
  </si>
  <si>
    <t>'0120200003324000006'</t>
  </si>
  <si>
    <t>Протокол подведения итогов определения поставщика (подрядчика, исполнителя) № ИЗК1 от 18.12.2024;-</t>
  </si>
  <si>
    <t>'0120200003324000008'</t>
  </si>
  <si>
    <t>Электрод игольчатый системы чрескожного мониторинга уровня глюкозы в интерстициальной жидкости реализация мероприятий по обеспечению нуждающихся беременных женщин системами непрерывного мониторинга глюкозы</t>
  </si>
  <si>
    <t>Электрод игольчатый системы чрескожного мониторинга уровня глюкозы в интерстициальной жидкости. На основании части 1 статьи 33 Федерального закона № 44-ФЗ, дополнительное требование установлено для обеспечения  и использования поставляемого товара с имеющимися у пациентов Сканер системы Flash мониторинга глюкозы FreeStyleLibre 2Датчик FreeStyle Libre2 и сканер FreeStyle Libre2 являются взаимосвязанными компонентами системы Flash мониторинга глюкозы FreeStyle Libre 2</t>
  </si>
  <si>
    <t>'2254001845424000563'</t>
  </si>
  <si>
    <t>'0120200003324000005'</t>
  </si>
  <si>
    <t xml:space="preserve">Электрод игольчатый системы чрескожного мониторинга уровня глюкозы в интерстициальной жидкости реализация мероприятий по обеспечению детей с сахарным диабетом I типа в возрасте от 4-х до 17- ти лет системами непрерывного мониторинга глюкозы </t>
  </si>
  <si>
    <t>'2254001845424000564'</t>
  </si>
  <si>
    <t>'0120200003324000007'</t>
  </si>
  <si>
    <t>'2027415782124001920'</t>
  </si>
  <si>
    <t>'0101500000324000722'</t>
  </si>
  <si>
    <t>Протокол подведения итогов определения поставщика (подрядчика, исполнителя) № ИЭА1 от 10.12.2024;Протокол подведения итогов определения поставщика (подрядчика, исполнителя) № ИЭА1 от 10.12.2024</t>
  </si>
  <si>
    <t>'2120000088124000352'</t>
  </si>
  <si>
    <t>'0108500000424005725'</t>
  </si>
  <si>
    <t>Протокол подведения итогов определения поставщика (подрядчика, исполнителя) № ИЗК1 от 18.12.2024 00:00:00; протокола подведения итогов определения поставщика (подрядчика, исполнителя) от 18 декабря 2024 г. № 0108500000424005725-1-1</t>
  </si>
  <si>
    <t>0108500000424005725/ЗК</t>
  </si>
  <si>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</si>
  <si>
    <t>'2120000088124000349'</t>
  </si>
  <si>
    <t>'0108500000424005723'</t>
  </si>
  <si>
    <t>Протокол подведения итогов определения поставщика (подрядчика, исполнителя) № ИЗК1 от 18.12.2024 00:00:00; протокол подведения итогов определения поставщика (подрядчика, исполнителя) от 18 декабря 2024 г. № 0108500000424005723-1-1</t>
  </si>
  <si>
    <t>0108500000424005723/ЗК</t>
  </si>
  <si>
    <t>'2120000088124000351'</t>
  </si>
  <si>
    <t>'0108500000424005726'</t>
  </si>
  <si>
    <t>Протокол подведения итогов определения поставщика (подрядчика, исполнителя) № ИЗК1 от 18.12.2024 00:00:00; протокола подведения итогов определения поставщика (подрядчика, исполнителя) от 18 декабря 2024 г. № 0108500000424005726-1-1</t>
  </si>
  <si>
    <t>0108500000424005726/ЗК</t>
  </si>
  <si>
    <t>'2165401717024000980'</t>
  </si>
  <si>
    <t>'0111200002424001299'</t>
  </si>
  <si>
    <t>Протокол подведения итогов определения поставщика (подрядчика, исполнителя) № ИЗК1 от 18.12.2024 00:00:00; Протокол подведения итогов электронного запроса котировок от 18.12.2024г. N 0111200002424001299</t>
  </si>
  <si>
    <t>"0111200002424001299"</t>
  </si>
  <si>
    <t>"86623097055240005600005"</t>
  </si>
  <si>
    <t>ГОСУДАРСТВЕННОЕ АВТОНОМНОЕ УЧРЕЖДЕНИЕ ЗДРАВООХРАНЕНИЯ СВЕРДЛОВСКОЙ ОБЛАСТИ "ДЕМИДОВСКАЯ ГОРОДСКАЯ БОЛЬНИЦА"</t>
  </si>
  <si>
    <t>"32414246599"</t>
  </si>
  <si>
    <t>602ат24</t>
  </si>
  <si>
    <t>Комплект изделий чрескожного мониторинга уровня глюкозы в интерстициальной жидкости (система непрерывного мониторинга глюкозы)</t>
  </si>
  <si>
    <t>Лот №1 Комплект изделий чрескожного мониторинга уровня глюкозы в интерстициальной жидкости (система непрерывного мониторинга глюкозы)</t>
  </si>
  <si>
    <t>ОБЩЕСТВО С ОГРАНИЧЕННОЙ ОТВЕТСТВЕННОСТЬЮ "ОЛИМПИЯ ФАРМ"</t>
  </si>
  <si>
    <t>'2720207019424000734'</t>
  </si>
  <si>
    <t>'0167200003424010179'</t>
  </si>
  <si>
    <t>Протокол подведения итогов определения поставщика (подрядчика, исполнителя) № ИЭА1 от 13.12.2024;Статья 93, ч.1, п.25, Федерального закона №44-ФЗ от 05.04.2013. Итоговый протокол № 0167200003424010179-1 от 13.12.2024</t>
  </si>
  <si>
    <t>697К/24</t>
  </si>
  <si>
    <t>'2320100491724000656'</t>
  </si>
  <si>
    <t>354-ЕП</t>
  </si>
  <si>
    <t>на поставку изделий медицинского назначения (Электрод игольчатый системы чрескожного мониторинга уровня глюкозы в интерстициальной жидкости).</t>
  </si>
  <si>
    <t>ГОСУДАРСТВЕННОЕ БЮДЖЕТНОЕ УЧРЕЖДЕНИЕ РОСТОВСКОЙ ОБЛАСТИ "ГОРОДСКАЯ КЛИНИЧЕСКАЯ БОЛЬНИЦА № 20" В Г. РОСТОВЕ-НА-ДОНУ</t>
  </si>
  <si>
    <t>251-25-631-12</t>
  </si>
  <si>
    <t>Электрод игольчатый системы чрескожного мониторинга уровня глюкозы в интерстициальной жидкости. ABBOTT</t>
  </si>
  <si>
    <t>КРАТ АНАТОЛЬЕВИЧ СТАНИСЛАВ</t>
  </si>
  <si>
    <t>"50323111068240004810001"</t>
  </si>
  <si>
    <t>Иной способ закупки, предусмотренный правовым актом заказчика, указанным в части 1 статьи 2 Федерального закона</t>
  </si>
  <si>
    <t>"32414286716"</t>
  </si>
  <si>
    <t>2024.288890</t>
  </si>
  <si>
    <t>'2352501051924000512'</t>
  </si>
  <si>
    <t>'0830500000224005424'</t>
  </si>
  <si>
    <t>2024.0830500000224005424/зк</t>
  </si>
  <si>
    <t>Поставка комплекта изделий чрескожного мониторинга уровня глюкозы в интерстициальной жидкости, электрохимический метод для детей (2)</t>
  </si>
  <si>
    <t>'2056204455025000328'</t>
  </si>
  <si>
    <t>'0303200025125000242'</t>
  </si>
  <si>
    <t>2024.0830500000224005420/зк</t>
  </si>
  <si>
    <t>Поставка комплекта изделий чрескожного мониторинга уровня глюкозы в интерстициальной жидкости, электрохимический метод для детей (1)</t>
  </si>
  <si>
    <t>'2519080011424001223'</t>
  </si>
  <si>
    <t>ГОСУДАРСТВЕННОЕ ОБЛАСТНОЕ БЮДЖЕТНОЕ УЧРЕЖДЕНИЕ ЗДРАВООХРАНЕНИЯ "МУРМАНСКАЯ ОБЛАСТНАЯ КЛИНИЧЕСКАЯ БОЛЬНИЦА ИМЕНИ П.А. БАЯНДИНА"</t>
  </si>
  <si>
    <t>'0349200016124000027'</t>
  </si>
  <si>
    <t>20/12/24-ЭА-14</t>
  </si>
  <si>
    <t>'2745313582724002312'</t>
  </si>
  <si>
    <t>'0869200000224011822'</t>
  </si>
  <si>
    <t>11822-СД/2024</t>
  </si>
  <si>
    <t>на поставку Электродов игольчатых системы чрескожного мониторинга уровня глюкозы в интерстициальной жидкости</t>
  </si>
  <si>
    <t>'2183104497924001171'</t>
  </si>
  <si>
    <t>06/01-05/380-МЗ</t>
  </si>
  <si>
    <t xml:space="preserve">Поставка медицинских изделий - систем непрерывного мониторинга глюкозы для нуждающихся беременных женщин </t>
  </si>
  <si>
    <t>'2183104497924001175'</t>
  </si>
  <si>
    <t>06/01-05/379-МЗ</t>
  </si>
  <si>
    <t xml:space="preserve">Поставка медицинских изделий - систем непрерывного мониторинга глюкозы для детей с сахарным диабетом 1 типа в возрасте от 4-х до 17-ти лет </t>
  </si>
  <si>
    <t>'2143502651024000833'</t>
  </si>
  <si>
    <t>ГОСУДАРСТВЕННОЕ БЮДЖЕТНОЕ УЧРЕЖДЕНИЕ РЕСПУБЛИКИ САХА (ЯКУТИЯ) "ЯКУТСКАЯ РЕСПУБЛИКАНСКАЯ КЛИНИЧЕСКАЯ БОЛЬНИЦА"</t>
  </si>
  <si>
    <t>'0316300090224000010'</t>
  </si>
  <si>
    <t>0316300090224000011-106</t>
  </si>
  <si>
    <t>0316300090224000010-105</t>
  </si>
  <si>
    <t>'2290107030324000053'</t>
  </si>
  <si>
    <t>'0124200000624009038'</t>
  </si>
  <si>
    <t xml:space="preserve">Протокол подведения итогов определения поставщика (подрядчика, исполнителя) № ИЭА1 от 13.12.2024 00:00:00; Протокол подведения итогов определения поставщика (подрядчика, исполнителя) № ИЭА1 от 13.12.2024 </t>
  </si>
  <si>
    <t>02-04-05/162</t>
  </si>
  <si>
    <t>Поставка систем непрерывного мониторинга глюкозы для обеспечения детей с сахарным диабетом 1 типа в возрасте от 4-х до 17-ти лет</t>
  </si>
  <si>
    <t>'2860311280924000489'</t>
  </si>
  <si>
    <t>БЮДЖЕТНОЕ УЧРЕЖДЕНИЕ ХАНТЫ-МАНСИЙСКОГО АВТОНОМНОГО ОКРУГА - ЮГРЫ "НИЖНЕВАРТОВСКАЯ ОКРУЖНАЯ КЛИНИЧЕСКАЯ ДЕТСКАЯ БОЛЬНИЦА"</t>
  </si>
  <si>
    <t>'0387200007024000395'</t>
  </si>
  <si>
    <t>'2263300425324000133'</t>
  </si>
  <si>
    <t>'0321200006224000068'</t>
  </si>
  <si>
    <t>Протокол подведения итогов определения поставщика (подрядчика, исполнителя) № ИЭА1 от 13.12.2024;Протокол подведения итогов определения поставщика (подрядчика, исполнителя) № ИЭА1 от 13.12.2024; Протокол подведения итогов определения поставщика (подрядчика, исполнителя) № 0321200006224000068-2-2-1559172 от 13.12.2024</t>
  </si>
  <si>
    <t>'2532102896024000402'</t>
  </si>
  <si>
    <t>'0150200003924001250'</t>
  </si>
  <si>
    <t>'2332500810324001176'</t>
  </si>
  <si>
    <t>'2400500000324001042'</t>
  </si>
  <si>
    <t>Протокол подведения итогов определения поставщика (подрядчика, исполнителя) № ИЗК1 от 19.12.2024 00:00:00</t>
  </si>
  <si>
    <t>Закупка изделий медицинского назначения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2024 году.</t>
  </si>
  <si>
    <t>2410117335024000225'</t>
  </si>
  <si>
    <t>'0338200013924000340'</t>
  </si>
  <si>
    <t>" 0338200013924000340"</t>
  </si>
  <si>
    <t>Поставка систем непрерывного мониторинга глюкозы для обеспечения нуждающихся беременных женщин в пользу граждан в целях их социального обеспечения</t>
  </si>
  <si>
    <t>Комплект изделий чрескожного мониторинга уровня глюкозы в интерстициальной жидкости, электрохимический метод. Hematonix GS1 модель GS1Sb</t>
  </si>
  <si>
    <t>ОБЩЕСТВО С ОГРАНИЧЕННОЙ ОТВЕТСТВЕННОСТЬЮ "ПЕРСОНАЛ И ТЕХНОЛОГИИ"</t>
  </si>
  <si>
    <t>'2410117335024000226'</t>
  </si>
  <si>
    <t>'0338200013924000339'</t>
  </si>
  <si>
    <t>"0338200013924000339"</t>
  </si>
  <si>
    <t>Поставка систем непрерывного мониторинга глюкозы для обеспечения детей с сахарным диабетом 1 типа в возрасте от 4-х до 17-х лет в пользу граждан в целях их социального обеспечения</t>
  </si>
  <si>
    <t>'2420534966424002305'</t>
  </si>
  <si>
    <t>'0839500000224000252'</t>
  </si>
  <si>
    <t>Протокол подведения итогов определения поставщика № ИЗТ1 от 20.12.2024 00:00:00</t>
  </si>
  <si>
    <t>102-ЕП-24</t>
  </si>
  <si>
    <t>'2683200841124000552'</t>
  </si>
  <si>
    <t>'0164200001924004440'</t>
  </si>
  <si>
    <t>Протокол подведения итогов определения поставщика (подрядчика, исполнителя) № ИЗК1 от 20.12.2024; Протокол подведения итогов определения поставщика (подрядчика, исполнителя) № ИЗК1 от 20.12.2024 00:00:00</t>
  </si>
  <si>
    <t>0164200001924004440_52288</t>
  </si>
  <si>
    <t>Поставка медицинского изделия электрод игольчатый системы чрескожного мониторинга уровня глюкозы в интерстициальной жидкости</t>
  </si>
  <si>
    <t>'2230905305824002675'</t>
  </si>
  <si>
    <t>'0818500000824010991'</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</si>
  <si>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0818500000824010991-0 от 23.12.2024</t>
  </si>
  <si>
    <t>0818500000824010991.2024 (2999-Г/М)</t>
  </si>
  <si>
    <t>'2230905305824002676'</t>
  </si>
  <si>
    <t>'0818500000824011016'</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</si>
  <si>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0818500000824011016-0 от 23.12.2024</t>
  </si>
  <si>
    <t>0818500000824011016.2024 (3000-Г/М)</t>
  </si>
  <si>
    <t>'2230905305824002672'</t>
  </si>
  <si>
    <t>'0818500000824011003'</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</si>
  <si>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0818500000824011003-0 от 23.12.2024</t>
  </si>
  <si>
    <t>0818500000824011003.2024 (2997-Г/М)</t>
  </si>
  <si>
    <t>'2230905305824002669'</t>
  </si>
  <si>
    <t>'0818500000824011005'</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</si>
  <si>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0818500000824011015-0 от 23.12.2024</t>
  </si>
  <si>
    <t>0818500000824011015.2024 (3001-Г/М)</t>
  </si>
  <si>
    <t>'2672900752724000434'</t>
  </si>
  <si>
    <t>ОБЛАСТНОЕ ГОСУДАРСТВЕННОЕ БЮДЖЕТНОЕ УЧРЕЖДЕНИЕ ЗДРАВООХРАНЕНИЯ  "КЛИНИЧЕСКАЯ БОЛЬНИЦА № 1"</t>
  </si>
  <si>
    <t>'0163200000324007668'</t>
  </si>
  <si>
    <t>347/24ЭК</t>
  </si>
  <si>
    <t>Система непрерывного мониторинга глюкозы (4390-эзк)</t>
  </si>
  <si>
    <t>система мониторинга глюкозы беременных женщин с сахарным диабетом. FreeStyle Libre</t>
  </si>
  <si>
    <t>"50323049187240002810000 "</t>
  </si>
  <si>
    <t>"32414375937"</t>
  </si>
  <si>
    <t>24/187/ЕП</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</si>
  <si>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0818500000824011005-0 от 23.12.2024</t>
  </si>
  <si>
    <t>0818500000824011005.2024 (2994-Г/М)</t>
  </si>
  <si>
    <t>'2645504666624002429'</t>
  </si>
  <si>
    <t>'0860200000824010548'</t>
  </si>
  <si>
    <t>ОБЩЕСТВО С ОГРАНИЧЕННОЙ ОТВЕТСТВЕННОСТЬЮ "ДАСТАН-С"</t>
  </si>
  <si>
    <t>'2645504666624002430'</t>
  </si>
  <si>
    <t>'0860200000824010547'</t>
  </si>
  <si>
    <t>'2645504666624002431'</t>
  </si>
  <si>
    <t>'0860200000824010540'</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</si>
  <si>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0818500000824010995-0 от 23.12.2024</t>
  </si>
  <si>
    <t>0818500000824010995.2024 (3002-Г/М)</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</si>
  <si>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0818500000824010994-0 от 23.12.2024</t>
  </si>
  <si>
    <t>0818500000824010994.2024 (3003-Г/М)</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</si>
  <si>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0818500000824010993-0 от 23.12.2024</t>
  </si>
  <si>
    <t>0818500000824010993.2024 (2998-Г/М)</t>
  </si>
  <si>
    <t>Протокол подведения итогов определения поставщика (подрядчика, исполнителя) № ИЗК1 от 23.12.2024;Протокол подведения итогов определения поставщика (подрядчика, исполнителя) № 0818500000824010992-0 от 23.12.2024</t>
  </si>
  <si>
    <t>0818500000824010992.2024 (2995-Г/М)</t>
  </si>
  <si>
    <t>'2402712264524001094'</t>
  </si>
  <si>
    <t>692-гп-сд/24</t>
  </si>
  <si>
    <t>Система flash мониторинга глюкозы freestyle libre 2 №1</t>
  </si>
  <si>
    <t>Система непрерывного мониторинга глюкозы iCan i3 ggm</t>
  </si>
  <si>
    <t>'2402712264524001095'</t>
  </si>
  <si>
    <t>691-гп-сд/24</t>
  </si>
  <si>
    <t>'2290107030324000054'</t>
  </si>
  <si>
    <t>'0124200000624009122'</t>
  </si>
  <si>
    <t>Протокол подведения итогов определения поставщика (подрядчика, исполнителя) № ИЭА1 от 16.12.2024 00:00:00</t>
  </si>
  <si>
    <t>02-04-05/164</t>
  </si>
  <si>
    <t>'2583700874125000003'</t>
  </si>
  <si>
    <t>'0855200000524004289'</t>
  </si>
  <si>
    <t>'08552000005240042890001'</t>
  </si>
  <si>
    <t>'2602702400024000916'</t>
  </si>
  <si>
    <t>'0357200022824000667'</t>
  </si>
  <si>
    <t>Протокол подведения итогов определения поставщика № ИЗТ1 от 24.12.2024 00:00:00</t>
  </si>
  <si>
    <t>'03572000228240006670001'</t>
  </si>
  <si>
    <t>'2402702230524000803'</t>
  </si>
  <si>
    <t>'0137200001224008475'</t>
  </si>
  <si>
    <t>'2402702230524000804'</t>
  </si>
  <si>
    <t>'0137200001224008477'</t>
  </si>
  <si>
    <t>"0137200001224008475"</t>
  </si>
  <si>
    <t>Система непрерывного мониторинга глюкозы Hematonix GS1, модель GS1Sb</t>
  </si>
  <si>
    <t>'2720300024924001755'</t>
  </si>
  <si>
    <t>'0367200000124000097'</t>
  </si>
  <si>
    <t>2083РМ/24</t>
  </si>
  <si>
    <t>'2720300024924001756'</t>
  </si>
  <si>
    <t>'0367200000124000095'</t>
  </si>
  <si>
    <t>2082РМ/24</t>
  </si>
  <si>
    <t>'2380817232724000912'</t>
  </si>
  <si>
    <t>'0134200005924000766'</t>
  </si>
  <si>
    <t>Протокол подведения итогов определения поставщика № ИЗТ1 от 25.12.2024 00:00:00</t>
  </si>
  <si>
    <t>1658/СахДиаб/0766-ЭЗТ/24</t>
  </si>
  <si>
    <t>Комплект изделий чрескожного мониторинга уровня глюкозы в интерстициальной жидкости, электрохимический метод. Sinocare</t>
  </si>
  <si>
    <t>'2380817232724000911'</t>
  </si>
  <si>
    <t>'0134200005924000767'</t>
  </si>
  <si>
    <t>1657/СахДиаб/0767-ЭЗТ/24</t>
  </si>
  <si>
    <t>'2860100444525000004'</t>
  </si>
  <si>
    <t>БЮДЖЕТНОЕ УЧРЕЖДЕНИЕ ХАНТЫ-МАНСИЙСКОГО АВТОНОМНОГО ОКРУГА - ЮГРЫ "ОКРУЖНАЯ КЛИНИЧЕСКАЯ БОЛЬНИЦА"</t>
  </si>
  <si>
    <t>'0387200002824001400'</t>
  </si>
  <si>
    <t>Электрод игольчатый системы чрескожного мониторинга уровня глюкозы в интерстициальной жидкости.  FREESTYLE LIBRE СИСТЕМА FLASH</t>
  </si>
  <si>
    <t>"28601035838 24 001843"</t>
  </si>
  <si>
    <t>"0387200009124007715"</t>
  </si>
  <si>
    <t>Поставка 2025 году медицинского изделия в рамках реализации государственной программы Ханты-Мансийского автономного округа - Югры «Современное здравоохранение»</t>
  </si>
  <si>
    <t>Электрод игольчатый системы чрескожного мониторинга уровня глюкозы в интерстициальной жидкости. FREESTYLE LIBRE СИСТЕМА FLASH</t>
  </si>
  <si>
    <t>'2463228633724000814'</t>
  </si>
  <si>
    <t>'0744200000224009982'</t>
  </si>
  <si>
    <t>Протокол подведения итогов определения поставщика (подрядчика, исполнителя) № ИЗК1 от 25.12.2024 00:00:00</t>
  </si>
  <si>
    <t>Поставка медицинского изделия - комплект изделий чрескожного мониторинга уровня глюкозы в интерстициальной жидкости, электрохимический метод</t>
  </si>
  <si>
    <t>'2402702230525000006'</t>
  </si>
  <si>
    <t>'0137200001224008567'</t>
  </si>
  <si>
    <t>Протокол подведения итогов определения поставщика (подрядчика, исполнителя) № ИЭА1 от 18.12.2024 00:00:00</t>
  </si>
  <si>
    <t>1 полугодие 2025</t>
  </si>
  <si>
    <t>"86623097055250000050000 "</t>
  </si>
  <si>
    <t>"32414339218"</t>
  </si>
  <si>
    <t>671зт24</t>
  </si>
  <si>
    <t>'2575300330625000016'</t>
  </si>
  <si>
    <t>БЮДЖЕТНОЕ УЧРЕЖДЕНИЕ ЗДРАВООХРАНЕНИЯ ОРЛОВСКОЙ ОБЛАСТИ "ОРЛОВСКАЯ ОБЛАСТНАЯ КЛИНИЧЕСКАЯ БОЛЬНИЦА"</t>
  </si>
  <si>
    <t>'0354200019724000490'</t>
  </si>
  <si>
    <t>Ф.2024.490</t>
  </si>
  <si>
    <t>Закупка датчика системы чрескожного мониторинга уровня глюкозы</t>
  </si>
  <si>
    <t>'2450102509925000025'</t>
  </si>
  <si>
    <t>'0343200010724000672'</t>
  </si>
  <si>
    <t>614-к/24</t>
  </si>
  <si>
    <t>'2420534966425000032'</t>
  </si>
  <si>
    <t>'0839500000224000253'</t>
  </si>
  <si>
    <t>Протокол подведения итогов определения поставщика (подрядчика, исполнителя) № ИЗК1 от 28.12.2024 00:00:00</t>
  </si>
  <si>
    <t>38-ЗК/25</t>
  </si>
  <si>
    <t>'2490904533425000003'</t>
  </si>
  <si>
    <t>ГОСУДАРСТВЕННОЕ БЮДЖЕТНОЕ УЧРЕЖДЕНИЕ ЗДРАВООХРАНЕНИЯ "МАГАДАНСКИЙ ОБЛАСТНОЙ ЦЕНТР ОХРАНЫ МАТЕРИНСТВА И ДЕТСТВА"</t>
  </si>
  <si>
    <t>'0847500000924001881'</t>
  </si>
  <si>
    <t>Поставка электродов игольчатых системы чрескожного мониторинга уровня глюкозы в интерстициальной жидкости для нужд ГБУЗ "Магаданский областной центр охраны материнства и детства"</t>
  </si>
  <si>
    <t>'2072106027825000012'</t>
  </si>
  <si>
    <t>'0304200009025000003'</t>
  </si>
  <si>
    <t>Протокол подведения итогов определения поставщика № ИЗТ1 от 17.01.2025 00:00:00</t>
  </si>
  <si>
    <t>Ч12.25-7-012Д451520</t>
  </si>
  <si>
    <t>ОБЩЕСТВО С ОГРАНИЧЕННОЙ ОТВЕТСТВЕННОСТЬЮ "ТЕХНОЦЕНТР"</t>
  </si>
  <si>
    <t>'2072106027825000010'</t>
  </si>
  <si>
    <t>'0304200009025000002'</t>
  </si>
  <si>
    <t>Ч12.25-6-012Д451520</t>
  </si>
  <si>
    <t>'2402712264525000042'</t>
  </si>
  <si>
    <t>80-гп-рл/25</t>
  </si>
  <si>
    <t>'2420534966425000115'</t>
  </si>
  <si>
    <t>'0839500000224000254'</t>
  </si>
  <si>
    <t>Протокол подведения итогов определения поставщика (подрядчика, исполнителя) № ИЭА1 от 13.01.2025 00:00:00</t>
  </si>
  <si>
    <t>40-ЭА/25</t>
  </si>
  <si>
    <t>'2220901186525000058'</t>
  </si>
  <si>
    <t>'0817200000324021827'</t>
  </si>
  <si>
    <t>Электрод игольчатый системы чрескожного мониторинга уровня глюкозы в интерстициальной жидкости. FreeStyle</t>
  </si>
  <si>
    <t>'2502406865625000101'</t>
  </si>
  <si>
    <t>'0348200081024005827'</t>
  </si>
  <si>
    <t>Поставка датчиков системы чрескожного мониторинга уровня глюкозы (М252816, М252817, М252818)</t>
  </si>
  <si>
    <t>'2702102165325000102'</t>
  </si>
  <si>
    <t>'0165100007924000995'</t>
  </si>
  <si>
    <t>Протокол подведения итогов определения поставщика (подрядчика, исполнителя) № ИЭА1 от 15.01.2025;Протокол подведения итогов определения поставщика (подрядчика, исполнителя)</t>
  </si>
  <si>
    <t>РЛ.995.25</t>
  </si>
  <si>
    <t>Комплект изделий чрескожного мониторинга уровня глюкозы в интерстициальной жидкости, электрохимический метод.FreeStyle Libre</t>
  </si>
  <si>
    <t>'1770500425425000020'</t>
  </si>
  <si>
    <t>'0373100025724000349'</t>
  </si>
  <si>
    <t>Протокол подведения итогов определения поставщика (подрядчика, исполнителя) № ИЭА1 от 14.01.2025 00:00:00</t>
  </si>
  <si>
    <t>257-24-349-э</t>
  </si>
  <si>
    <t>'2920402328125000086'</t>
  </si>
  <si>
    <t>'0174500001124007116'</t>
  </si>
  <si>
    <t>На поставку Комплектов изделий чрескожного мониторинга уровня глюкозы в интерстициальной жидкости, электрохимический метод для льготной категории граждан</t>
  </si>
  <si>
    <t>2860103583825000052'</t>
  </si>
  <si>
    <t>'0387200009124008655'</t>
  </si>
  <si>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2025 году</t>
  </si>
  <si>
    <t>ОБЩЕСТВО С ОГРАНИЧЕННОЙ ОТВЕТСТВЕННОСТЬЮ "МЕДИНЖЕНЕРИЯ"</t>
  </si>
  <si>
    <t>Мединженерия</t>
  </si>
  <si>
    <t>'2720300024925000158'</t>
  </si>
  <si>
    <t>'0167200003424011221'</t>
  </si>
  <si>
    <t>652РМ/25</t>
  </si>
  <si>
    <t>поставка медицинских изделий: электрод игольчатый системы чрескожного мониторинга уровня глюкозы в интерстициальной жидкости (детское население)</t>
  </si>
  <si>
    <t>'1773304672125000022'</t>
  </si>
  <si>
    <t>'0373100088124000402'</t>
  </si>
  <si>
    <t>402-24-ЭА</t>
  </si>
  <si>
    <t>поставка расходных материалов, медицинских изделий и принадлежностей для нужд ЦКБ ГА</t>
  </si>
  <si>
    <t>'2771433860925000632'</t>
  </si>
  <si>
    <t>'0873200009825000070'</t>
  </si>
  <si>
    <t>17/2025-КСЕ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</si>
  <si>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взрослых граждан с сахарным диабетом (СНМГ2025-3)</t>
  </si>
  <si>
    <t>Syai X1</t>
  </si>
  <si>
    <t>Взрослые</t>
  </si>
  <si>
    <t>'2771433860925000634'</t>
  </si>
  <si>
    <t>Протокол подведения итогов определения поставщика (подрядчика, исполнителя) № ИЗК1 от 03.02.2025;0873200009825000070-1-548733</t>
  </si>
  <si>
    <t>16/2025-КСЕ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</si>
  <si>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двух лет с сахарным диабетом (СНМГ2025-1)</t>
  </si>
  <si>
    <t>ОБЩЕСТВО С ОГРАНИЧЕННОЙ ОТВЕТСТВЕННОСТЬЮ "ЭПИДБИОМЕД-ДИАГНОСТИКА"</t>
  </si>
  <si>
    <t>ЭпидБиоМед</t>
  </si>
  <si>
    <t>'2027401947625000177'</t>
  </si>
  <si>
    <t>'0301000000225000066'</t>
  </si>
  <si>
    <t>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  датчик Freestyle Libre 2,Соединенное Королевство РЗН 2022/16406</t>
  </si>
  <si>
    <t>'2540215512325000202'</t>
  </si>
  <si>
    <t>'0351200003325000100'</t>
  </si>
  <si>
    <t>Протокол подведения итогов определения поставщика (подрядчика, исполнителя) № ИЗК1 от 04.02.2025 00:00:00</t>
  </si>
  <si>
    <t>25.0100-2025 ЗК РП 731-рп</t>
  </si>
  <si>
    <t>2025-№59 (ЗК) Поставка медицинских изделий: Комплект изделий чрескожного мониторинга уровня глюкозы в интерстициальной жидкости, электрохимический метод</t>
  </si>
  <si>
    <t>2771433860925000651'</t>
  </si>
  <si>
    <t>18/2025-КСЕ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</si>
  <si>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(СНМГ2025-2)</t>
  </si>
  <si>
    <t>'2773411532925000117'</t>
  </si>
  <si>
    <t>'0373200017424001641'</t>
  </si>
  <si>
    <t>Протокол подведения итогов определения поставщика (подрядчика, исполнителя) № ИЭА1 от 27.01.2025;0373200017424001641-3-534654</t>
  </si>
  <si>
    <t>'03732000174240016410001'</t>
  </si>
  <si>
    <t>'2150102475925000002'</t>
  </si>
  <si>
    <t>"0310200000324003469"</t>
  </si>
  <si>
    <t>'0310200000324003469'</t>
  </si>
  <si>
    <t>Реализация мероприятий по обеспечению детей с сахарным диабетом 1 типа в возрасте от 4-х до 17 лет включительно системами непрерывного мониторинга в целях социального обеспечения граждан.</t>
  </si>
  <si>
    <t xml:space="preserve">Комплект изделий чрескожного мониторинга уровня глюкозы в интерстициальной жидкости, электрохимический метод. FreeStyle Libre </t>
  </si>
  <si>
    <t>ОБЩЕСТВО С ОГРАНИЧЕННОЙ ОТВЕТСТВЕННОСТЬЮ "ПРЕМЬЕР ФАРМ"</t>
  </si>
  <si>
    <t>'2402712264525000111'</t>
  </si>
  <si>
    <t>144-гп-сд/25</t>
  </si>
  <si>
    <t>"55609027223250001070000 "</t>
  </si>
  <si>
    <t>"32514506279"</t>
  </si>
  <si>
    <t>ОЗ/120</t>
  </si>
  <si>
    <t>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</si>
  <si>
    <t>'2143536061025000063'</t>
  </si>
  <si>
    <t>'0816500000625000325'</t>
  </si>
  <si>
    <t>Поставка товара: Системы непрерывного мониторинга глюкозы в целях социального обеспечения</t>
  </si>
  <si>
    <t>'2631819736725000585'</t>
  </si>
  <si>
    <t>'0142200001325000796'</t>
  </si>
  <si>
    <t>Протокол подведения итогов определения поставщика (подрядчика, исполнителя) № ИЭА1 от 06.02.2025 00:00:00</t>
  </si>
  <si>
    <t>640/25/ИМН-СУД</t>
  </si>
  <si>
    <t>Поставка изделий медицинского назначения для больных сахарным диабетом, в рамках льготного лекарственного обеспечения на 2025 год.</t>
  </si>
  <si>
    <t>'2165401717025000149'</t>
  </si>
  <si>
    <t>"0111200002425000047"</t>
  </si>
  <si>
    <t>Протокол подведения итогов определения поставщика (подрядчика, исполнителя) № ИЭА1 от 07.02.2025 00:00:00; Протокол подведения итогов электронного аукциона от 07.02.2025г. N 0111200002425000047</t>
  </si>
  <si>
    <t>поставка изделий медицинского назначения (системы непрерывного мониторинга глюкозы) для обеспечения детей с сахарным диабетом 1 типа в возрасте от 2-х до 17 лет включительно</t>
  </si>
  <si>
    <t>2072106027825000132'</t>
  </si>
  <si>
    <t>'0304200009025000236'</t>
  </si>
  <si>
    <t>Протокол подведения итогов определения поставщика № ИЗТ1 от 13.02.2025 00:00:00</t>
  </si>
  <si>
    <t>Ч12.25-248-012Д451070</t>
  </si>
  <si>
    <t>2072106027825000127'</t>
  </si>
  <si>
    <t>'0304200009025000235'</t>
  </si>
  <si>
    <t>Ч12.25-247-012Д451070</t>
  </si>
  <si>
    <t>2072106027825000129'</t>
  </si>
  <si>
    <t>'0304200009025000227'</t>
  </si>
  <si>
    <t>Ч12.25-246-012Д451070</t>
  </si>
  <si>
    <t>2072106027825000130'</t>
  </si>
  <si>
    <t>'0304200009025000232'</t>
  </si>
  <si>
    <t>Ч12.25-245-012Д451070</t>
  </si>
  <si>
    <t>2072106027825000125'</t>
  </si>
  <si>
    <t>'0304200009025000231'</t>
  </si>
  <si>
    <t>Ч12.25-244-012Д451070</t>
  </si>
  <si>
    <t>2072106027825000124'</t>
  </si>
  <si>
    <t>'0304200009025000230'</t>
  </si>
  <si>
    <t>Ч12.25-243-012Д451070</t>
  </si>
  <si>
    <t>2072106027825000128'</t>
  </si>
  <si>
    <t>'0304200009025000228'</t>
  </si>
  <si>
    <t>Ч12.25-242-012Д451070</t>
  </si>
  <si>
    <t>2072106027825000126'</t>
  </si>
  <si>
    <t>Ч12.25-241-012Д451070</t>
  </si>
  <si>
    <t>'2072106027825000138'</t>
  </si>
  <si>
    <t>'0304200009025000226'</t>
  </si>
  <si>
    <t>Ч12.25-240-012Д451070</t>
  </si>
  <si>
    <t>2165401717025000149'</t>
  </si>
  <si>
    <t xml:space="preserve">Комплект изделий чрескожного мониторинга уровня глюкозы в интерстициальной жидкости, электрохимический метод. Отсутсвует </t>
  </si>
  <si>
    <t>"55609027223250001220000 "</t>
  </si>
  <si>
    <t>"32514505894"</t>
  </si>
  <si>
    <t>Протокол, составленный по результатам закупки</t>
  </si>
  <si>
    <t>2025.162894</t>
  </si>
  <si>
    <t>Поставка изделий медицинского назначения (системы непрерывного мониторинга глюкозы) для обеспечения детей с сахарным диабетом в возрасте от 2-х до 17 лет</t>
  </si>
  <si>
    <t>Поставка изделий медицинского назначения (системы чрескожного мониторинга уровня глюкозы) для обеспечения детей с сахарным диабетом в возрасте от 2-х до 17 лет</t>
  </si>
  <si>
    <t>'2773103869025000108'</t>
  </si>
  <si>
    <t>'0373200013825000100'</t>
  </si>
  <si>
    <t>102/25</t>
  </si>
  <si>
    <t>'2502406865625000297'</t>
  </si>
  <si>
    <t>"0348200081025000095"</t>
  </si>
  <si>
    <t>'0348200081025000095'</t>
  </si>
  <si>
    <t>Поставка комплектов изделий чрескожного мониторинга уровня глюкозы в интерстициальной жидкости (М253273, М253272)</t>
  </si>
  <si>
    <t>'2502406865625000305'</t>
  </si>
  <si>
    <t>'0348200081025000101'</t>
  </si>
  <si>
    <t>Поставка комплекта изделий чрескожного мониторинга уровня глюкозы в интерстициальной жидкости (М253160)</t>
  </si>
  <si>
    <t>'2502406865625000307'</t>
  </si>
  <si>
    <t>'0348200081025000098'</t>
  </si>
  <si>
    <t>Поставка комплекта изделий чрескожного мониторинга уровня глюкозы в интерстициальной жидкости (М253274)</t>
  </si>
  <si>
    <t>'2366200608825000495'</t>
  </si>
  <si>
    <t>'0331200017825000017'</t>
  </si>
  <si>
    <t>'120212-0017/12'</t>
  </si>
  <si>
    <t>'252366200608836620100101570010000244'</t>
  </si>
  <si>
    <t>'2230905305825000310'</t>
  </si>
  <si>
    <t>'0318200057125000104'</t>
  </si>
  <si>
    <t>'0318200057125000104.2025 (1163-Г/М)'</t>
  </si>
  <si>
    <t>'252230905305823100100106500010000323'</t>
  </si>
  <si>
    <t>773101001</t>
  </si>
  <si>
    <t>2272404126025000065'</t>
  </si>
  <si>
    <t>'0122200002525000217'</t>
  </si>
  <si>
    <t>"0122200002525000217"</t>
  </si>
  <si>
    <t>Поставка медицинских изделий: система чрескожного мониторинга уровня глюкозы для обеспечения льготных категорий граждан Хабаровского края</t>
  </si>
  <si>
    <t>'2590229330825000174'</t>
  </si>
  <si>
    <t>МИНИСТЕРСТВО ЗДРАВООХРАНЕНИЯ ПЕРМСКОГО КРАЯ</t>
  </si>
  <si>
    <t>'160'</t>
  </si>
  <si>
    <t>Поставка медицинских изделий: Электрод игольчатый подкожный (Датчик FreeStyle Libre системы Flash мониторинга глюкозы FreeStyle Libre) (п.9)</t>
  </si>
  <si>
    <t>Электрод игольчатый подкожный</t>
  </si>
  <si>
    <t>26.60.12.121-00000011</t>
  </si>
  <si>
    <t>'2231101050225000178'</t>
  </si>
  <si>
    <t>'0318300126725000024'</t>
  </si>
  <si>
    <t>'03183001267250000240001'</t>
  </si>
  <si>
    <t>Поставка медицинского изделия (электрод игольчатый системы чрескожного мониторинга уровня глюкозы в интерстициальной жидкости)</t>
  </si>
  <si>
    <t>'252231101050223110100101380013250244'</t>
  </si>
  <si>
    <t>'2502406865625000403'</t>
  </si>
  <si>
    <t>'0348200081025000211'</t>
  </si>
  <si>
    <t>Поставка комплекта изделий чрескожного мониторинга уровня глюкозы в интерстициальной жидкости (М253583)</t>
  </si>
  <si>
    <t>'1526003794025000065'</t>
  </si>
  <si>
    <t>'0332100022725000016'</t>
  </si>
  <si>
    <t>'02Ц'</t>
  </si>
  <si>
    <t>Поставка датчиков системы чрезкожного мониторинга уровня глюкозы (02Ц)</t>
  </si>
  <si>
    <t>Датчик системы чрезкожного мониторинга уровня глюкозы в интерстициальной жидкости. FreeStyleLibre</t>
  </si>
  <si>
    <t>'2183104497925000242'</t>
  </si>
  <si>
    <t>'0362200025825000347'</t>
  </si>
  <si>
    <t>'06/01-05/29-МЗ'</t>
  </si>
  <si>
    <t>Поставка медицинских изделий Датчик системы чрескожного мониторинга уровня глюкозы</t>
  </si>
  <si>
    <t>'2434701856225000033'</t>
  </si>
  <si>
    <t>'0340200013025000001'</t>
  </si>
  <si>
    <t>'03402000130250000010001'</t>
  </si>
  <si>
    <t>'2027401947625000286'</t>
  </si>
  <si>
    <t>'0301000000225000166'</t>
  </si>
  <si>
    <t>'2041100854225000095'</t>
  </si>
  <si>
    <t>'0177200000425000015'</t>
  </si>
  <si>
    <t>Протокол подведения итогов определения поставщика № ИЗТ1 от 25.02.2025 00:00:00</t>
  </si>
  <si>
    <t>МЗ РА СД 03/12/25</t>
  </si>
  <si>
    <t>'2041100854225000097'</t>
  </si>
  <si>
    <t>'0177200000425000014'</t>
  </si>
  <si>
    <t>МЗ РА СД 02/12/25</t>
  </si>
  <si>
    <t>'2402702230525000154'</t>
  </si>
  <si>
    <t>'0137200001225000615'</t>
  </si>
  <si>
    <t>' 0137200001225000615'</t>
  </si>
  <si>
    <t>'2165901366025000194'</t>
  </si>
  <si>
    <t>'1659013660'</t>
  </si>
  <si>
    <t>'165901001'</t>
  </si>
  <si>
    <t>'0711200011025000030'</t>
  </si>
  <si>
    <t>'169-265/25'</t>
  </si>
  <si>
    <t>'Поставка расходных материалов'</t>
  </si>
  <si>
    <t>'2143536061025000206'</t>
  </si>
  <si>
    <t>'1435360610'</t>
  </si>
  <si>
    <t>'143501001'</t>
  </si>
  <si>
    <t>'0816500000625000650'</t>
  </si>
  <si>
    <t>'Поставка товара: Системы непрерывного мониторинга глюкозы в целях социального обеспечения'</t>
  </si>
  <si>
    <t>Комплект изделий чрескожного мониторинга уровня глюкозы в интерстициальной жидкости, электрохимический метод. Changsha Sinocare Inc.</t>
  </si>
  <si>
    <t>ОБЩЕСТВО С ОГРАНИЧЕННОЙ ОТВЕТСТВЕННОСТЬЮ "ВИ-МЕДИКАЛ"</t>
  </si>
  <si>
    <t>Ви Медикал</t>
  </si>
  <si>
    <t>772901001</t>
  </si>
  <si>
    <t>калужская область</t>
  </si>
  <si>
    <t>'2230905305825000410'</t>
  </si>
  <si>
    <t>'0318200057125000175'</t>
  </si>
  <si>
    <t>'0318200057125000175.2025 (1277-Г/М)'</t>
  </si>
  <si>
    <t>'2720300024925000356'</t>
  </si>
  <si>
    <t>'0367200000125000019'</t>
  </si>
  <si>
    <t>'902РМ/25'</t>
  </si>
  <si>
    <t>'2344419822025000210'</t>
  </si>
  <si>
    <t>'0829200001225000002'</t>
  </si>
  <si>
    <t>'328/25ОБ'</t>
  </si>
  <si>
    <t>'2212900930025000033'</t>
  </si>
  <si>
    <t>БЮДЖЕТНОЕ УЧРЕЖДЕНИЕ ЧУВАШСКОЙ РЕСПУБЛИКИ "РЕСПУБЛИКАНСКИЙ КЛИНИЧЕСКИЙ ГОСПИТАЛЬ ДЛЯ ВЕТЕРАНОВ ВОЙН" МИНИСТЕРСТВА ЗДРАВООХРАНЕНИЯ ЧУВАШСКОЙ РЕСПУБЛИКИ</t>
  </si>
  <si>
    <t>'0315200015825000016'</t>
  </si>
  <si>
    <t>'36-ЭЗТ'</t>
  </si>
  <si>
    <t>ЭШИМБАЕВ БОРИСОВИЧ АЛЕКСАНДР</t>
  </si>
  <si>
    <t/>
  </si>
  <si>
    <t>'2771603570525000117'</t>
  </si>
  <si>
    <t>'0373200152825000140'</t>
  </si>
  <si>
    <t>'0373200152825000140_49719'</t>
  </si>
  <si>
    <t>беременные</t>
  </si>
  <si>
    <t>502701001</t>
  </si>
  <si>
    <t>'2910201286925000249'</t>
  </si>
  <si>
    <t>'0175200005225000016'</t>
  </si>
  <si>
    <t>' 0175200005225000016'</t>
  </si>
  <si>
    <t>Комплект изделий чрескожного мониторинга уровня глюкозы в интерстициальной жидкости, электрохимический метод. Датчик Freestyle Libre</t>
  </si>
  <si>
    <t>КУЗНЕЦОВ ВИКТОРОВИЧ МИХАИЛ</t>
  </si>
  <si>
    <t>'2631819736725000803'</t>
  </si>
  <si>
    <t>'0142200001325002466'</t>
  </si>
  <si>
    <t>Протокол подведения итогов определения поставщика (подрядчика, исполнителя) № ИЭА1 от 24.02.2025 00:00:00</t>
  </si>
  <si>
    <t>'800/25/СД 2-17'</t>
  </si>
  <si>
    <t>'Поставка изделий медицинского назначения для больных сахарным диабетом, в рамках льготного обеспечения на 2025год.'</t>
  </si>
  <si>
    <t>'2631819736725000790'</t>
  </si>
  <si>
    <t>'0142200001325002465'</t>
  </si>
  <si>
    <t>'786/25/ИМН-Т'</t>
  </si>
  <si>
    <t>'2666100219925000252'</t>
  </si>
  <si>
    <t>'0362200025825000163'</t>
  </si>
  <si>
    <t>'Комплект изделий чрескожного мониторинга уровня глюкозы в интерстициальной жидкости, электрохимический метод'</t>
  </si>
  <si>
    <t>2230905305825000424'</t>
  </si>
  <si>
    <t>'0318200057125000176'</t>
  </si>
  <si>
    <t>'0318200057125000176.2025 (1314-Г/М)'</t>
  </si>
  <si>
    <t>'2710700631125000349'</t>
  </si>
  <si>
    <t>'0366200035625000620'</t>
  </si>
  <si>
    <t>'2025.00302'</t>
  </si>
  <si>
    <t>'2710700631125000348'</t>
  </si>
  <si>
    <t>'0366200035625000618'</t>
  </si>
  <si>
    <t>'2025.00300'</t>
  </si>
  <si>
    <t>'2402702230525000172'</t>
  </si>
  <si>
    <t>'0137200001225000876'</t>
  </si>
  <si>
    <t>Протокол подведения итогов определения поставщика (подрядчика, исполнителя) № ИЭА1 от 27.02.2025 00:00:00</t>
  </si>
  <si>
    <t>'2745313582725000508'</t>
  </si>
  <si>
    <t>'0869200000225000804'</t>
  </si>
  <si>
    <t>'00804-СД/2025'</t>
  </si>
  <si>
    <t>на поставку Системы чрескожного мониторинга уровня глюкозы в интерстициальной жидкости, электрохимический метод</t>
  </si>
  <si>
    <t>Система чрескожного мониторинга уровня глюкозы в интерстициальной жидкости, электрохимический метод. Hematonix</t>
  </si>
  <si>
    <t>ОБЩЕСТВО С ОГРАНИЧЕННОЙ ОТВЕТСТВЕННОСТЬЮ "МАСТЕРТОРГ"</t>
  </si>
  <si>
    <t>'2745313582725000509'</t>
  </si>
  <si>
    <t>'0869200000225000802'</t>
  </si>
  <si>
    <t>'00802-СД/2025'</t>
  </si>
  <si>
    <t>'2745313582725000512'</t>
  </si>
  <si>
    <t>'0869200000225000801'</t>
  </si>
  <si>
    <t>'00801-СД/2025'</t>
  </si>
  <si>
    <t>'2631819736725000817'</t>
  </si>
  <si>
    <t>'0142200001325002705'</t>
  </si>
  <si>
    <t>Протокол подведения итогов определения поставщика (подрядчика, исполнителя) № ИЭА1 от 25.02.2025 00:00:00</t>
  </si>
  <si>
    <t>'810/25/СД 2-17'</t>
  </si>
  <si>
    <t>Поставка изделий медицинского назначения для больных сахарным диабетом, в рамках льготного обеспечения на 2025год.</t>
  </si>
  <si>
    <t>'2710700631125000350'</t>
  </si>
  <si>
    <t>'0366200035625000619'</t>
  </si>
  <si>
    <t>'2025.00301'</t>
  </si>
  <si>
    <t>'2710700631125000355'</t>
  </si>
  <si>
    <t>'0366200035625000617'</t>
  </si>
  <si>
    <t>'2025.00299'</t>
  </si>
  <si>
    <t>'2090102408525000111'</t>
  </si>
  <si>
    <t>'0179200001725000052'</t>
  </si>
  <si>
    <t>'Комплект изделий чрескожного мониторинга уровня глюкозы (НП "БСД")'</t>
  </si>
  <si>
    <t>Комплект изделий чрескожного мониторинга уровня глюкозы (НП "БСД"). FreeStyle Libre</t>
  </si>
  <si>
    <t>'2090102408525000112'</t>
  </si>
  <si>
    <t>'0179200001725000051'</t>
  </si>
  <si>
    <t>'Комплект изделий чрескожного мониторинга уровня глюкозы.'</t>
  </si>
  <si>
    <t>5262222144</t>
  </si>
  <si>
    <t>'2090102408525000110'</t>
  </si>
  <si>
    <t>'0179200001725000050'</t>
  </si>
  <si>
    <t>'Комплект изделий чрескожного мониторинга уровня глюкозы (Программа БСД -Беременные).'</t>
  </si>
  <si>
    <t>Комплект изделий чрескожного мониторинга уровня глюкозы в интерстициальной жидкости, электрохимический метод.. FreeStyle Libre</t>
  </si>
  <si>
    <t>Комплект изделий чрескожного мониторинга уровня глюкозы в интерстициальной жидкости, электрохимический метод. Libre</t>
  </si>
  <si>
    <t>'2745313582725000510'</t>
  </si>
  <si>
    <t>'0869200000225000813'</t>
  </si>
  <si>
    <t>'00813-СД/2025'</t>
  </si>
  <si>
    <t>на поставку Системы чрескожного мониторинга уровня глюкозы в интерстициальной жидкости, электрохимический метод, для обеспечения детей с сахарным диабетом 1 типа</t>
  </si>
  <si>
    <t>Система чрескожного мониторинга уровня глюкозы в интерстициальной жидкости, электрохимический метод</t>
  </si>
  <si>
    <t>Система чрескожного мониторинга уровня глюкозы в интерстициальной жидкости, электрохимический метод. FreeStyle Libre</t>
  </si>
  <si>
    <t>'2402702230525000173'</t>
  </si>
  <si>
    <t>'0137200001225000875'</t>
  </si>
  <si>
    <t>"52020003211250000350000 "</t>
  </si>
  <si>
    <t>"32514602695"</t>
  </si>
  <si>
    <t>Л/19/25</t>
  </si>
  <si>
    <t>Поставка системы мониторинга уровня глюкозы в интерстициальной жидкости, для обеспечения детей с сахарным диабетом 1 типа в возрасте от 2-х до 17-ти лет</t>
  </si>
  <si>
    <t>Лот №1 Поставка системы мониторинга уровня глюкозы в интерстициальной жидкости, для обеспечения детей с сахарным диабетом 1 типа в возрасте от 2-х до 17-ти лет</t>
  </si>
  <si>
    <t>"52020003211250000340000 "</t>
  </si>
  <si>
    <t>"32514602664"</t>
  </si>
  <si>
    <t>Л/18/25</t>
  </si>
  <si>
    <t>'2771904680025000160'</t>
  </si>
  <si>
    <t>ГОСУДАРСТВЕННОЕ БЮДЖЕТНОЕ УЧРЕЖДЕНИЕ ЗДРАВООХРАНЕНИЯ ГОРОДА МОСКВЫ "ГОРОДСКАЯ КЛИНИЧЕСКАЯ БОЛЬНИЦА ИМЕНИ Ф.И. ИНОЗЕМЦЕВА ДЕПАРТАМЕНТА ЗДРАВООХРАНЕНИЯ ГОРОДА МОСКВЫ"</t>
  </si>
  <si>
    <t>'0373200052325000143'</t>
  </si>
  <si>
    <t>'25000143-ЗК'</t>
  </si>
  <si>
    <t>Электронный запрос котировок на поставку медицинских расходных материалов (датчик системы чрескожного мониторинга уровня глюкозы) для отделения эндокринологии (среди субъектов малого предпринимательства и социально-ориентированных некоммерческих организаций) для нужд ГБУЗ «ГКБ им. Ф.И. Иноземцева ДЗМ».</t>
  </si>
  <si>
    <t>'2272404126025000148'</t>
  </si>
  <si>
    <t>'0322200002125000130'</t>
  </si>
  <si>
    <t>'2910201286925000258'</t>
  </si>
  <si>
    <t>'0175200000425000298'</t>
  </si>
  <si>
    <t>Поставка медицинских изделий "Комплект изделий чрескожного мониторинга уровня глюкозы в интерстициальной жидкости, электрохимический метод" (807 0909 411Д451070 244) - 2025 год</t>
  </si>
  <si>
    <t>"55612167767250001210000  "</t>
  </si>
  <si>
    <t>ГОСУДАРСТВЕННОЕ АВТОНОМНОЕ УЧРЕЖДЕНИЕ ЗДРАВООХРАНЕНИЯ "ОБЛАСТНАЯ ДЕТСКАЯ КЛИНИЧЕСКАЯ БОЛЬНИЦА"</t>
  </si>
  <si>
    <t>"32514542283"</t>
  </si>
  <si>
    <t>357-25 ЗК</t>
  </si>
  <si>
    <t>Поставка датчиков системы мониторинга глюкозы для нужд ГАУЗ "ОДКБ"</t>
  </si>
  <si>
    <t>Лот №1 Поставка датчиков системы мониторинга глюкозы для нужд ГАУЗ "ОДКБ"</t>
  </si>
  <si>
    <t>'2602702400025000131'</t>
  </si>
  <si>
    <t>'0357200022825000048'</t>
  </si>
  <si>
    <t>'03572000228250000480001'</t>
  </si>
  <si>
    <t>Протокол подведения итогов определения поставщика (подрядчика, исполнителя) № ИЭА1 от 05.03.2025 00:00:00</t>
  </si>
  <si>
    <t>ЭА.2025.01867</t>
  </si>
  <si>
    <t>'2170105270725000151'</t>
  </si>
  <si>
    <t>'0112200000825000698'</t>
  </si>
  <si>
    <t>Протокол подведения итогов определения поставщика (подрядчика, исполнителя) № ИЭА1 от 04.03.2025 00:00:00</t>
  </si>
  <si>
    <t>'2025.0698'</t>
  </si>
  <si>
    <t>Поставка изделий медицинского назначения (Комплект изделий чрескожного мониторинга уровня глюкозы в интерстициальной жидкости) для обеспечения детей с сахарным диабетом 1 типа в возрасте от 4-х до 17 лет включительно на 2025 г.</t>
  </si>
  <si>
    <t>'1027402308825000196'</t>
  </si>
  <si>
    <t>'0301100049625000108'</t>
  </si>
  <si>
    <t>'03011000496250001080001'</t>
  </si>
  <si>
    <t>'2623102512325000175'</t>
  </si>
  <si>
    <t>'0859200001125001480'</t>
  </si>
  <si>
    <t>'08592000011250014800001'</t>
  </si>
  <si>
    <t>'2673101866025000071'</t>
  </si>
  <si>
    <t>'0163200000325000873'</t>
  </si>
  <si>
    <t>'50/25'</t>
  </si>
  <si>
    <t>№ 0634-эзк комплект изделий чрезкожного мониторинга уровня глюкозы в интерстициальной жидкости, электрохимический метод</t>
  </si>
  <si>
    <t>'2753614997525000048'</t>
  </si>
  <si>
    <t>'0891200000625001292'</t>
  </si>
  <si>
    <t>Протокол подведения итогов определения поставщика (подрядчика, исполнителя) № ИЭА1 от 07.03.2025 00:00:00</t>
  </si>
  <si>
    <t>'48-25'</t>
  </si>
  <si>
    <t>Приобретение датчиков системы мониторирования уровня глюкозы (00001337-ЭА)</t>
  </si>
  <si>
    <t>ОБЩЕСТВО С ОГРАНИЧЕННОЙ ОТВЕТСТВЕННОСТЬЮ "ЭЛАРУМ ФАРМА"</t>
  </si>
  <si>
    <t>Эларум Фарма</t>
  </si>
  <si>
    <t>'2623102512325000179'</t>
  </si>
  <si>
    <t>'0859200001125001485'</t>
  </si>
  <si>
    <t>'08592000011250014850001'</t>
  </si>
  <si>
    <t>ОБЩЕСТВО С ОГРАНИЧЕННОЙ ОТВЕТСТВЕННОСТЬЮ "АЛЬТЕР-ФАРМА"</t>
  </si>
  <si>
    <t>Альтер Фарма</t>
  </si>
  <si>
    <t>'2056204455025000264'</t>
  </si>
  <si>
    <t>'0303200025125000191'</t>
  </si>
  <si>
    <t>Протокол подведения итогов определения поставщика (подрядчика, исполнителя) № ИЗК1 от 13.03.2025 00:00:00</t>
  </si>
  <si>
    <t>'2683200841125000109'</t>
  </si>
  <si>
    <t>'0164200001925000387'</t>
  </si>
  <si>
    <t>'0164200001925000387-69249-976152'</t>
  </si>
  <si>
    <t>Поставка медицинского изделия комплект изделий чрескожного мониторинга уровня глюкозы в интерстициальной жидкости, электрохимический метод</t>
  </si>
  <si>
    <t xml:space="preserve">Беременные </t>
  </si>
  <si>
    <t>Комплект изделий чрескожного мониторинга уровня глюкозы в интерстициальной жидкости, электрохимический метод. HEMATONIX</t>
  </si>
  <si>
    <t>'2280112372025000204'</t>
  </si>
  <si>
    <t>'0123200000325000343'</t>
  </si>
  <si>
    <t>'263'</t>
  </si>
  <si>
    <t>"56658027450250001460000 "</t>
  </si>
  <si>
    <t>"32514561670"</t>
  </si>
  <si>
    <t>Лот №1 Система Flash мониторинга глюкозы FreeStyle Libre 2 или эквивалент</t>
  </si>
  <si>
    <t>253Х</t>
  </si>
  <si>
    <t>Система Flash мониторинга глюкозы FreeStyle Libre 2 или эквивалент</t>
  </si>
  <si>
    <t>26.60.12.119</t>
  </si>
  <si>
    <t>'2482500511025000244'</t>
  </si>
  <si>
    <t>'0346200002825000257'</t>
  </si>
  <si>
    <t>'230ВМП'</t>
  </si>
  <si>
    <t>'2550305352025000006'</t>
  </si>
  <si>
    <t>'0352300008625000003'</t>
  </si>
  <si>
    <t>'2025.019675'</t>
  </si>
  <si>
    <t>'2027415782125000530'</t>
  </si>
  <si>
    <t>027401001</t>
  </si>
  <si>
    <t>'0801500001125000213'</t>
  </si>
  <si>
    <t>Электрод игольчатый системы чрескожного мониторинга уровня глюкозы в интерстициальной жидкости (Национальный проект «Здравоохранение»)</t>
  </si>
  <si>
    <t>'2861700564525000259'</t>
  </si>
  <si>
    <t>БЮДЖЕТНОЕ УЧРЕЖДЕНИЕ ХАНТЫ-МАНСИЙСКОГО АВТОНОМНОГО ОКРУГА - ЮГРЫ "СУРГУТСКАЯ ОКРУЖНАЯ КЛИНИЧЕСКАЯ БОЛЬНИЦА"</t>
  </si>
  <si>
    <t>'0387200000925000174'</t>
  </si>
  <si>
    <t>'0387200000925000174/Е'</t>
  </si>
  <si>
    <t>Комплект изделий чрескожного мониторинга уровня глюкозы в интерстициальной жидкости, электрохимический метод. FREESTYLE LIBRE СИСТЕМА FLASH</t>
  </si>
  <si>
    <t>2623102512325000193'</t>
  </si>
  <si>
    <t>'0859200001125001481'</t>
  </si>
  <si>
    <t>'08592000011250014810001'</t>
  </si>
  <si>
    <t>ЕЛИСЕЕВА АНАТОЛЬЕВНА ОЛЕСЯ</t>
  </si>
  <si>
    <t>Олеся Елисеева</t>
  </si>
  <si>
    <t>2434701856225000053'</t>
  </si>
  <si>
    <t>'0340200003325001926'</t>
  </si>
  <si>
    <t>'03402000033250019260001'</t>
  </si>
  <si>
    <t>'2366200608825000704'</t>
  </si>
  <si>
    <t>'0131200001025001210'</t>
  </si>
  <si>
    <t>'0466-01210'</t>
  </si>
  <si>
    <t>2025-01366*Поставка медицинских изделий</t>
  </si>
  <si>
    <t>'2890100700625000184'</t>
  </si>
  <si>
    <t>'0190200000325001693'</t>
  </si>
  <si>
    <t>'1693-СНМГ-Д-25'</t>
  </si>
  <si>
    <t>ОБЩЕСТВО С ОГРАНИЧЕННОЙ ОТВЕТСТВЕННОСТЬЮ "МСМЕД"</t>
  </si>
  <si>
    <t>Мсмед</t>
  </si>
  <si>
    <t>'2434701856225000053'</t>
  </si>
  <si>
    <t>'2372901059525000072'</t>
  </si>
  <si>
    <t>'0133200001725000356'</t>
  </si>
  <si>
    <t>Протокол подведения итогов определения поставщика (подрядчика, исполнителя) № ИЭА1 от 10.03.2025 00:00:00</t>
  </si>
  <si>
    <t>Поставка комплекта изделий чрескожного мониторинга уровня глюкозы в интерстициальной жидкости, электрохимический метод для государственных нужд Ивановской области</t>
  </si>
  <si>
    <t>"55612167767250001590000 "</t>
  </si>
  <si>
    <t>"32514567655"</t>
  </si>
  <si>
    <t>390-25 ЗК</t>
  </si>
  <si>
    <t>Поставка систем непрерывного мониторинга глюкозы для нужд ГАУЗ "ОДКБ"</t>
  </si>
  <si>
    <t>Лот №1 Поставка систем непрерывного мониторинга глюкозы для нужд ГАУЗ "ОДКБ"</t>
  </si>
  <si>
    <t>'2230905305825000541'</t>
  </si>
  <si>
    <t>'0818500000825001239'</t>
  </si>
  <si>
    <t>'0818500000825001239.2025 (1393-Г/М)'</t>
  </si>
  <si>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00Д4011401707</t>
  </si>
  <si>
    <t>'2230905305825000538'</t>
  </si>
  <si>
    <t>'0818500000825001242'</t>
  </si>
  <si>
    <t>'0818500000825001242.2025 (1394-Г/М)'</t>
  </si>
  <si>
    <t>Поставка медицинских изделий: комплект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00Д4011501708</t>
  </si>
  <si>
    <t>'2190100531025000153'</t>
  </si>
  <si>
    <t>'0380200000125000971'</t>
  </si>
  <si>
    <t>Протокол подведения итогов определения поставщика (подрядчика, исполнителя) № ИЭА1 от 12.03.2025 00:00:00</t>
  </si>
  <si>
    <t>РКБ.2025.135</t>
  </si>
  <si>
    <t>'2631819736725001114'</t>
  </si>
  <si>
    <t>'0142200001325004982'</t>
  </si>
  <si>
    <t>'971/25/СНМГ-Б'</t>
  </si>
  <si>
    <t>Поставка изделий медицинского назначения для нуждающихся беременных женщин (СНМГ) на 2025год.</t>
  </si>
  <si>
    <t>'2344419822025000260'</t>
  </si>
  <si>
    <t>'0329200062225001126'</t>
  </si>
  <si>
    <t>Протокол подведения итогов определения поставщика (подрядчика, исполнителя) № ИЭА1 от 11.03.2025 00:00:00</t>
  </si>
  <si>
    <t>'250271'</t>
  </si>
  <si>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2 лет в рамках проекта "Борьба с сахарным диабетом") (БСД)</t>
  </si>
  <si>
    <t>'2344419822025000259'</t>
  </si>
  <si>
    <t>'0329200062225001107'</t>
  </si>
  <si>
    <t>'250270'</t>
  </si>
  <si>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беременных женщин в рамках проекта "Борьба с сахарным диабетом") (СНМГБЖ)</t>
  </si>
  <si>
    <t>'2344419822025000258'</t>
  </si>
  <si>
    <t>'0329200062225001108'</t>
  </si>
  <si>
    <t>'250269'</t>
  </si>
  <si>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</si>
  <si>
    <t>'2490908578525000125'</t>
  </si>
  <si>
    <t>'0847500000925000426'</t>
  </si>
  <si>
    <t>Поставка комплектов изделий чрескожного мониторинга уровня глюкозы в интерстициальной жидкости, электрохимический метод, в рамках федерального проекта "Обеспечение детей с сахарным диабетом 1 типа в возрасте от 2-х до 17-ти лет включительно системами непрерывного мониторинга глюкозы"</t>
  </si>
  <si>
    <t>'2391751525325000362'</t>
  </si>
  <si>
    <t>'0835200000825000136'</t>
  </si>
  <si>
    <t>Протокол подведения итогов определения поставщика № ИЗТ1 от 19.03.2025 00:00:00</t>
  </si>
  <si>
    <t>'2230905305825000537'</t>
  </si>
  <si>
    <t>'0818500000825001262'</t>
  </si>
  <si>
    <t>'0818500000825001262.2025 (1392-Г/М)'</t>
  </si>
  <si>
    <t>'2590506107025000204'</t>
  </si>
  <si>
    <t>'0356500005125000103'</t>
  </si>
  <si>
    <t>'1540810013825000070'</t>
  </si>
  <si>
    <t>'0351400001325000063'</t>
  </si>
  <si>
    <t>'2583510860625000024'</t>
  </si>
  <si>
    <t>'0155200000925000159'</t>
  </si>
  <si>
    <t>'1780201002025000269'</t>
  </si>
  <si>
    <t>ФЕДЕРАЛЬНОЕ ГОСУДАРСТВЕННОЕ БЮДЖЕТНОЕ ОБРАЗОВАТЕЛЬНОЕ УЧРЕЖДЕНИЕ ВЫСШЕГО ОБРАЗОВАНИЯ "САНКТ-ПЕТЕРБУРГСКИЙ ГОСУДАРСТВЕННЫЙ ПЕДИАТРИЧЕСКИЙ МЕДИЦИНСКИЙ УНИВЕРСИТЕТ" МИНИСТЕРСТВА ЗДРАВООХРАНЕНИЯ РОССИЙСКОЙ ФЕДЕРАЦИИ</t>
  </si>
  <si>
    <t>'0372100041325000087'</t>
  </si>
  <si>
    <t>'0087г/т25'</t>
  </si>
  <si>
    <t>Поставку изделий медицинского назначения для эндокринологического отделения в 2025 году</t>
  </si>
  <si>
    <t>Датчик системы мониторинга глюкозы. Система Flash мониторинга глюкозы FreeStyle Libre 2</t>
  </si>
  <si>
    <t>'2490908578525000124'</t>
  </si>
  <si>
    <t>'0847500000925000425'</t>
  </si>
  <si>
    <t>' 0847500000925000425'</t>
  </si>
  <si>
    <t>Поставка комплектов изделий чрескожного мониторинга уровня глюкозы в интерстициальной жидкости, электрохимический метод, в рамках федерального проекта «Борьба с сахарным диабетом» для беременных женщин с сахарным диабетом"</t>
  </si>
  <si>
    <t>"86623097055250001650000 "</t>
  </si>
  <si>
    <t>"32514535982"</t>
  </si>
  <si>
    <t>101ат25</t>
  </si>
  <si>
    <t>'2631819736725001150'</t>
  </si>
  <si>
    <t>'0142200001325004981'</t>
  </si>
  <si>
    <t>'970/25/СНМГ-Б '</t>
  </si>
  <si>
    <t>2470000118025000084'</t>
  </si>
  <si>
    <t>'0145200000425000146'</t>
  </si>
  <si>
    <t>'01452000004250001460001'</t>
  </si>
  <si>
    <t>Поставка в 2025 году комплектов изделий чрескожного мониторинга уровня глюкозы в интерстициальной жидкости</t>
  </si>
  <si>
    <t>'2280112372025000220'</t>
  </si>
  <si>
    <t>'0123200000325000410'</t>
  </si>
  <si>
    <t>'277'</t>
  </si>
  <si>
    <t>Поставка медицинских изделий в рамках мероприятий по обеспечению детей с сахарным диабетом 1 типа в возрасте от 2 до 17 лет системами непрерывного мониторинга глюкозы в рамках федерального проекта "Борьба с сахарным диабетом"</t>
  </si>
  <si>
    <t>'2280112372025000219'</t>
  </si>
  <si>
    <t>'0123200000325000405'</t>
  </si>
  <si>
    <t>'274'</t>
  </si>
  <si>
    <t>'2650102496625000126'</t>
  </si>
  <si>
    <t>'0361200015025000985'</t>
  </si>
  <si>
    <t>'2753612058125000038'</t>
  </si>
  <si>
    <t>"0891200000625001685 "</t>
  </si>
  <si>
    <t>Протокол подведения итогов определения поставщика (подрядчика, исполнителя) № ИЭА1 от 17.03.2025 00:00:00</t>
  </si>
  <si>
    <t>Ф.2025.771685</t>
  </si>
  <si>
    <t>Приобретение расходных медицинских материалов (Комплект изделий чрескожного мониторинга уровня глюкозы в интерстициальной жидкости, электрохимический метод) (00001697-ЭА)</t>
  </si>
  <si>
    <t>'2540310615025000425'</t>
  </si>
  <si>
    <t>'0351200000725000229'</t>
  </si>
  <si>
    <t>ГК 563/25 АЭФ</t>
  </si>
  <si>
    <t>ОБЩЕСТВО С ОГРАНИЧЕННОЙ ОТВЕТСТВЕННОСТЬЮ "ДЕЛО"</t>
  </si>
  <si>
    <t>Дело</t>
  </si>
  <si>
    <t>2583510860625000031'</t>
  </si>
  <si>
    <t>0155200000925000160'</t>
  </si>
  <si>
    <t>'2860103583825000100'</t>
  </si>
  <si>
    <t>"0387200009125000385 "</t>
  </si>
  <si>
    <t>'25000385'</t>
  </si>
  <si>
    <t>Поставка в 2025 году систем непрерывного мониторинга глюкозы для обеспечения детей с сахарным диабетом 1 типа.</t>
  </si>
  <si>
    <t>"57017245682250000460000 "</t>
  </si>
  <si>
    <t>ОБЛАСТНОЕ ГОСУДАРСТВЕННОЕ АВТОНОМНОЕ УЧРЕЖДЕНИЕ ЗДРАВООХРАНЕНИЯ "ОБЛАСТНОЙ ПЕРИНАТАЛЬНЫЙ ЦЕНТР ИМ. И.Д.ЕВТУШЕНКО"</t>
  </si>
  <si>
    <t>"32514650469"</t>
  </si>
  <si>
    <t>2025.70901/55/03-25</t>
  </si>
  <si>
    <t>Поставка систем непрерывного мониторинга глюкозы для нужд ОГАУЗ «ОПЦ им.И.Д.Евтушенко»</t>
  </si>
  <si>
    <t>Лот №1 Поставка систем непрерывного мониторинга глюкозы для нужд ОГАУЗ «ОПЦ им.И.Д.Евтушенко»</t>
  </si>
  <si>
    <t>'2583510860625000030'</t>
  </si>
  <si>
    <t>'0155200000925000163'</t>
  </si>
  <si>
    <t>"55609027223250001720000 "</t>
  </si>
  <si>
    <t>"32514516205"</t>
  </si>
  <si>
    <t>Лот №1 Поставка изделий медицинского назначения (системы чрескожного мониторинга уровня глюкозы) для обеспечения детей с сахарным диабетом 1 типа в возрасте от 2-х до 17 лет</t>
  </si>
  <si>
    <t>'2583510860625000027'</t>
  </si>
  <si>
    <t>пензенская область</t>
  </si>
  <si>
    <t>'0855200000525000443'</t>
  </si>
  <si>
    <t>'2032305651525000030'</t>
  </si>
  <si>
    <t>МИНИСТЕРСТВО ЗДРАВООХРАНЕНИЯ РЕСПУБЛИКИ БУРЯТИЯ</t>
  </si>
  <si>
    <t>'0102200001625000318'</t>
  </si>
  <si>
    <t>'0318'</t>
  </si>
  <si>
    <t>'2402712264525000241'</t>
  </si>
  <si>
    <t>'255-гп-сд/25'</t>
  </si>
  <si>
    <t>Система непрерывного мониторинга глюкозы Hemayonix GS1, модель GS1Sb</t>
  </si>
  <si>
    <t>'2402712264525000242'</t>
  </si>
  <si>
    <t>"202508372000007001000275"</t>
  </si>
  <si>
    <t>'256-гп-сд/25'</t>
  </si>
  <si>
    <t>Система непрерывного мониторинга глюкозы iCan i3 cgm</t>
  </si>
  <si>
    <t>'2420534966425000447'</t>
  </si>
  <si>
    <t>'0139200000125002441'</t>
  </si>
  <si>
    <t>'2553-К-ЭА/25'</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</si>
  <si>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17-ти лет включительно. (приобретение товаров в пользу граждан в целях их социального обеспечения)</t>
  </si>
  <si>
    <t>'2420534966425000450'</t>
  </si>
  <si>
    <t>'0139200000125002444'</t>
  </si>
  <si>
    <t>'2551-К-ЭА/25'</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</si>
  <si>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(приобретение товаров в пользу граждан в целях их социального обеспечения)</t>
  </si>
  <si>
    <t>'2540215512325000644'</t>
  </si>
  <si>
    <t>'0851200000625001200'</t>
  </si>
  <si>
    <t>Протокол подведения итогов определения поставщика (подрядчика, исполнителя) № ИЭА1 от 20.03.2025 00:00:00</t>
  </si>
  <si>
    <t>'25.Ф.2025.1200 У СНМГ СОФ'</t>
  </si>
  <si>
    <t>2025-№355 Поставка медицинских изделий: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</si>
  <si>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sinocare</t>
  </si>
  <si>
    <t>'2631819736725001217'</t>
  </si>
  <si>
    <t>'0142200001325005593'</t>
  </si>
  <si>
    <t>Протокол подведения итогов определения поставщика (подрядчика, исполнителя) № ИЭА1 от 18.03.2025 00:00:00</t>
  </si>
  <si>
    <t>'1021/25/СНМГ-Б'</t>
  </si>
  <si>
    <t>Комплект изделий чрескожного мониторинга уровня глюкозы в интерстициальной жидкости, электрохимический метод. iCan i3</t>
  </si>
  <si>
    <t>'2372901059525000088'</t>
  </si>
  <si>
    <t>'0133200001725000528'</t>
  </si>
  <si>
    <t>Поставка комплектов изделий чрескожного мониторинга уровня глюкозы в интерстициальной жидкости, электрохимический метод в пользу граждан в целях их социального обеспечения для государственных нужд Ивановской области</t>
  </si>
  <si>
    <t>'2165401717025000263'</t>
  </si>
  <si>
    <t>'0111200002425000154'</t>
  </si>
  <si>
    <t>Протокол подведения итогов определения поставщика (подрядчика, исполнителя) № ИЭА1 от 19.03.2025 00:00:00; Протокол подведения итогов электронного аукциона от 19.03.2025г. N 0111200002425000154</t>
  </si>
  <si>
    <t>'2900102453025000097'</t>
  </si>
  <si>
    <t>МИНИСТЕРСТВО ЗДРАВООХРАНЕНИЯ ЗАПОРОЖСКОЙ ОБЛАСТИ</t>
  </si>
  <si>
    <t>Запорожская область</t>
  </si>
  <si>
    <t>'0170500008625000117'</t>
  </si>
  <si>
    <t>' 0170500008625000117'</t>
  </si>
  <si>
    <t>Поставка медицинского изделия: Комплект изделий чрескожного мониторинга уровня глюкозы в интерстициальной жидкости, электрохимический метод</t>
  </si>
  <si>
    <t>ОБЩЕСТВО С ОГРАНИЧЕННОЙ ОТВЕТСТВЕННОСТЬЮ "ФОДИ"</t>
  </si>
  <si>
    <t>Фоди</t>
  </si>
  <si>
    <t>'2900102453025000096'</t>
  </si>
  <si>
    <t>'0170500008625000116'</t>
  </si>
  <si>
    <t>' 0170500008625000116'</t>
  </si>
  <si>
    <t xml:space="preserve">Поставка медицинского изделия: Комплект изделий чрескожного мониторинга уровня глюкозы в интерстициальной жидкости, электрохимический метод </t>
  </si>
  <si>
    <t>'2420534966425000459'</t>
  </si>
  <si>
    <t>'0139200000125002864'</t>
  </si>
  <si>
    <t>'2557-К-ЭА/25'</t>
  </si>
  <si>
    <t>'2890100700625000216'</t>
  </si>
  <si>
    <t>'0190200000325002424'</t>
  </si>
  <si>
    <t>'2424-СНМГ-В-25'</t>
  </si>
  <si>
    <t>"57020016160250002080000"</t>
  </si>
  <si>
    <t>ОБЛАСТНОЕ ГОСУДАРСТВЕННОЕ АВТОНОМНОЕ УЧРЕЖДЕНИЕ ЗДРАВООХРАНЕНИЯ "ТОМСКАЯ ОБЛАСТНАЯ КЛИНИЧЕСКАЯ БОЛЬНИЦА"</t>
  </si>
  <si>
    <t>№ 681 «Поставка медицинских изделий: Датчики системы мониторинга глюкозы» плана закупки № 2240803174</t>
  </si>
  <si>
    <t>2025.366872</t>
  </si>
  <si>
    <t>Поставка медицинских изделий: Датчики системы мониторинга глюкозы</t>
  </si>
  <si>
    <t>'2782001355325000107'</t>
  </si>
  <si>
    <t>САНКТ-ПЕТЕРБУРГСКОЕ ГОСУДАРСТВЕННОЕ БЮДЖЕТНОЕ УЧРЕЖДЕНИЕ ЗДРАВООХРАНЕНИЯ "ГОРОДСКАЯ БОЛЬНИЦА № 38 ИМ.Н.А.СЕМАШКО"</t>
  </si>
  <si>
    <t>'0372200074125000106'</t>
  </si>
  <si>
    <t>Протокол подведения итогов определения поставщика (подрядчика, исполнителя) № ИЭА1 от 21.03.2025; Протокол подведения итогов определения поставщика (подрядчика, исполнителя) № ИЭА1 от 21.03.2025 00:00:00</t>
  </si>
  <si>
    <t>'125000106'</t>
  </si>
  <si>
    <t>Поставка медицинских изделий (Комплект изделий чрескожного мониторинга уровня глюкозы в интерстициальной жидкости, электрохимический метод) для нужд эндокринологического отделения СПб ГБУЗ «Городская больница №38 им. Н.А.Семашко»</t>
  </si>
  <si>
    <t>'2032305651525000033'</t>
  </si>
  <si>
    <t>'0102200001625000348'</t>
  </si>
  <si>
    <t>'0348'</t>
  </si>
  <si>
    <t>Поставка комплектов изделий чрескожного мониторинга уровня глюкозы в интерстициальной жидкости, электрохимический метод при беременности</t>
  </si>
  <si>
    <t>'2434540443525000040'</t>
  </si>
  <si>
    <t>'0340200003325002556'</t>
  </si>
  <si>
    <t>Поставка изделий медицинского назначения (Система непрерывного мониторинга глюкозы) в целях реализация мероприятий по обеспечению беременных женщин с сахарным диабетом, нуждающихся в системах непрерывного мониторирования глюкозы и в рамках реализации федерального проекта «Борьба с сахарным диабетом»</t>
  </si>
  <si>
    <t>Система непрерывного мониторинга глюкозы. FreeStyle Libre</t>
  </si>
  <si>
    <t>'3519215001325000127'</t>
  </si>
  <si>
    <t>'0149200002325000962'</t>
  </si>
  <si>
    <t>'0149200002325000962 (84/25)'</t>
  </si>
  <si>
    <t>'2332500810325000557'</t>
  </si>
  <si>
    <t>'0351200003325000908'</t>
  </si>
  <si>
    <t>'№94089 от 06.03.2025'</t>
  </si>
  <si>
    <t>'291'</t>
  </si>
  <si>
    <t>поставка медицинских изделий (Cистема flash мониторинга глюкозы freestyle libre 2) для обеспечения отдельных категорий граждан, постоянно проживающих на территории Владимирской области, при оказании амбулаторно-поликлинической помощи в целях их социального обеспечения в соответствии с Законом Владимирской области от 02.10.2007 № 120-ОЗ «О социальной поддержке и социальном обслуживании отдельных категорий граждан во Владимирской области» в 2025 году по решению врачебной комиссии (по жизненным показаниям)</t>
  </si>
  <si>
    <t>Система flash мониторинга глюкозы freestyle libre 2 (датчик) "Эбботт Дайабитиз Кэе ЛТД."Соединенное Королевство. РЗН № 2022/16406 от 23 ноября 2023 г.</t>
  </si>
  <si>
    <t>'2301506815925000170'</t>
  </si>
  <si>
    <t>'0825500000725000700'</t>
  </si>
  <si>
    <t>'130/0700'</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</si>
  <si>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</si>
  <si>
    <t>'2650102496625000147'</t>
  </si>
  <si>
    <t>'0361200015025001019'</t>
  </si>
  <si>
    <t>Поставка систем непрерывного мониторинга глюкозы для обеспечения детей с сахарным диабетом 1 типа в возрасте от 2-х до 17-ти лет включительно</t>
  </si>
  <si>
    <t>'2920402328125000260'</t>
  </si>
  <si>
    <t>'0174500001125001362'</t>
  </si>
  <si>
    <t>Протокол подведения итогов определения поставщика (подрядчика, исполнителя) № ИЗК1 от 28.03.2025 00:00:00</t>
  </si>
  <si>
    <t>Поставка Комплектов изделий чрескожного мониторинга уровня глюкозы в интерстициальной жидкости, электрохимический метод для льготной категории граждан</t>
  </si>
  <si>
    <t>2920402328125000261'</t>
  </si>
  <si>
    <t>'0174500001125001091'</t>
  </si>
  <si>
    <t>Протокол подведения итогов определения поставщика (подрядчика, исполнителя) № ИЭА1 от 19.03.2025 00:00:00</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</si>
  <si>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(результат) № 2 «Обеспечение беременные женщины с сахарным диабетом системами непрерывного мониторинга глюкозы» для льготной категории граждан</t>
  </si>
  <si>
    <t>Комплект изделий чрескожного мониторинга уровня глюкозы в интерстициальной жидкости, электрохимический метод. отсутсвует</t>
  </si>
  <si>
    <t>'2272404126025000247'</t>
  </si>
  <si>
    <t>'0122200002525000935'</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</si>
  <si>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льготных категорий граждан Хабаровского края'</t>
  </si>
  <si>
    <t>772201001</t>
  </si>
  <si>
    <t>'2301506815925000172'</t>
  </si>
  <si>
    <t>'0825500000725000716'</t>
  </si>
  <si>
    <t>'132/0716'</t>
  </si>
  <si>
    <t>'2150102475925000007'</t>
  </si>
  <si>
    <t>'0310200000325000509'</t>
  </si>
  <si>
    <t>Реализация мероприятий по обеспечению беременных женщин с сахарным диабетом системами непрерывного мониторинга глюкозы. с целью обеспечения граждан , имеющих право на получение государственной социальной помощи в соответствии с постановлением Правительства Российской Федерации от 30.07.94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t>
  </si>
  <si>
    <t>'2502406865625000830'</t>
  </si>
  <si>
    <t>'0148200005425000116'</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</si>
  <si>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(Р-2, лот 1)</t>
  </si>
  <si>
    <t>'2450102509925000204'</t>
  </si>
  <si>
    <t>'0343200010725000168'</t>
  </si>
  <si>
    <t>'122-к/25'</t>
  </si>
  <si>
    <t>2450102509925000205'</t>
  </si>
  <si>
    <t>'0343200010725000167'</t>
  </si>
  <si>
    <t>'121-к/25'</t>
  </si>
  <si>
    <t>'2450102509925000206'</t>
  </si>
  <si>
    <t>'0343200010725000166'</t>
  </si>
  <si>
    <t>'120-к/25'</t>
  </si>
  <si>
    <t>'2183300285425000427'</t>
  </si>
  <si>
    <t>'0813500000125005355'</t>
  </si>
  <si>
    <t>Комплект изделий чрескожного мониторинга уровня глюкозы в интерстициальной жидкости, электрохимический метод. freestyle libre</t>
  </si>
  <si>
    <t>'2666001041525000321'</t>
  </si>
  <si>
    <t>'0162200011825000348'</t>
  </si>
  <si>
    <t>'01622000118250003480002'</t>
  </si>
  <si>
    <t>ОБЩЕСТВО С ОГРАНИЧЕННОЙ ОТВЕТСТВЕННОСТЬЮ "РУССКАЯ МЕДИЦИНСКАЯ ТЕХНИКА"</t>
  </si>
  <si>
    <t>РусМедТехника</t>
  </si>
  <si>
    <t>'2890100700625000234'</t>
  </si>
  <si>
    <t>'0190200000325002690'</t>
  </si>
  <si>
    <t>'2690-СНМГ-ФБ-Д-25'</t>
  </si>
  <si>
    <t>Поставка Комплект изделий чрескожного мониторинга уровня глюкозы в интерстициальной жидкости, электрохимический метод</t>
  </si>
  <si>
    <t>'2890100700625000228'</t>
  </si>
  <si>
    <t>'0190200000325002666'</t>
  </si>
  <si>
    <t>'2666-СНМГ-В-25'</t>
  </si>
  <si>
    <t>'2890100700625000229'</t>
  </si>
  <si>
    <t>'0190200000325002665'</t>
  </si>
  <si>
    <t>'2665-СНМГ-ФБ-БЖ-25'</t>
  </si>
  <si>
    <t>'2190113011025000345'</t>
  </si>
  <si>
    <t>'0380200000125001315'</t>
  </si>
  <si>
    <t>'2025.1315'</t>
  </si>
  <si>
    <t>Поставка медицинских изделий в пользу граждан в целях их социального обеспечения РЛО (Комплект изделий чрескожного мониторинга уровня глюкозы в интерстициальной жидкости, электрохимический метод) в 2025 году</t>
  </si>
  <si>
    <t>'2583510860625000045'</t>
  </si>
  <si>
    <t>'0855200000525000557'</t>
  </si>
  <si>
    <t>'2502406865625000877'</t>
  </si>
  <si>
    <t>'0348200081025000716'</t>
  </si>
  <si>
    <t>Поставка изделий медицинского назначения для исследования уровня глюкозы в крови методом непрерывного мониторирования (М253879)</t>
  </si>
  <si>
    <t>Протокол подведения итогов определения поставщика (подрядчика, исполнителя) № ИЗК1 от 02.04.2025 00:00:00</t>
  </si>
  <si>
    <t>'2470000118025000116'</t>
  </si>
  <si>
    <t>'0145200000425000205'</t>
  </si>
  <si>
    <t>'01452000004250002050001'</t>
  </si>
  <si>
    <t>Поставка в 2025 году комплектов изделий чрескожного мониторинга уровня глюкозы в интерстициальной жидкости (Часть 2)</t>
  </si>
  <si>
    <t>'2372901059525000113'</t>
  </si>
  <si>
    <t>'0133200001725000585'</t>
  </si>
  <si>
    <t>Протокол подведения итогов определения поставщика (подрядчика, исполнителя) № ИЭА1 от 26.03.2025 00:00:00</t>
  </si>
  <si>
    <t>'2120000088125000141'</t>
  </si>
  <si>
    <t>'0108500000425001136'</t>
  </si>
  <si>
    <t>'0108500000425001136/ЗК'</t>
  </si>
  <si>
    <t>Поставка медицинского изделия «Комплект изделий чрескожного мониторинга уровня глюкозы в интерстициальной жидкости, электрохимический метод» в целях социального обеспечения граждан.</t>
  </si>
  <si>
    <t>0190200000325002676'</t>
  </si>
  <si>
    <t xml:space="preserve"> 2676-СНМГ-ФБ-Д-25'</t>
  </si>
  <si>
    <t>'2372901059525000110'</t>
  </si>
  <si>
    <t>'0133200001725000556'</t>
  </si>
  <si>
    <t>Протокол подведения итогов определения поставщика (подрядчика, исполнителя) № ИЭА1 от 25.03.2025 00:00:00</t>
  </si>
  <si>
    <t xml:space="preserve">Комплект изделий чрескожного мониторинга уровня глюкозы в интерстициальной жидкости, электрохимический метод. Hematonix </t>
  </si>
  <si>
    <t>'2645504666625000542'</t>
  </si>
  <si>
    <t>'0860200000825001268'</t>
  </si>
  <si>
    <t>'2645504666625000557'</t>
  </si>
  <si>
    <t>'0860200000825001266'</t>
  </si>
  <si>
    <t>'0384200001825000013'</t>
  </si>
  <si>
    <t>Протокол подведения итогов определения поставщика № ИЗТ1 от 03.04.2025 00:00:00</t>
  </si>
  <si>
    <t>'94'</t>
  </si>
  <si>
    <t>Комплект изделий чрескожного мониторинга уровня глюкозы в интерстициальной жидкости, электрохимический метод. FREESTYLE LIBRE</t>
  </si>
  <si>
    <t>'2410117335025000129'</t>
  </si>
  <si>
    <t>'0338200013925000099'</t>
  </si>
  <si>
    <t>Поставка систем непрерывного мониторинга глюкозы для обеспечения нуждающихся беременных женщин в пользу граждан в целях их социального обеспечения.</t>
  </si>
  <si>
    <t>'2410117335025000128'</t>
  </si>
  <si>
    <t>'0338200013925000098'</t>
  </si>
  <si>
    <t>Протокол подведения итогов определения поставщика (подрядчика, исполнителя) № ИЭА1 от 28.03.2025 00:00:00</t>
  </si>
  <si>
    <t>Поставка систем непрерывного мониторинга глюкозы для обеспечения детей с сахарным диабетом 1 типа в целях их социального обеспечения</t>
  </si>
  <si>
    <t>'2332902556525000153'</t>
  </si>
  <si>
    <t>'0128200000125001040'</t>
  </si>
  <si>
    <t>Система чрескожного мониторинга уровня глюкозы в интерстициальной жидкости, электрохимический метод. Датчик FreeStyle Libre системы Flash мониторинга глюкозы FreeStyle Libre</t>
  </si>
  <si>
    <t>'2120000088125000145'</t>
  </si>
  <si>
    <t>'0108500000425001134'</t>
  </si>
  <si>
    <t>'0108500000425001134/ЗК'</t>
  </si>
  <si>
    <t>'2110148713525000217'</t>
  </si>
  <si>
    <t>'0307200022425000156'</t>
  </si>
  <si>
    <t>ЭА-202к-25</t>
  </si>
  <si>
    <t>Поставка медицинских изделий (электрод игольчатый системы чрескожного мониторинга уровня глюкозы в интерстициальной жидкости) для нужд отделения эндокринологии ГБУЗ РК «Коми республиканская клиническая больница» (ЭА-202к)</t>
  </si>
  <si>
    <t>'2772009352325000864'</t>
  </si>
  <si>
    <t>'0373200022225000623'</t>
  </si>
  <si>
    <t>Протокол подведения итогов определения поставщика (подрядчика, исполнителя) № ИЗК1 от 07.04.2025;0373200022225000623-1-645567</t>
  </si>
  <si>
    <t>Электронный запрос котировок на поставку расходных материалов для отделения эндокринологии (Этап 3) в 2025 году для нужд ГБУЗ МКНЦ имени А.С. Логинова ДЗМ</t>
  </si>
  <si>
    <t>ОБЩЕСТВО С ОГРАНИЧЕННОЙ ОТВЕТСТВЕННОСТЬЮ "СМАРТМЕДТРЕЙД"</t>
  </si>
  <si>
    <t>Смартмедтрейд</t>
  </si>
  <si>
    <t>2301506815925000193'</t>
  </si>
  <si>
    <t>'0825500000725000813'</t>
  </si>
  <si>
    <t>'147/0813'</t>
  </si>
  <si>
    <t>Комплект изделий чрескожного мониторинга уровня глюкозы в интерстициальной жидкости, электрохимический метод. Товарный знак: отсутствует</t>
  </si>
  <si>
    <t>'2301506815925000193'</t>
  </si>
  <si>
    <t>'2561207412825000177'</t>
  </si>
  <si>
    <t>'0853500000325002140'</t>
  </si>
  <si>
    <t>На поставку медицинских изделий:  Комплект изделий чрескожного мониторинга уровня глюкозы в интерстициальной жидкости, электрохимический метод для обеспечения льготных категорий граждан</t>
  </si>
  <si>
    <t>'2720300024925000573'</t>
  </si>
  <si>
    <t>'0367200000125000040'</t>
  </si>
  <si>
    <t>'1154РМ/25'</t>
  </si>
  <si>
    <t>'2920402328125000290'</t>
  </si>
  <si>
    <t>'0174500001125001267'</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</si>
  <si>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по обеспечению Детей с сахарным диабетом 1 типа в возрасте от 2-х до 17-ти лет системами непрерывного мониторинга глюкозы для льготной категории граждан</t>
  </si>
  <si>
    <t>Комплект изделий чрескожного мониторинга уровня глюкозы в интерстициальной жидкости, электрохимический метод. Товарный знак: Hematonix</t>
  </si>
  <si>
    <t>'2702102165325000208'</t>
  </si>
  <si>
    <t>'0165100007925000130'</t>
  </si>
  <si>
    <t>НМГ.1130</t>
  </si>
  <si>
    <t>'2060700033025000001'</t>
  </si>
  <si>
    <t>'0114500000825000639'</t>
  </si>
  <si>
    <t>Протокол подведения итогов определения поставщика (подрядчика, исполнителя) № ИЭА1 от 02.04.2025 00:00:00</t>
  </si>
  <si>
    <t>'639'</t>
  </si>
  <si>
    <t>Поставка комплекта изделий чрескожного мониторинга уровня глюкозы в интерстициальной жидкости</t>
  </si>
  <si>
    <t>Комплект изделий чрескожного мониторинга уровня глюкозы в интерстициальной жидкости, электрохимический метод. Товарный знак: FreeStyle Libre</t>
  </si>
  <si>
    <t>'2860103583825000215'</t>
  </si>
  <si>
    <t>'0387200009125000940'</t>
  </si>
  <si>
    <t>'25000940'</t>
  </si>
  <si>
    <t>'2190113011025000350'</t>
  </si>
  <si>
    <t>'0380200000125001463'</t>
  </si>
  <si>
    <t>'2025.1463'</t>
  </si>
  <si>
    <t>Поставка изделий медицинского назначения в пользу граждан в целях их социального обеспечения, беременных женщин с сахарным диабетом системами непрерывного мониторинга глюкозы в 2025 году</t>
  </si>
  <si>
    <t>'2450102465925000117'</t>
  </si>
  <si>
    <t>'0843500000225001067'</t>
  </si>
  <si>
    <t>Комплект изделий чрескожного мониторинга уровня глюкозы в интерстициальной жидкости, электрохимический метод. Товарный знак: TouchCare</t>
  </si>
  <si>
    <t>'2450102465925000116'</t>
  </si>
  <si>
    <t>'0843500000225001028'</t>
  </si>
  <si>
    <t>'2650102496625000193'</t>
  </si>
  <si>
    <t>'0361200015025001455'</t>
  </si>
  <si>
    <t>Комплект изделий чрескожного мониторинга уровня глюкозы в интерстициальной жидкости, электрохимический метод. Товарный знак: Sinocare</t>
  </si>
  <si>
    <t>'2683202476625000136'</t>
  </si>
  <si>
    <t>'0164200001925000805'</t>
  </si>
  <si>
    <t>Поставка комплекта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</si>
  <si>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FreeStyle Libre</t>
  </si>
  <si>
    <t>'2683202476625000134'</t>
  </si>
  <si>
    <t>'0164200001925000802'</t>
  </si>
  <si>
    <t>Поставка системы непрерывного мониторинга глюкозы для обеспечения детей с сахарным диабетом в возрасте от 2х до 4х лет</t>
  </si>
  <si>
    <t>'2666001041525000332'</t>
  </si>
  <si>
    <t>'0162200011825000347'</t>
  </si>
  <si>
    <t>'01622000118250003470003'</t>
  </si>
  <si>
    <t>ОБЩЕСТВО С ОГРАНИЧЕННОЙ ОТВЕТСТВЕННОСТЬЮ "НЬЮМЕДТЕХ"</t>
  </si>
  <si>
    <t>Ньюмедтех</t>
  </si>
  <si>
    <t>'2027415782125000723'</t>
  </si>
  <si>
    <t>'0801200000225000588'</t>
  </si>
  <si>
    <t>' 0801200000225000588'</t>
  </si>
  <si>
    <t>"56619002149250002550000"</t>
  </si>
  <si>
    <t>ГОСУДАРСТВЕННОЕ АВТОНОМНОЕ УЧРЕЖДЕНИЕ ЗДРАВООХРАНЕНИЯ СВЕРДЛОВСКОЙ ОБЛАСТИ "КРАСНОУФИМСКАЯ РАЙОННАЯ БОЛЬНИЦА"</t>
  </si>
  <si>
    <t>"32514629477"</t>
  </si>
  <si>
    <t>'2540215512325000773'</t>
  </si>
  <si>
    <t>'0851200000625001480'</t>
  </si>
  <si>
    <t>Протокол подведения итогов определения поставщика (подрядчика, исполнителя) № ИЭА1 от 03.04.2025 00:00:00</t>
  </si>
  <si>
    <t>'25.Ф.2025.1480 У СНМГ СОФ '</t>
  </si>
  <si>
    <t>2025-№428 Поставка медицинских изделий: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</si>
  <si>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FreeStyle Libre</t>
  </si>
  <si>
    <t>'2132512662525000203'</t>
  </si>
  <si>
    <t>'0809500000325000946'</t>
  </si>
  <si>
    <t>'08095000003250009460001'</t>
  </si>
  <si>
    <t>закупка медицинских изделий (Комплект изделий чрескожного мониторинга уровня глюкозы в интерстициальной жидкости, электрохимический метод), в рамках мероприятий по обеспечению детей с сахарным диабетом 1 типа в возрасте от 2-х до 17-ти лет включительно системами непрерывного мониторинга глюкозы, в рамках реализации федерального проекта «Борьба с сахарным диабетом» государственной программы Российской Федерации «Развитие здравоохранения»</t>
  </si>
  <si>
    <t>'2773409151925000564'</t>
  </si>
  <si>
    <t>'0373200011425000451'</t>
  </si>
  <si>
    <t>'0373200011425000451-692525-1172785'</t>
  </si>
  <si>
    <t>Поставка датчиков для отделения эндокринологии</t>
  </si>
  <si>
    <t>'2190113011025000358'</t>
  </si>
  <si>
    <t>'0380200000125001515'</t>
  </si>
  <si>
    <t>'2025.1515'</t>
  </si>
  <si>
    <t>Поставка изделий медицинского назначения в пользу граждан в целях их социального обеспечения, детей с сахарным диабетом 1 типа в возрасте от 2-х до 17-ти лет включительно системами непрерывного мониторинга глюкозы в 2025 году</t>
  </si>
  <si>
    <t>'2380817232725000378'</t>
  </si>
  <si>
    <t>'0134200000125001407'</t>
  </si>
  <si>
    <t>Протокол подведения итогов определения поставщика (подрядчика, исполнителя) № ИЭА1 от 04.04.2025 00:00:00</t>
  </si>
  <si>
    <t>'954/СахДиаб/Д/1407-ЭА/25'</t>
  </si>
  <si>
    <t>'2771433860925003149'</t>
  </si>
  <si>
    <t>'0873200009825000693'</t>
  </si>
  <si>
    <t>'154/2025-КСЕ'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</si>
  <si>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(СНМГ2025-5)</t>
  </si>
  <si>
    <t>'2602702400025000278'</t>
  </si>
  <si>
    <t>'0357200022825000158'</t>
  </si>
  <si>
    <t>'03572000228250001580001'</t>
  </si>
  <si>
    <t>'2150102475925000009'</t>
  </si>
  <si>
    <t>'0310200000325000744'</t>
  </si>
  <si>
    <t>Реализация мероприятий по обеспечению  беременных женщин с сахарным диабетом системами непрерывного мониторинга глюкозы. с целью обеспечения граждан , имеющих   право на получение государственной социальной помощи в соответствии с постановлением Правительства Российской Федерации от 30.07.94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t>
  </si>
  <si>
    <t>'2010502343925000087'</t>
  </si>
  <si>
    <t>'0176200005525000510'</t>
  </si>
  <si>
    <t>'0176200005525000510-анализаторы'</t>
  </si>
  <si>
    <t>поставка изделий медицинского назначения</t>
  </si>
  <si>
    <t>'2690201017425000385'</t>
  </si>
  <si>
    <t>ГОСУДАРСТВЕННОЕ БЮДЖЕТНОЕ УЧРЕЖДЕНИЕ ЗДРАВООХРАНЕНИЯ ТВЕРСКОЙ ОБЛАСТИ "ОБЛАСТНАЯ КЛИНИЧЕСКАЯ БОЛЬНИЦА"</t>
  </si>
  <si>
    <t>'0336200029025000080'</t>
  </si>
  <si>
    <t>' 0336200029025000080'</t>
  </si>
  <si>
    <t>0105023439</t>
  </si>
  <si>
    <t>'2320100032725000261'</t>
  </si>
  <si>
    <t>'5-ЕП-2025'</t>
  </si>
  <si>
    <t>Поставка изделий медицинского назначения (Система мониторинга уровня глюкозы для детей) для обеспечения органа власти Брянской области в сфере здравоохранения для обеспечения льготных категорий граждан Брянской области</t>
  </si>
  <si>
    <t>'2720207019425000169'</t>
  </si>
  <si>
    <t>'0167200003425001981'</t>
  </si>
  <si>
    <t>'500К/25'</t>
  </si>
  <si>
    <t>поставка медицинских изделий: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</si>
  <si>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TouchCare /РАСТОРГНУТ/</t>
  </si>
  <si>
    <t>'2710500830625000185'</t>
  </si>
  <si>
    <t>'0366200000225000036'</t>
  </si>
  <si>
    <t>'2025.000036'</t>
  </si>
  <si>
    <t>'2631819736725001501'</t>
  </si>
  <si>
    <t>'0142200001325007275'</t>
  </si>
  <si>
    <t>'1110/25/СД 2-17'</t>
  </si>
  <si>
    <t>Поставка изделий медицинского назначения для больных сахарным диабетом, в рамках льготного обеспечения на 2025год (п25-02-2351).</t>
  </si>
  <si>
    <t>'2780804383325000292'</t>
  </si>
  <si>
    <t>'0172200001925000217'</t>
  </si>
  <si>
    <t>Поставка № 347 медицинского изделия КОМПЛЕКТ ИЗДЕЛИЙ ЧРЕЗКОЖНОГО МОНИТОРИНГА УРОВНЯ ГЛЮКОЗЫ В ИНТЕРСТИЦИАЛЬНОЙ ЖИДКОСТИ, ЭЛЕКТРОХИМИЧЕСКИЙ МЕТОД для обеспечения отдельных категорий граждан в 2025 году</t>
  </si>
  <si>
    <t>2380817232725000391'</t>
  </si>
  <si>
    <t>'0134200000125001313'</t>
  </si>
  <si>
    <t>'952/СахДиаб/Б/1313-ЭА/25'</t>
  </si>
  <si>
    <t>БОГДАНОВ ЮРЬЕВИЧ КОНСТАНТИН</t>
  </si>
  <si>
    <t>'2420534966425000545'</t>
  </si>
  <si>
    <t>'0839500000225000035'</t>
  </si>
  <si>
    <t>'62-ЗК/25'</t>
  </si>
  <si>
    <t>'2246621260725000546'</t>
  </si>
  <si>
    <t>'0119200000125005013'</t>
  </si>
  <si>
    <t>Протокол подведения итогов определения поставщика (подрядчика, исполнителя) № ИЭА1 от 07.04.2025 00:00:00</t>
  </si>
  <si>
    <t>'2025/28/2'</t>
  </si>
  <si>
    <t>ЭА-№-5693/25 «Комплект изделий чрескожного мониторинга уровня глюкозы в интерстициальной жидкости, электрохимический метод»</t>
  </si>
  <si>
    <t>'2170105270725000230'</t>
  </si>
  <si>
    <t>'0112200000825001523'</t>
  </si>
  <si>
    <t>'2025.1523'</t>
  </si>
  <si>
    <t>Поставка комплектов изделий чрескожного мониторинга уровня глюкозы в интерстициальной жидкости для обеспечения нуждающихся беременных женщин.</t>
  </si>
  <si>
    <t>'2450102509925000239'</t>
  </si>
  <si>
    <t>'0843500000225001753'</t>
  </si>
  <si>
    <t>'160-к/25'</t>
  </si>
  <si>
    <t>Комплект изделий чрескожного мониторинга уровня глюкозы в интерстициальной жидкости, электрохимический метод. Товарный знак: sinocare</t>
  </si>
  <si>
    <t>'2575306130825000107'</t>
  </si>
  <si>
    <t>'0154200000725000276'</t>
  </si>
  <si>
    <t>'1/а-НМГ25 '</t>
  </si>
  <si>
    <t>Закупка медицинских изделий с целью реализации мероприятий по обеспечению детей с сахарным диабетом 1 типа в возрасте от 2-х до 17-ти лет включительно системами непрерывного мониторинга глюкозы в рамках федерального проекта "Борьба с сахарным диабетом" в 2025 году. Медицинские изделия</t>
  </si>
  <si>
    <t>'2132512662525000214'</t>
  </si>
  <si>
    <t>'0809500000325000929'</t>
  </si>
  <si>
    <t>'08095000003250009290001'</t>
  </si>
  <si>
    <t>'Закупка медицинских изделий (Комплект изделий чрескожного мониторинга уровня глюкозы в интерстициальной жидкости, электрохимический метод), в рамках мероприятий по обеспечению нуждающихся беременных женщин с сахарным диабетом системами непрерывного мониторинга глюкозы в рамках федерального проекта «Борьба с сахарным диабетом» государственной программы Российской Федерации «Развитие здравоохранения»'</t>
  </si>
  <si>
    <t>'2060101115925000042'</t>
  </si>
  <si>
    <t>'0114500000825000657'</t>
  </si>
  <si>
    <t>'0657'</t>
  </si>
  <si>
    <t>Системы непрерывного мониторинга глюкозы у детей с сахарным диабетом 1 типа в возрасте от 2-х до 17-ти лет.</t>
  </si>
  <si>
    <t>Lumiflex Linx</t>
  </si>
  <si>
    <t>'2263300425325000037'</t>
  </si>
  <si>
    <t>'0121200004725000161'</t>
  </si>
  <si>
    <t>2860103583825000292'</t>
  </si>
  <si>
    <t>'0387200009125001285'</t>
  </si>
  <si>
    <t>'25001285'</t>
  </si>
  <si>
    <t>Поставка в 2025 году систем непрерывного мониторинга глюкозы для обеспечения детей с сахарным диабетом 1 типа</t>
  </si>
  <si>
    <t>Комплект изделий чрескожного мониторинга уровня глюкозы в интерстициальной жидкости, электрохимический метод. Товарный знак: Система непрерывного мониторинга глюкозы Lumiflex Linx</t>
  </si>
  <si>
    <t>'2575306130825000121'</t>
  </si>
  <si>
    <t>'0154200000725000287'</t>
  </si>
  <si>
    <t>'2/а-НМГ25б'</t>
  </si>
  <si>
    <t>Закупка медицинских изделий с целью реализации мероприятий по обеспечению нуждающихся беременных женщин системами непрерывного мониторинга глюкозы в рамках федерального проекта "Борьба с сахарным диабетом" в 2025 году. Медицинские изделия</t>
  </si>
  <si>
    <t>2434701856225000086'</t>
  </si>
  <si>
    <t>'0340200003325003939'</t>
  </si>
  <si>
    <t>'03402000033250039390001'</t>
  </si>
  <si>
    <t>'2532102896025000207'</t>
  </si>
  <si>
    <t>'0150200003925000294'</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</si>
  <si>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</si>
  <si>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iCan i3</t>
  </si>
  <si>
    <t>'2420534966425000554'</t>
  </si>
  <si>
    <t>'0839500000225000034'</t>
  </si>
  <si>
    <t>'51-ЭА/25'</t>
  </si>
  <si>
    <t>ОБЩЕСТВО С ОГРАНИЧЕННОЙ ОТВЕТСТВЕННОСТЬЮ "АГАРУ"</t>
  </si>
  <si>
    <t>'2890100700625000269'</t>
  </si>
  <si>
    <t>'0190200000325003649'</t>
  </si>
  <si>
    <t>'3649-СНМГ-ФБ-БЖ-25'</t>
  </si>
  <si>
    <t>Поставка медицинских изделий Комплект изделий чрескожного мониторинга уровня глюкозы в интерстициальной жидкости, электрохимический метод</t>
  </si>
  <si>
    <t>'2027415782125000824'</t>
  </si>
  <si>
    <t>'0801200000225000569'</t>
  </si>
  <si>
    <t>Поставка комплекта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</si>
  <si>
    <t>'2100104678625000271'</t>
  </si>
  <si>
    <t>'0306200010225000209'</t>
  </si>
  <si>
    <t>Протокол подведения итогов определения поставщика (подрядчика, исполнителя) № ИЭА1 от 11.04.2025 00:00:00</t>
  </si>
  <si>
    <t>' 0306200010225000209'</t>
  </si>
  <si>
    <t>Поставка Комплект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2025 году (для социального обеспечения отдельных категорий граждан)</t>
  </si>
  <si>
    <t>'2090102408525000203'</t>
  </si>
  <si>
    <t>'0179200001725000124'</t>
  </si>
  <si>
    <t>Поставка системы непрерывного мониторинга глюкозы (ФП "БСД" до 4х л.)</t>
  </si>
  <si>
    <t>'2673101866025000120'</t>
  </si>
  <si>
    <t>'0163200000325001669'</t>
  </si>
  <si>
    <t>'0791-аэф/т/'</t>
  </si>
  <si>
    <t>0791-аэф/т/ Поставка комплектов изделий чрескожного мониторинга уровня глюкозы в интерстициальной жидкости, электрохимический метод для нужд ОГБУЗ "СОДКБ"</t>
  </si>
  <si>
    <t>'2673101866025000119'</t>
  </si>
  <si>
    <t>'0163200000325001624'</t>
  </si>
  <si>
    <t>'0768-аэф/т'</t>
  </si>
  <si>
    <t>0768-аэф/т/ Поставка комплектов изделий чрескожного мониторинга уровня глюкозы в интерстициальной жидкости, электрохимический метод для нужд ОГБУЗ "СОДКБ"</t>
  </si>
  <si>
    <t>'2120000088125000192'</t>
  </si>
  <si>
    <t>'0108500000425001606'</t>
  </si>
  <si>
    <t>'0108500000425001606/ЗК'</t>
  </si>
  <si>
    <t>'2027400111925000163'</t>
  </si>
  <si>
    <t>ГОСУДАРСТВЕННОЕ БЮДЖЕТНОЕ УЧРЕЖДЕНИЕ ЗДРАВООХРАНЕНИЯ "РЕСПУБЛИКАНСКАЯ ДЕТСКАЯ КЛИНИЧЕСКАЯ БОЛЬНИЦА"</t>
  </si>
  <si>
    <t>'0301200042325000119'</t>
  </si>
  <si>
    <t>'119'</t>
  </si>
  <si>
    <t>Поставка медицинских изделий (Комплект изделий чрескожного мониторинга уровня глюкозы в интерстициальной жидкости, электрохимический метод)  в ГБУЗ РДКБ на 2025 год</t>
  </si>
  <si>
    <t>'2254001845425000213'</t>
  </si>
  <si>
    <t>'0820500000825001956'</t>
  </si>
  <si>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беременных женщин с сахарным диабетом системами непрерывного мониторинга глюкозы</t>
  </si>
  <si>
    <t>Комплект изделий чрескожного мониторинга уровня глюкозы в интерстициальной жидкости, электрохимический метод. Товарный знак: Lumiflex</t>
  </si>
  <si>
    <t>ОБЩЕСТВО С ОГРАНИЧЕННОЙ ОТВЕТСТВЕННОСТЬЮ  "САНДА-ФАРМ"</t>
  </si>
  <si>
    <t>Санда Фарм</t>
  </si>
  <si>
    <t>'2420534966425000577'</t>
  </si>
  <si>
    <t>'0139200000125004285'</t>
  </si>
  <si>
    <t>'8485-П-ЭА/25'</t>
  </si>
  <si>
    <t>'2041110036125000100'</t>
  </si>
  <si>
    <t>'0377200009925000081'</t>
  </si>
  <si>
    <t>'25.12.2025'</t>
  </si>
  <si>
    <t>'2263300425325000038'</t>
  </si>
  <si>
    <t>'0121200004725000150'</t>
  </si>
  <si>
    <t>'2263300425325000039'</t>
  </si>
  <si>
    <t>'0121200004725000145'</t>
  </si>
  <si>
    <t>'2760404472625000080'</t>
  </si>
  <si>
    <t>'0171200001925001217'</t>
  </si>
  <si>
    <t>'554мг-2025/ГК'</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</si>
  <si>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в возрасте  от 2-х до 17-ти лет</t>
  </si>
  <si>
    <t>'2760404472625000081'</t>
  </si>
  <si>
    <t>'0171200001925001188'</t>
  </si>
  <si>
    <t>'553мг-2025/ГК'</t>
  </si>
  <si>
    <t>'2760404472625000082'</t>
  </si>
  <si>
    <t>'0171200001925001185'</t>
  </si>
  <si>
    <t>'552мг-2025/ГК'</t>
  </si>
  <si>
    <t>поставка медицинских изделий (Комплект изделий чрескожного мониторинга уровня глюкозы в интерстициальной жидкости, электрохимический метод)</t>
  </si>
  <si>
    <t>'2540215512325000872'</t>
  </si>
  <si>
    <t>'0351200003325000902'</t>
  </si>
  <si>
    <t>Протокол подведения итогов определения поставщика (подрядчика, исполнителя) № ИЭА1 от 15.04.2025 00:00:00</t>
  </si>
  <si>
    <t>'25.Ф.2025.0902 СНМГ СОФ'</t>
  </si>
  <si>
    <t>2025-№745 Поставка медицинских изделий: Комплект изделий чрескожного мониторинга уровня глюкозы в интерстициальной жидкости, электрохимический метод</t>
  </si>
  <si>
    <t>'2246621260725000578'</t>
  </si>
  <si>
    <t>'0119200000125006167'</t>
  </si>
  <si>
    <t>Протокол подведения итогов определения поставщика (подрядчика, исполнителя) № ИЭА1 от 16.04.2025 00:00:00</t>
  </si>
  <si>
    <t>'2025/16/717'</t>
  </si>
  <si>
    <t>ЭА-№-4200/25 «Комплект изделий чрескожного мониторинга уровня глюкозы в интерстициальной жидкости, электрохимический метод»</t>
  </si>
  <si>
    <t>'2081602584225000009'</t>
  </si>
  <si>
    <t>'0105200000625000001'</t>
  </si>
  <si>
    <t>Протокол подведения итогов определения поставщика № ИЗТ1 от 23.04.2025 00:00:00</t>
  </si>
  <si>
    <t>'18/25'</t>
  </si>
  <si>
    <t>'2027415782125000845'</t>
  </si>
  <si>
    <t>'0101500000325000085'</t>
  </si>
  <si>
    <t>' 0101500000325000085'</t>
  </si>
  <si>
    <t>Комплект изделий чрескожного мониторинга уровня глюкозы в интерстициальной жидкости, электрохимический метод (национальный проект "Продолжительная и активная жизнь")</t>
  </si>
  <si>
    <t>'2550303130025000071'</t>
  </si>
  <si>
    <t>'0852500000125001266'</t>
  </si>
  <si>
    <t>к.1266.25</t>
  </si>
  <si>
    <t>Поставка системы чрескожного мониторинга уровня глюкозы в интерстициальной жидкости, электрохимический метод (Реестровый номер 250739)</t>
  </si>
  <si>
    <t>'2720300024925000666'</t>
  </si>
  <si>
    <t>'0167200003425002553'</t>
  </si>
  <si>
    <t>Протокол подведения итогов определения поставщика (подрядчика, исполнителя) № ИЭА1 от 17.04.2025 00:00:00</t>
  </si>
  <si>
    <t>'1224РМ/25'</t>
  </si>
  <si>
    <t>Поставка медицинских изделий: Комплект изделий чрескожного мониторинга уровня глюкозы в интерстициальной жидкости, электрохимический метод</t>
  </si>
  <si>
    <t>'2550400463825000214'</t>
  </si>
  <si>
    <t>0852500000125001267'</t>
  </si>
  <si>
    <t>'08525000001250012670001'</t>
  </si>
  <si>
    <t>'Поставка медицинских изделий (Реестровый номер 250805)'</t>
  </si>
  <si>
    <t>'2690504495025000545'</t>
  </si>
  <si>
    <t>'0136500001125002304'</t>
  </si>
  <si>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</si>
  <si>
    <t>'2690504495025000551'</t>
  </si>
  <si>
    <t>'0136500001125002202'</t>
  </si>
  <si>
    <t>Поставка медицинских изделий (Комплект изделий чрескожного мониторинга уровня глюкозы в интерстициальной жидкости, электрохимический метод) на 2025 год</t>
  </si>
  <si>
    <t>"57202100650250000420000 "</t>
  </si>
  <si>
    <t>ГОСУДАРСТВЕННОЕ АВТОНОМНОЕ УЧРЕЖДЕНИЕ ЗДРАВООХРАНЕНИЯ ТЮМЕНСКОЙ ОБЛАСТИ "ГОРОДСКАЯ ПОЛИКЛИНИКА № 8"</t>
  </si>
  <si>
    <t>"32514806914"</t>
  </si>
  <si>
    <t>ЕП-23/25</t>
  </si>
  <si>
    <t>Поставка датчика системы Flash-мониторинга глюкозы FreeStyle Libre 2</t>
  </si>
  <si>
    <t>Лот №1 Поставка датчика системы Flash-мониторинга глюкозы FreeStyle Libre 2</t>
  </si>
  <si>
    <t>'2771303416425000298'</t>
  </si>
  <si>
    <t>'0373200001325000387'</t>
  </si>
  <si>
    <t>'387'</t>
  </si>
  <si>
    <t>'2771433860925003545'</t>
  </si>
  <si>
    <t>'0873200009825000783'</t>
  </si>
  <si>
    <t>'192/2025-КСЕ'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</si>
  <si>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(СНМГ2025-6)</t>
  </si>
  <si>
    <t>'2380817232725000431'</t>
  </si>
  <si>
    <t>'0134200000125001698'</t>
  </si>
  <si>
    <t>Протокол подведения итогов определения поставщика (подрядчика, исполнителя) № ИЭА1 от 18.04.2025 00:00:00</t>
  </si>
  <si>
    <t>'1040/СахДиаб/Д/1698-ЭА/25'</t>
  </si>
  <si>
    <t>'2623102512325000388'</t>
  </si>
  <si>
    <t>'0859200001125004343'</t>
  </si>
  <si>
    <t>'08592000011250043430001'</t>
  </si>
  <si>
    <t>'1381102209625000148'</t>
  </si>
  <si>
    <t>'0334100017625000105'</t>
  </si>
  <si>
    <t>Поставка комплекта изделий чрескожного мониторинга уровня глюкозы в интерстициальной жидкости, электрохимический метод, для отделений Клиник ФГБОУ ВО ИГМУ Минздрава России в 2025 году</t>
  </si>
  <si>
    <t>'2616304981425000360'</t>
  </si>
  <si>
    <t>'0158200001325000593'</t>
  </si>
  <si>
    <t>'25000593'</t>
  </si>
  <si>
    <t>Закупка медицинских изделий для обеспечения детей с сахарным диабетом 1 типа в возрасте от 2-х до 17-ти лет включительно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</si>
  <si>
    <t>'2550704526225000046'</t>
  </si>
  <si>
    <t>'0852500000125001275'</t>
  </si>
  <si>
    <t>'2025.250900'</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</si>
  <si>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(Реестровый номер 250900)</t>
  </si>
  <si>
    <t>'2366603133525000375'</t>
  </si>
  <si>
    <t>'0131200001025002731'</t>
  </si>
  <si>
    <t>ЭА.2025.2731</t>
  </si>
  <si>
    <t>2025-03025//.Поставка комплекта изделий чрескожного мониторинга уровня глюкозы в интерстициальной жидкости,электрохимический метод.</t>
  </si>
  <si>
    <t>'2366603133525000374'</t>
  </si>
  <si>
    <t>'0131200001025002730'</t>
  </si>
  <si>
    <t>ЭА.2025.2730</t>
  </si>
  <si>
    <t>2025-03024//.Поставка комплекта изделий чрескожного мониторинга уровня глюкозы в интерстициальной жидкости,электрохимический метод.</t>
  </si>
  <si>
    <t>2550501364225000053'</t>
  </si>
  <si>
    <t>'0852500000125001274'</t>
  </si>
  <si>
    <t>ЭА.2025.1274</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</si>
  <si>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(Реестровый номер 250940)</t>
  </si>
  <si>
    <t>2320100491725000301'</t>
  </si>
  <si>
    <t>'358-ЕП'</t>
  </si>
  <si>
    <t>Закупка в целях обеспечения детей с сахарным диабетом 1 типа в возрасте от 2-х до 17-ти лет включительно системами непрерывного мониторинга глюкозы (в целях их социального обеспечения)</t>
  </si>
  <si>
    <t>'2320100491725000301'</t>
  </si>
  <si>
    <t>'2616304981425000361'</t>
  </si>
  <si>
    <t>0158200001325000594'</t>
  </si>
  <si>
    <t>'25000594'</t>
  </si>
  <si>
    <t>'0158200001325000594'</t>
  </si>
  <si>
    <t>'2332500810325000663'</t>
  </si>
  <si>
    <t>'2400500000325000428'</t>
  </si>
  <si>
    <t>Протокол подведения итогов определения поставщика (подрядчика, исполнителя) № ИЗК1 от 28.04.2025 00:00:00</t>
  </si>
  <si>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детей с сахарным диабетом 1 типа системами непрерывного мониторинга глюкозы в 2025 году.</t>
  </si>
  <si>
    <t>'2190113011025000385'</t>
  </si>
  <si>
    <t>'0380200000125002053'</t>
  </si>
  <si>
    <t>'2025.2053'</t>
  </si>
  <si>
    <t>'2143536061025000383'</t>
  </si>
  <si>
    <t>'0816500000625005797'</t>
  </si>
  <si>
    <t>Комплект изделий чрескожного мониторинга уровня глюкозы в интерстициальной жидкости, электрохимический метод. Товарный знак: Changsha Sinocare Inc.</t>
  </si>
  <si>
    <t>'2463228633725000257'</t>
  </si>
  <si>
    <t>'0744200000225003391'</t>
  </si>
  <si>
    <t>Поставка медицинских изделий - Комплект изделий чрескожного мониторинга уровня глюкозы в интерстициальной жидкости, электрохимический метод</t>
  </si>
  <si>
    <t xml:space="preserve">Комплект изделий чрескожного мониторинга уровня глюкозы в интерстициальной жидкости, электрохимический метод. Товарный знак: Syai </t>
  </si>
  <si>
    <t>'2540215512325000945'</t>
  </si>
  <si>
    <t>'0351200003325000975'</t>
  </si>
  <si>
    <t>Протокол подведения итогов определения поставщика (подрядчика, исполнителя) № ИЭА1 от 24.04.2025 00:00:00</t>
  </si>
  <si>
    <t>'25.Ф.2025.0975 СНМГ СОФ'</t>
  </si>
  <si>
    <t>2025-№1024 Поставка медицинских изделий: Комплект изделий чрескожного мониторинга уровня глюкозы в интерстициальной жидкости, электрохимический метод</t>
  </si>
  <si>
    <t>2081602584225000010'</t>
  </si>
  <si>
    <t>'0105200000625000004'</t>
  </si>
  <si>
    <t>Протокол подведения итогов определения поставщика № ИЗТ1 от 29.04.2025 00:00:00</t>
  </si>
  <si>
    <t>'19/25'</t>
  </si>
  <si>
    <t>'2320100032725000269'</t>
  </si>
  <si>
    <t>0527500000225000216'</t>
  </si>
  <si>
    <t>'0527500000225000216'</t>
  </si>
  <si>
    <t>'2502406865625001222'</t>
  </si>
  <si>
    <t>'0348200081025001643'</t>
  </si>
  <si>
    <t>Поставка комплекта изделий чрескожного мониторинга уровня глюкозы в интерстициальной жидкости (М254790)</t>
  </si>
  <si>
    <t>2745313582725000935'</t>
  </si>
  <si>
    <t>'0869200000225003481'</t>
  </si>
  <si>
    <t>'03481-СД/2025'</t>
  </si>
  <si>
    <t>на поставку Комплекта изделий чрескожного мониторинга уровня глюкозы в интерстициальной жидкости, электрохимическим методом</t>
  </si>
  <si>
    <t>'2860103583825000431'</t>
  </si>
  <si>
    <t>'0387200009125001736'</t>
  </si>
  <si>
    <t>'25001736'</t>
  </si>
  <si>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2025 году</t>
  </si>
  <si>
    <t>2100104678625000307'</t>
  </si>
  <si>
    <t>'0306200010225000255'</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</si>
  <si>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 беременных женщин системами непрерывного мониторинга глюкозы в 2025 году (для социального обеспечения отдельных категорий граждан)</t>
  </si>
  <si>
    <t>'2673101866025000134'</t>
  </si>
  <si>
    <t>'0163200000325002193'</t>
  </si>
  <si>
    <t>'0961-аэф'</t>
  </si>
  <si>
    <t>№ 0961-аэф//т Поставка комплектов изделий чрескожного мониторинга уровня глюкозы в интерстициальной жидкости, электрохимический метод для нужд ОГБУЗ "СОДКБ"</t>
  </si>
  <si>
    <t>ГОСУДАРСТВЕННОЕ БЮДЖЕТНОЕ УЧРЕЖДЕНИЕ ЗДРАВООХРАНЕНИЯ СВЕРДЛОВСКОЙ ОБЛАСТИ "ЦЕНТРАЛЬНАЯ ГОРОДСКАЯ КЛИНИЧЕСКАЯ БОЛЬНИЦА № 6 ГОРОД ЕКАТЕРИНБУРГ"</t>
  </si>
  <si>
    <t>Комплект изделий чрескожного мониторинга уровня глюкозы в интерстициальной жидкости, электрохимический метод. Товарный знак: FreestyleLibre2</t>
  </si>
  <si>
    <t>'2590506107025000365'</t>
  </si>
  <si>
    <t>'0356500001425003235'</t>
  </si>
  <si>
    <t>2462901942025000132'</t>
  </si>
  <si>
    <t>'0144200002425000087'</t>
  </si>
  <si>
    <t>Протокол подведения итогов определения поставщика (подрядчика, исполнителя) № ИЭА1 от 29.04.2025 00:00:00</t>
  </si>
  <si>
    <t>' 0144200002425000087'</t>
  </si>
  <si>
    <t>Комплект изделий чрескожного мониторинга уровня глюкозы в интерстициальной жидкости, электрохимический метод. Товарный знак:  iCan i3 CGM</t>
  </si>
  <si>
    <t>'2462901942025000132'</t>
  </si>
  <si>
    <t>Комплект изделий чрескожного мониторинга уровня глюкозы в интерстициальной жидкости, электрохимический метод. Товарный знак: FreeStyle Libre 2</t>
  </si>
  <si>
    <t>"55611087244250001880000 "</t>
  </si>
  <si>
    <t>ГОСУДАРСТВЕННОЕ АВТОНОМНОЕ УЧРЕЖДЕНИЕ ЗДРАВООХРАНЕНИЯ "ОРЕНБУРГСКАЯ ОБЛАСТНАЯ КЛИНИЧЕСКАЯ БОЛЬНИЦА № 2"</t>
  </si>
  <si>
    <t>"32514747421"</t>
  </si>
  <si>
    <t>651-25ЗК</t>
  </si>
  <si>
    <t>Поставка датчиков системы чрескожного мониторинга уровня глюкозы для нужд ГАУЗ "ООКБ №2"</t>
  </si>
  <si>
    <t>Лот №1 Поставка датчиков системы чрескожного мониторинга уровня глюкозы для нужд ГАУЗ "ООКБ №2"</t>
  </si>
  <si>
    <t>'2290107030325000006'</t>
  </si>
  <si>
    <t>'0124200000625002051'</t>
  </si>
  <si>
    <t>Протокол подведения итогов определения поставщика (подрядчика, исполнителя) № ИЭА1 от 30.04.2025 00:00:00</t>
  </si>
  <si>
    <t>'02-04-05/35'</t>
  </si>
  <si>
    <t>ОБЩЕСТВО С ОГРАНИЧЕННОЙ ОТВЕТСТВЕННОСТЬЮ "НАЦСТАНДАРТ-ДИСТРИБУЦИЯ"</t>
  </si>
  <si>
    <t>'2830001052625000185'</t>
  </si>
  <si>
    <t>'0184200000625000535'</t>
  </si>
  <si>
    <t>'2143502651025000253'</t>
  </si>
  <si>
    <t>'0816500000625005542'</t>
  </si>
  <si>
    <t>'0816500000625005542-356'</t>
  </si>
  <si>
    <t>поставка Комплекта изделий чрескожного мониторинга уровня глюкозы в интерстициальной жидкости, электрохимический метод</t>
  </si>
  <si>
    <t>'1780206765125000160'</t>
  </si>
  <si>
    <t>ФЕДЕРАЛЬНОЕ ГОСУДАРСТВЕННОЕ БЮДЖЕТНОЕ УЧРЕЖДЕНИЕ ЗДРАВООХРАНЕНИЯ САНКТ-ПЕТЕРБУРГСКАЯ КЛИНИЧЕСКАЯ БОЛЬНИЦА РОССИЙСКОЙ АКАДЕМИИ НАУК</t>
  </si>
  <si>
    <t>'0372100001025000181'</t>
  </si>
  <si>
    <t>Поставка медицинских изделий (4)</t>
  </si>
  <si>
    <t>Комплект изделий чрескожного мониторинга уровня глюкозы в интерстициальной жидкости, электрохимический метод. Товарный знак: SINOCARE</t>
  </si>
  <si>
    <t>'2290107030325000005'</t>
  </si>
  <si>
    <t>'0124200000625002052'</t>
  </si>
  <si>
    <t>'02-04-05/34'</t>
  </si>
  <si>
    <t>"56731033838250005180000 "</t>
  </si>
  <si>
    <t>ОБЛАСТНОЕ ГОСУДАРСТВЕННОЕ АВТОНОМНОЕ УЧРЕЖДЕНИЕ ЗДРАВООХРАНЕНИЯ "СМОЛЕНСКИЙ ОБЛАСТНОЙ МЕДИЦИНСКИЙ ЦЕНТР"</t>
  </si>
  <si>
    <t>"32514737034"</t>
  </si>
  <si>
    <t>Поставка медицинского изделияМедицинское изделие, Комплект изделий чрезкожного мониторинга уровня глюкозы в интерстициальной жидкости, электрохимический метод (объект закупки является медицинским изделием, код НКМИ: 269540, код КТРУ 26.60.12.129.129-00000253, код НМКИ системы СНМГ 269540, период обеспечения пациентов: более 12 месяцев, применение при беременности: да)</t>
  </si>
  <si>
    <t>Лот №1 Поставка медицинского изделияМедицинское изделие, Комплект изделий чрезкожного мониторинга уровня глюкозы в интерстициальной жидкости, электрохимический метод (объект закупки является медицинским изделием, код НКМИ: 269540, код КТРУ 26.60.12.129.129-00000253, код НМКИ системы СНМГ 269540, период обеспечения пациентов: более 12 месяцев, применение при беременности: да)</t>
  </si>
  <si>
    <t>'2910201286925000328'</t>
  </si>
  <si>
    <t>'0175200000425000667'</t>
  </si>
  <si>
    <t>Протокол подведения итогов определения поставщика (подрядчика, исполнителя) № ИЭА1 от 28.04.2025 00:00:00</t>
  </si>
  <si>
    <t>Поставка медицинских изделий "Комплект изделий чрескожного мониторинга уровня глюкозы в интерстициальной жидкости, электрохимический метод" (807.0902.411Д451520.244) - 2025 год</t>
  </si>
  <si>
    <t>'2519080011425000703'</t>
  </si>
  <si>
    <t>'0149200002325002383'</t>
  </si>
  <si>
    <t>Протокол подведения итогов определения поставщика (подрядчика, исполнителя) № ИЗК1 от 12.05.2025 00:00:00</t>
  </si>
  <si>
    <t>'13/05/25-ЭА-01'</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</si>
  <si>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</si>
  <si>
    <t>'2027415782125000936'</t>
  </si>
  <si>
    <t>Комплект изделий чрескожного мониторинга уровня глюкозы в интерстициальной жидкости, электрохимический метод. Товарный знак: syai</t>
  </si>
  <si>
    <t>'2633001962825000195'</t>
  </si>
  <si>
    <t>'2790000107025000132'</t>
  </si>
  <si>
    <t>ДЕПАРТАМЕНТ ЗДРАВООХРАНЕНИЯ ПРАВИТЕЛЬСТВА ЕВРЕЙСКОЙ АВТОНОМНОЙ ОБЛАСТИ</t>
  </si>
  <si>
    <t>Еврейская АО</t>
  </si>
  <si>
    <t>'0801200000225000744'</t>
  </si>
  <si>
    <t>ОБЩЕСТВО С ОГРАНИЧЕННОЙ ОТВЕТСТВЕННОСТЬЮ "ВОРЛД ПАРТНЕРС"</t>
  </si>
  <si>
    <t>Ворлд Партнерс</t>
  </si>
  <si>
    <t>'2254001845425000277'</t>
  </si>
  <si>
    <t>'0119200000125007333'</t>
  </si>
  <si>
    <t>Протокол подведения итогов определения поставщика (подрядчика, исполнителя) № ИЭА1 от 05.05.2025 00:00:00</t>
  </si>
  <si>
    <t>'2025/28/5'</t>
  </si>
  <si>
    <t>ЭА-№-7960/25 «Комплект изделий чрескожного мониторинга уровня глюкозы в интерстициальной жидкости, электрохимический метод»</t>
  </si>
  <si>
    <t>'2790000107025000137'</t>
  </si>
  <si>
    <t>Комплект изделий чрескожного мониторинга уровня глюкозы в интерстициальной жидкости, электрохимический метод. Товарный знак: Syai</t>
  </si>
  <si>
    <t>'0878500000225000589'</t>
  </si>
  <si>
    <t>Поставка изделий медицинского назначения (Система непрерывного мониторинга глюкозы) в целях реализации мероприятий по обеспечению беременных женщин с сахарным диабетом, нуждающихся в системах непрерывного мониторирования глюкозы в пользу льготной категории граждан в целях их социального обеспечения</t>
  </si>
  <si>
    <t>'2790000107025000134'</t>
  </si>
  <si>
    <t>'0820500000825002549'</t>
  </si>
  <si>
    <t>"Комплект изделий чрескожного мониторинга уровня глюкозы в интерстициальной жидкости, электрохимический метод" реализация мероприятий по обеспечению детей с сахарным диабетом I типа в возрасте от 2-х до 17- ти лет системами непрерывного мониторинга глюкозы</t>
  </si>
  <si>
    <t>2519080011425000703'</t>
  </si>
  <si>
    <t>'0342300090625000153'</t>
  </si>
  <si>
    <t>'0342300090625000153-ЕП-12'</t>
  </si>
  <si>
    <t>'2246621260725000775'</t>
  </si>
  <si>
    <t>'0878500000225000614'</t>
  </si>
  <si>
    <t>Поставка изделий медицинского назначения (Система непрерывного мониторинга глюкозы) для обеспечения детей с сахарным диабетом 1 типа в возрасте от 4-х до 17-ти лет включительно в пользу льготной категории граждан в целях их социального обеспечения</t>
  </si>
  <si>
    <t>'0878500000225000609'</t>
  </si>
  <si>
    <t>Поставка изделий медицинского назначения (Система непрерывного мониторинга глюкозы) для обеспечения детей с сахарным диабетом 1 типа в возрасте от 2-х до 17-ти лет включительно в пользу льготной категории граждан в целях их социального обеспечения</t>
  </si>
  <si>
    <t>'2745313582725001029'</t>
  </si>
  <si>
    <t>'0869200000225003776'</t>
  </si>
  <si>
    <t>'03776-СД/2025'</t>
  </si>
  <si>
    <t>'2540215512325001010'</t>
  </si>
  <si>
    <t>'0351200003325001032'</t>
  </si>
  <si>
    <t>Протокол подведения итогов определения поставщика (подрядчика, исполнителя) № ИЭА1 от 06.05.2025 00:00:00</t>
  </si>
  <si>
    <t>'25.Ф.025.1032 СНМГ'</t>
  </si>
  <si>
    <t>2025-№1117 Поставка медицинских изделий: Комплект изделий чрескожного мониторинга уровня глюкозы в интерстициальной жидкости, электрохимический метод</t>
  </si>
  <si>
    <t>'2246621260725000809'</t>
  </si>
  <si>
    <t>'0119200000125008468'</t>
  </si>
  <si>
    <t>Протокол подведения итогов определения поставщика (подрядчика, исполнителя) № ИЗК1 от 14.05.2025 00:00:00</t>
  </si>
  <si>
    <t>'2025/16/889'</t>
  </si>
  <si>
    <t>ЗК-№-9173/25 «Комплект изделий чрескожного мониторинга уровня глюкозы в интерстициальной жидкости, электрохимический метод»</t>
  </si>
  <si>
    <t xml:space="preserve">Комплект изделий чрескожного мониторинга уровня глюкозы в интерстициальной жидкости, электрохимический метод. Товарный знак: FreeStyle Libre </t>
  </si>
  <si>
    <t>'2773411532925000549'</t>
  </si>
  <si>
    <t>'0373200017425000609'</t>
  </si>
  <si>
    <t>'03732000174250006090001'</t>
  </si>
  <si>
    <t>Аукцион в электронной форме на право заключения контракта на поставку  наборов для чрескожного мониторинга уровня глюкозы в системе FreeStyle LibreFreeStyle Libre</t>
  </si>
  <si>
    <t>Набор для чрескожного мониторинга уровня глюкозы. Товарный знак: FreeStyle Libre</t>
  </si>
  <si>
    <t>'2540215512325001014'</t>
  </si>
  <si>
    <t>'0851200000625002497'</t>
  </si>
  <si>
    <t>'25.Ф.2025.2497 У СНМГ СОФ'</t>
  </si>
  <si>
    <t>2025-№746 Поставка медицинских изделий: Комплект изделий чрескожного мониторинга уровня глюкозы в интерстициальной жидкости, электрохимический метод</t>
  </si>
  <si>
    <t>'2081602584225000011'</t>
  </si>
  <si>
    <t>'0105200000625000006'</t>
  </si>
  <si>
    <t>'21/25'</t>
  </si>
  <si>
    <t>'2772459896625000441'</t>
  </si>
  <si>
    <t>'0373200052725000372'</t>
  </si>
  <si>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t>
  </si>
  <si>
    <t>'2060600791025000001'</t>
  </si>
  <si>
    <t>'0114500000825001200'</t>
  </si>
  <si>
    <t>'1200'</t>
  </si>
  <si>
    <t>'2060200071325000035'</t>
  </si>
  <si>
    <t>ГОСУДАРСТВЕННОЕ БЮДЖЕТНОЕ УЧРЕЖДЕНИЕ ЗДРАВООХРАНЕНИЯ "НАЗРАНОВСКАЯ ЦЕНТРАЛЬНАЯ РАЙОННАЯ БОЛЬНИЦА ИМЕНИ БЕКБОТОВА БЕСЛАНА БАГАУДИНОВИЧА"</t>
  </si>
  <si>
    <t>'0114500000825001192'</t>
  </si>
  <si>
    <t>Протокол подведения итогов определения поставщика № ИЗТ1 от 14.05.2025 00:00:00</t>
  </si>
  <si>
    <t>'1192'</t>
  </si>
  <si>
    <t>'2165801224725000244'</t>
  </si>
  <si>
    <t>'0311300098125000213'</t>
  </si>
  <si>
    <t>Протокол подведения итогов определения поставщика (подрядчика, исполнителя) № ИЭА1 от 12.05.2025 00:00:00</t>
  </si>
  <si>
    <t>'2025.213'</t>
  </si>
  <si>
    <t>Поставка расходных материалов для оказания высокотехнологичной медицинской помощи для эндокринологического отделения</t>
  </si>
  <si>
    <t>'2110148756925000112'</t>
  </si>
  <si>
    <t>'0507500000325000267'</t>
  </si>
  <si>
    <t>Протокол подведения итогов определения поставщика (подрядчика, исполнителя) № ИЗК1 от 20.05.2025 00:00:00</t>
  </si>
  <si>
    <t>'Поставка комплектов изделий чрескожного мониторинга уровня глюкозы в интерстициальной жидкости, электрохимический метод'</t>
  </si>
  <si>
    <t>'2344419822025000466'</t>
  </si>
  <si>
    <t>'0829200001225000012'</t>
  </si>
  <si>
    <t>'624/25ОБ'</t>
  </si>
  <si>
    <t>'2222100785825000386'</t>
  </si>
  <si>
    <t>'0817200000325006932'</t>
  </si>
  <si>
    <t>Протокол подведения итогов определения поставщика (подрядчика, исполнителя) № ИЭА1 от 15.05.2025 00:00:00</t>
  </si>
  <si>
    <t>'08172000003250069320001'</t>
  </si>
  <si>
    <t>'2550400463825000263'</t>
  </si>
  <si>
    <t>'0852500000125001634'</t>
  </si>
  <si>
    <t>'08525000001250016340001'</t>
  </si>
  <si>
    <t>'Поставка медицинских изделий (Реестровый номер 251093)'</t>
  </si>
  <si>
    <t>'2590506107025000424'</t>
  </si>
  <si>
    <t>'0356500001425003457'</t>
  </si>
  <si>
    <t>'2532102896025000244'</t>
  </si>
  <si>
    <t>'0150200003925000379'</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</si>
  <si>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</si>
  <si>
    <t>2602705399525000137'</t>
  </si>
  <si>
    <t>'0157200000325000479'</t>
  </si>
  <si>
    <t>'555-А-ГЗ'</t>
  </si>
  <si>
    <t>'Поставка медицинских изделий - Комплектов изделий чрескожного мониторинга уровня глюкозы в интерстициальной жидкости, электрохимический метод (регистрационный номер: 555-А-ГЗ)'</t>
  </si>
  <si>
    <t>ОБЩЕСТВО С ОГРАНИЧЕННОЙ ОТВЕТСТВЕННОСТЬЮ "ДЕЛОВОЙ ЦЕНТР РСС"</t>
  </si>
  <si>
    <t>Деловой центр РСС</t>
  </si>
  <si>
    <t>'2550400463825000262'</t>
  </si>
  <si>
    <t>'0852500000125001620'</t>
  </si>
  <si>
    <t>'08525000001250016200001'</t>
  </si>
  <si>
    <t>'Поставка медицинских изделий (Реестровый номер 251089)'</t>
  </si>
  <si>
    <t>Комплект изделий чрескожного мониторинга уровня глюкозы в интерстициальной жидкости, электрохимический метод. Товарный знак: РЗН 2024/23862</t>
  </si>
  <si>
    <t>2222100785825000386'</t>
  </si>
  <si>
    <t>'2631819736725002016'</t>
  </si>
  <si>
    <t>'0142200001325011657'</t>
  </si>
  <si>
    <t>'1360/25/СД 2-17'</t>
  </si>
  <si>
    <t>'Поставка изделий медицинского назначения для больных сахарным диабетом, в рамках льготного обеспечения на 2025год (п25-01-3058).'</t>
  </si>
  <si>
    <t>'2060300532025000139'</t>
  </si>
  <si>
    <t>ГОСУДАРСТВЕННОЕ БЮДЖЕТНОЕ УЧРЕЖДЕНИЕ ЗДРАВООХРАНЕНИЯ  "СУНЖЕНСКАЯ ЦЕНТРАЛЬНАЯ РАЙОННАЯ БОЛЬНИЦА"</t>
  </si>
  <si>
    <t>'0114500000825001097'</t>
  </si>
  <si>
    <t>Протокол подведения итогов определения поставщика (подрядчика, исполнителя) № ИЭА1 от 14.05.2025 00:00:00</t>
  </si>
  <si>
    <t>'1097'</t>
  </si>
  <si>
    <t>'Комплект изделий чрескожного мониторинга уровня глюкозы в интерстициальной жидкости, электрохимический метод.'</t>
  </si>
  <si>
    <t>'2540215512325001077'</t>
  </si>
  <si>
    <t>'0851200000625002747'</t>
  </si>
  <si>
    <t>'25.Ф.2025.2747 У СНМГ СОФ'</t>
  </si>
  <si>
    <t>'2025-№753 Поставка медицинских изделий: Комплект изделий чрескожного мониторинга уровня глюкозы в интерстициальной жидкости, электрохимический метод'</t>
  </si>
  <si>
    <t>'2391751525325000560'</t>
  </si>
  <si>
    <t>'0335200014925001282'</t>
  </si>
  <si>
    <t>на поставку медицинских изделий (Комплект изделий чрескожного мониторинга уровня глюкозы в интерстициальной жидкости, электрохимический метод)</t>
  </si>
  <si>
    <t>'2391751525325000561'</t>
  </si>
  <si>
    <t>'0335200014925001283'</t>
  </si>
  <si>
    <t>Комплект изделий чрескожного мониторинга уровня глюкозы в интерстициальной жидкости, электрохимический метод. Товарный знак: свидетельство номер 1081263</t>
  </si>
  <si>
    <t>2540215512325001077'</t>
  </si>
  <si>
    <t>'1780203042925000848'</t>
  </si>
  <si>
    <t>'0372100049625000902'</t>
  </si>
  <si>
    <t>Протокол подведения итогов определения поставщика (подрядчика, исполнителя) № ИЗК1 от 23.05.2025 00:00:00</t>
  </si>
  <si>
    <t>'03721000496250009020001/МИ'</t>
  </si>
  <si>
    <t>Поставка расходных медицинских материалов для эндокринологии</t>
  </si>
  <si>
    <t>'2519080011425000759'</t>
  </si>
  <si>
    <t>'0149200002325002338'</t>
  </si>
  <si>
    <t>'19/05/25-ЭА-02'</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</si>
  <si>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метод)-1</t>
  </si>
  <si>
    <t>"55609027223250002530000 "</t>
  </si>
  <si>
    <t>"32514777329"</t>
  </si>
  <si>
    <t>Поставка изделий медицинского назначения (систем непрерывного мониторинга глюкозы) для обеспечения беременных женщин с сахарным диабетом</t>
  </si>
  <si>
    <t>'0813500000125009934'</t>
  </si>
  <si>
    <t>'2631602320625000173'</t>
  </si>
  <si>
    <t>ГОСУДАРСТВЕННОЕ БЮДЖЕТНОЕ УЧРЕЖДЕНИЕ ЗДРАВООХРАНЕНИЯ "САМАРСКАЯ ОБЛАСТНАЯ ДЕТСКАЯ КЛИНИЧЕСКАЯ БОЛЬНИЦА ИМ. Н.Н.ИВАНОВОЙ"</t>
  </si>
  <si>
    <t>'0873200009825001033'</t>
  </si>
  <si>
    <t>'8400'</t>
  </si>
  <si>
    <t>"51833000350250000270000 "</t>
  </si>
  <si>
    <t>"32514893147"</t>
  </si>
  <si>
    <t>220/ПОСТ</t>
  </si>
  <si>
    <t>Поставка Систем непрерывного мониторинга глюкозы</t>
  </si>
  <si>
    <t>'1772908209025000389'</t>
  </si>
  <si>
    <t>'0373100040125000362'</t>
  </si>
  <si>
    <t>Протокол подведения итогов определения поставщика (подрядчика, исполнителя) № ИЗК1 от 27.05.2025 00:00:00</t>
  </si>
  <si>
    <t>'0545-44-2025'</t>
  </si>
  <si>
    <t>Закупка расходных медицинских изделий (Комплект изделий чрескожного мониторинга уровня глюкозы в интерстициальной жидкости, электрохимический метод) для МНОИ МГУ имени М.В. Ломоносова (ИД 79257))</t>
  </si>
  <si>
    <t>2121504059825000118'</t>
  </si>
  <si>
    <t>'0308200006625000005'</t>
  </si>
  <si>
    <t>'185/ЕП-2025'</t>
  </si>
  <si>
    <t>'2771433860925004319'</t>
  </si>
  <si>
    <t>'0360100030525000554'</t>
  </si>
  <si>
    <t>Протокол подведения итогов определения поставщика (подрядчика, исполнителя) № ИЭА1 от 19.05.2025 00:00:00; 0360100030525000554</t>
  </si>
  <si>
    <t>249/2025-КСЕ'</t>
  </si>
  <si>
    <t>Запрос котировок в электронной форме на поставку комплектов изделий чрескожного мониторинга уровня глюкозы в интерстициальной жидкости для обеспечения детей от четырех лет с сахарным диабетом (СНМГ2025-7)</t>
  </si>
  <si>
    <t>Комплект изделий чрескожного мониторинга уровня глюкозы в интерстициальной жидкости, электрохимический метод. Товарный знак: отсутствует /РАСТОРГНУТ/</t>
  </si>
  <si>
    <t>'2690504495025000620'</t>
  </si>
  <si>
    <t>'0136500001125003065'</t>
  </si>
  <si>
    <t>' 0136500001125003065'</t>
  </si>
  <si>
    <t>'2110148756925000120'</t>
  </si>
  <si>
    <t>'0507500000325000268'</t>
  </si>
  <si>
    <t>Протокол подведения итогов определения поставщика (подрядчика, исполнителя) № ИЭА1 от 22.05.2025 00:00:00</t>
  </si>
  <si>
    <t>'2532102896025000251'</t>
  </si>
  <si>
    <t>'0150200003925000390'</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</si>
  <si>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(с целью оказания отдельным категориям граждан социальной поддержки по обеспечению медицинскими изделиями)</t>
  </si>
  <si>
    <t>2272404126025000347'</t>
  </si>
  <si>
    <t>'0322200002125000258'</t>
  </si>
  <si>
    <t>'0322200002125000258 '</t>
  </si>
  <si>
    <t>2900102453025000168'</t>
  </si>
  <si>
    <t>'0170500008625000198'</t>
  </si>
  <si>
    <t>'2575300330625000270'</t>
  </si>
  <si>
    <t>'0354200019725000148'</t>
  </si>
  <si>
    <t>Ф.2025.148</t>
  </si>
  <si>
    <t>Закупка комплекта изделий чрескожного мониторинга уровня глюкозы в интерстициальной жидкости, электрохимический метод</t>
  </si>
  <si>
    <t>'2519010997225000253'</t>
  </si>
  <si>
    <t>'0149200002325002598'</t>
  </si>
  <si>
    <t>'2025.2598'</t>
  </si>
  <si>
    <t>Поставка изделия медицинского назначения: системы непрерывного мониторинга глюкозы</t>
  </si>
  <si>
    <t>'2081603157125000256'</t>
  </si>
  <si>
    <t>КАЗЕННОЕ УЧРЕЖДЕНИЕ РЕСПУБЛИКИ КАЛМЫКИЯ "ЦЕНТР ОРГАНИЗАЦИИ ЛЕКАРСТВЕННОГО ОБЕСПЕЧЕНИЯ"</t>
  </si>
  <si>
    <t>'0105500000225001016'</t>
  </si>
  <si>
    <t>Протокол подведения итогов определения поставщика (подрядчика, исполнителя) № ИЗК1 от 28.05.2025 00:00:00</t>
  </si>
  <si>
    <t>'327-р/25в'</t>
  </si>
  <si>
    <t>Поставка комплекта изделий чрескожного мониторинга уровня глюкозы в интерстициальной жидкости, электрохимический метод для льготной категории граждан на 2025 год (взрослое население)</t>
  </si>
  <si>
    <t>'2290103047725000477'</t>
  </si>
  <si>
    <t>'0324200004525000043'</t>
  </si>
  <si>
    <t>'751-О'</t>
  </si>
  <si>
    <t>'2272404126025000353'</t>
  </si>
  <si>
    <t>'0322200002125000268'</t>
  </si>
  <si>
    <t>'0322200002125000268  '</t>
  </si>
  <si>
    <t>'2254001845425000306'</t>
  </si>
  <si>
    <t>'0820500000825003025'</t>
  </si>
  <si>
    <t>'2450102509925000340'</t>
  </si>
  <si>
    <t>'0343200010725000325'</t>
  </si>
  <si>
    <t>'263-к/25'</t>
  </si>
  <si>
    <t>'2272404126025000354'</t>
  </si>
  <si>
    <t>'0122200002525001766'</t>
  </si>
  <si>
    <t>Поставка медицинских изделий: 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t>
  </si>
  <si>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Sinocare</t>
  </si>
  <si>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Lumiflex</t>
  </si>
  <si>
    <t>"57725262013250021370000 "</t>
  </si>
  <si>
    <t>ГОСУДАРСТВЕННОЕ АВТОНОМНОЕ УЧРЕЖДЕНИЕ ГОРОДА МОСКВЫ ИНЖЕНЕРНЫЙ НАУЧНО-ПРАКТИЧЕСКИЙ ЦЕНТР "ГОРМЕДТЕХНИКА ДЕПАРТАМЕНТА ЗДРАВООХРАНЕНИЯ ГОРОДА МОСКВЫ"</t>
  </si>
  <si>
    <t>Конкурс</t>
  </si>
  <si>
    <t>"32514703251"</t>
  </si>
  <si>
    <t>МГ2025-003</t>
  </si>
  <si>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</si>
  <si>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(МГ2025-003)</t>
  </si>
  <si>
    <t>"51833000350250000280000 "</t>
  </si>
  <si>
    <t>"32514909618"</t>
  </si>
  <si>
    <t>223/ПОСТ</t>
  </si>
  <si>
    <t>'2110148756925000124'</t>
  </si>
  <si>
    <t>'0507500000325000266'</t>
  </si>
  <si>
    <t>'2380817232725000564'</t>
  </si>
  <si>
    <t>'0134200005925000328'</t>
  </si>
  <si>
    <t>Протокол подведения итогов определения поставщика (подрядчика, исполнителя) № ИЭА1 от 26.05.2025 00:00:00</t>
  </si>
  <si>
    <t>'1250/СахДиаб/Д/0328-ЭА/25'</t>
  </si>
  <si>
    <t>'2056204455025000550'</t>
  </si>
  <si>
    <t>'0103200008425003524'</t>
  </si>
  <si>
    <t>Поставка медицинских изделий для детей от 2-17</t>
  </si>
  <si>
    <t>ОБЩЕСТВО С ОГРАНИЧЕННОЙ ОТВЕТСТВЕННОСТЬЮ "ФАРМСЕРВИС"</t>
  </si>
  <si>
    <t>Фармсервис</t>
  </si>
  <si>
    <t>'2212801542025000149'</t>
  </si>
  <si>
    <t>'0815500000525006453'</t>
  </si>
  <si>
    <t>'10-16/248'</t>
  </si>
  <si>
    <t>Поставка медицинских изделий (комплект изделий чрескожного мониторинга уровня глюкозы в интерстициальной жидкости, электрохимический метод) по обеспечению детей с сахарным диабетом1типа возрасте от 4-х до 17лет.</t>
  </si>
  <si>
    <t>'2120000088125000249'</t>
  </si>
  <si>
    <t>'0108500000425002516'</t>
  </si>
  <si>
    <t>'0108500000425002516/ЗК'</t>
  </si>
  <si>
    <t>2120000088125000249'</t>
  </si>
  <si>
    <t>Glutec v3</t>
  </si>
  <si>
    <t>'2056104253525000280'</t>
  </si>
  <si>
    <t>ГОСУДАРСТВЕННОЕ БЮДЖЕТНОЕ УЧРЕЖДЕНИЕ РЕСПУБЛИКИ ДАГЕСТАН "ГОРОДСКАЯ КЛИНИЧЕСКАЯ БОЛЬНИЦА"</t>
  </si>
  <si>
    <t>'0103200008425003759'</t>
  </si>
  <si>
    <t>Протокол подведения итогов определения поставщика (подрядчика, исполнителя) № ИЭА1 от 28.05.2025 00:00:00</t>
  </si>
  <si>
    <t>'22-25РАСХ '</t>
  </si>
  <si>
    <t>Поставка медицинских изделий № 22-25РАСХ</t>
  </si>
  <si>
    <t>'2120000088125000250'</t>
  </si>
  <si>
    <t>'0108500000425002517'</t>
  </si>
  <si>
    <t>'0108500000425002517/ЗК'</t>
  </si>
  <si>
    <t>2690400863925000147'</t>
  </si>
  <si>
    <t>'0136500001125003161'</t>
  </si>
  <si>
    <t>'3161'</t>
  </si>
  <si>
    <t>'1702403854225000263'</t>
  </si>
  <si>
    <t>ФЕДЕРАЛЬНОЕ ГОСУДАРСТВЕННОЕ БЮДЖЕТНОЕ УЧРЕЖДЕНИЕ "СИБИРСКИЙ ФЕДЕРАЛЬНЫЙ НАУЧНО-КЛИНИЧЕСКИЙ ЦЕНТР ФЕДЕРАЛЬНОГО МЕДИКО-БИОЛОГИЧЕСКОГО АГЕНТСТВА"</t>
  </si>
  <si>
    <t>'0365100016325000241'</t>
  </si>
  <si>
    <t>'03651000163250002410001'</t>
  </si>
  <si>
    <t>Поставка товара (Комплект изделий чрескожного мониторинга уровня глюкозы)</t>
  </si>
  <si>
    <t>Комплект изделий чрескожного мониторинга уровня глюкозы в интерстициальной жидкости, электрохимический метод. Товарный знак: Hermatonix</t>
  </si>
  <si>
    <t>'2183104497925000672'</t>
  </si>
  <si>
    <t>'06/01-05/155-МЗ'</t>
  </si>
  <si>
    <t>Поставка медицинских изделий - систем непрерывного мониторинга глюкозы для детей с сахарным диабетом 1 типа в возрасте от 2-х до 17-ти лет включительно</t>
  </si>
  <si>
    <t>2462901942025000159'</t>
  </si>
  <si>
    <t>'0744200000225004244'</t>
  </si>
  <si>
    <t>Протокол подведения итогов определения поставщика (подрядчика, исполнителя) № ИЭА1 от 30.05.2025 00:00:00</t>
  </si>
  <si>
    <t>'2462901942025000159'</t>
  </si>
  <si>
    <t>'2183104497925000673'</t>
  </si>
  <si>
    <t>'06/01-05/156-МЗ'</t>
  </si>
  <si>
    <t>Поставка медицинских изделий - систем непрерывного мониторинга глюкозы для беременных женщин с сахарным диабетом</t>
  </si>
  <si>
    <t>'2540215512325001162'</t>
  </si>
  <si>
    <t>'0351200003325001206'</t>
  </si>
  <si>
    <t>'25.Ф.2025.1206 СНМГ'</t>
  </si>
  <si>
    <t>2025-№1306 Поставка медицинских изделий: Комплект изделий чрескожного мониторинга уровня глюкозы в интерстициальной жидкости, электрохимический метод</t>
  </si>
  <si>
    <t>'2463228633725000324'</t>
  </si>
  <si>
    <t>'0744200000225004355'</t>
  </si>
  <si>
    <t>'183264'</t>
  </si>
  <si>
    <t>'2027415782125001046'</t>
  </si>
  <si>
    <t>'0801500001125000785'</t>
  </si>
  <si>
    <t>' 0801500001125000785'</t>
  </si>
  <si>
    <t xml:space="preserve">Комплект изделий чрескожного мониторинга уровня глюкозы в интерстициальной жидкости, электрохимический метод. Товарный знак: iCan </t>
  </si>
  <si>
    <t>'2373101157125000182'</t>
  </si>
  <si>
    <t>ОБЛАСТНОЕ БЮДЖЕТНОЕ УЧРЕЖДЕНИЕ ЗДРАВООХРАНЕНИЯ "ГОРОДСКАЯ КЛИНИЧЕСКАЯ БОЛЬНИЦА №7"</t>
  </si>
  <si>
    <t>'0333300099325000249'</t>
  </si>
  <si>
    <t>'249'</t>
  </si>
  <si>
    <t>Поставка датчиков системы чрескожного мониторинга уровня глюкозы в интерстициальной жидкости.</t>
  </si>
  <si>
    <t>Датчик системы чрескожного мониторинга уровня глюкозы в интерстициальной жидкости. Товарный знак: FreeStyle Libre</t>
  </si>
  <si>
    <t>'2212801542025000153'</t>
  </si>
  <si>
    <t>'0815500000525006427'</t>
  </si>
  <si>
    <t>'10-16/238'</t>
  </si>
  <si>
    <t>Поставка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t>
  </si>
  <si>
    <t>2332500810325000787'</t>
  </si>
  <si>
    <t>'0128200000125003247'</t>
  </si>
  <si>
    <t>Протокол подведения итогов определения поставщика (подрядчика, исполнителя) № ИЭА1 от 06.06.2025 00:00:00</t>
  </si>
  <si>
    <t>2222302355925000277'</t>
  </si>
  <si>
    <t>КРАЕВОЕ ГОСУДАРСТВЕННОЕ БЮДЖЕТНОЕ УЧРЕЖДЕНИЕ ЗДРАВООХРАНЕНИЯ "АЛТАЙСКИЙ КРАЕВОЙ КЛИНИЧЕСКИЙ ЦЕНТР ОХРАНЫ МАТЕРИНСТВА И ДЕТСТВА"</t>
  </si>
  <si>
    <t>'0317000000525000002'</t>
  </si>
  <si>
    <t>Протокол подведения итогов определения поставщика № ИЗТ1 от 10.06.2025 00:00:00</t>
  </si>
  <si>
    <t>'2025/12-2'</t>
  </si>
  <si>
    <t>'2332500810325000787'</t>
  </si>
  <si>
    <t>'2332500810325000801'</t>
  </si>
  <si>
    <t>'0128200000125003248'</t>
  </si>
  <si>
    <t>Закупка медицинских изделий (Комплект изделий чрескожного мониторинга уровня глюкозы в интерстициальной жидкости, электрохимический метод) для обеспечения беременных женщин с сахарным диабетом 1 типа, сахарным диабетом 2 типа, с моногенными формами сахарного диабета и гестационным сахарным диабетом системами непрерывного мониторинга глюкозы» в 2025 году.</t>
  </si>
  <si>
    <t>'2540215512325001229'</t>
  </si>
  <si>
    <t>'0851200000625003477'</t>
  </si>
  <si>
    <t>'25.Ф.2025.3477 У СНМГ'</t>
  </si>
  <si>
    <t>2025-№1157 Поставка медицинских изделий: Комплект изделий чрескожного мониторинга уровня глюкозы в интерстициальной жидкости, электрохимический метод</t>
  </si>
  <si>
    <t>2056204455025000565'</t>
  </si>
  <si>
    <t>'0103200008425003899'</t>
  </si>
  <si>
    <t>Протокол подведения итогов определения поставщика (подрядчика, исполнителя) № ИЭА1 от 02.06.2025 00:00:00</t>
  </si>
  <si>
    <t>Поставка медицинских изделий для беременных</t>
  </si>
  <si>
    <t>'2056204455025000565'</t>
  </si>
  <si>
    <t>'2352501051925000216'</t>
  </si>
  <si>
    <t>'0130200000325000208'</t>
  </si>
  <si>
    <t>'2025.0130200000325000208/ЗК'</t>
  </si>
  <si>
    <t>'2352501051925000214'</t>
  </si>
  <si>
    <t>'0130200000325000217'</t>
  </si>
  <si>
    <t>'2025.0130200000325000217/ЗК'</t>
  </si>
  <si>
    <t>Поставка комплекта изделий чрескожного мониторинга уровня глюкозы в интерстициальной жидкости, электрохимический метод для детей (4)</t>
  </si>
  <si>
    <t>'2352501051925000212'</t>
  </si>
  <si>
    <t>'0130200000325000222'</t>
  </si>
  <si>
    <t>'2025.0130200000325000222-ЗК'</t>
  </si>
  <si>
    <t>Поставка комплекта изделий чрескожного мониторинга уровня глюкозы в интерстициальной жидкости, электрохимический метод для детей (5)</t>
  </si>
  <si>
    <t>'1616303285025000244'</t>
  </si>
  <si>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</si>
  <si>
    <t>'0358100022825000259'</t>
  </si>
  <si>
    <t>'202-А/2025'</t>
  </si>
  <si>
    <t>Поставка расходных материалов (Датчик системы мониторинга глюкозы).</t>
  </si>
  <si>
    <t>Датчик системы мониторинга глюкозы. Товарный знак: FreeStyle Libre</t>
  </si>
  <si>
    <t>'2650102496625000405'</t>
  </si>
  <si>
    <t>'0361200015025002984'</t>
  </si>
  <si>
    <t>Поставка систем непрерывного мониторинга глюкозы для обеспечения льготных категорий граждан региональной ответственности</t>
  </si>
  <si>
    <t>'2710700631125000720'</t>
  </si>
  <si>
    <t>'0366200035625004314'</t>
  </si>
  <si>
    <t>'2025.00691'</t>
  </si>
  <si>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 (сахарный диабет)</t>
  </si>
  <si>
    <t xml:space="preserve">Комплект изделий чрескожного мониторинга уровня глюкозы в интерстициальной жидкости, электрохимический метод. Товарный знак: sinocare </t>
  </si>
  <si>
    <t>'2352501051925000226'</t>
  </si>
  <si>
    <t>'0130200000325000210'</t>
  </si>
  <si>
    <t>'2025.0130200000325000210/ЗК'</t>
  </si>
  <si>
    <t>Поставка комплекта изделий чрескожного мониторинга уровня глюкозы в интерстициальной жидкости, электрохимический метод для детей (3)</t>
  </si>
  <si>
    <t>'2352501051925000220'</t>
  </si>
  <si>
    <t>'0130200000325000207'</t>
  </si>
  <si>
    <t>'2025.0130200000325000207/ЗК'</t>
  </si>
  <si>
    <t>Поставка комплекта изделий чрескожного мониторинга уровня глюкозы в интерстициальной жидкости, электрохимический метод для детей</t>
  </si>
  <si>
    <t>"55609027223250002820000"</t>
  </si>
  <si>
    <t>Лот №1 Поставка медицинских изделий (система непрерывного мониторинга глюкозы) для обеспечения детей с сахарным диабетом в возрасте от 2-х до 17 лет</t>
  </si>
  <si>
    <t>2025.703405</t>
  </si>
  <si>
    <t>Поставка медицинских изделий (система непрерывного мониторинга глюкозы) для обеспечения детей с сахарным диабетом в возрасте от 2-х до 17 лет</t>
  </si>
  <si>
    <t>"55609027223250002830000"</t>
  </si>
  <si>
    <t>2025.705807</t>
  </si>
  <si>
    <t>"55609027223250002840000"</t>
  </si>
  <si>
    <t>2025.706121</t>
  </si>
  <si>
    <t>"55609027223250002870000"</t>
  </si>
  <si>
    <t>2025.712158</t>
  </si>
  <si>
    <t>"55609027223250002880000"</t>
  </si>
  <si>
    <t>2025.712290</t>
  </si>
  <si>
    <t>2540215512325001230'</t>
  </si>
  <si>
    <t>'0851200000625003450'</t>
  </si>
  <si>
    <t>'25.Ф.2025.3450 У СНМГ'</t>
  </si>
  <si>
    <t>2025-№1118 Поставка медицинских изделий: Комплект изделий чрескожного мониторинга уровня глюкозы в интерстициальной жидкости, электрохимический метод</t>
  </si>
  <si>
    <t>'2212801542025000156'</t>
  </si>
  <si>
    <t>'0815500000525007332'</t>
  </si>
  <si>
    <t>'10-16/252'</t>
  </si>
  <si>
    <t>Поставка медицинских изделий (комплект изделий чрескожного мониторинга уровня глюкозы в интерстициальной жидкости, электрохимический метод) по обеспечению детей с сахарным диабетом1типа возрасте от 2-х до 17лет.</t>
  </si>
  <si>
    <t>2720207019425000225'</t>
  </si>
  <si>
    <t>'0167200003425003980'</t>
  </si>
  <si>
    <t>Протокол подведения итогов определения поставщика (подрядчика, исполнителя) № ИЭА1 от 09.06.2025 00:00:00</t>
  </si>
  <si>
    <t>'559К/25'</t>
  </si>
  <si>
    <t>'2710700631125000724'</t>
  </si>
  <si>
    <t>'0366200035625004320'</t>
  </si>
  <si>
    <t>'2025.00701'</t>
  </si>
  <si>
    <t>'2616304981425000549'</t>
  </si>
  <si>
    <t>'0158200001325000924'</t>
  </si>
  <si>
    <t>'25000924'</t>
  </si>
  <si>
    <t>Закупка медицинских изделий для обеспечения беременных женщин с сахарным диабетом системами непрерывного мониторинга глюкозы (Комплект изделий чрескожного мониторинга уровня глюкозы в интерстициальной жидкости, электрохимический метод)</t>
  </si>
  <si>
    <t>'1770401401025000307'</t>
  </si>
  <si>
    <t>'0373100013425000258'</t>
  </si>
  <si>
    <t>Протокол подведения итогов определения поставщика № ИЗТ1 от 18.06.2025 00:00:00</t>
  </si>
  <si>
    <t>'258-ЭЗТ-25-44'</t>
  </si>
  <si>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Ирландия</t>
  </si>
  <si>
    <t>'2616304981425000548'</t>
  </si>
  <si>
    <t>'0158200001325000925'</t>
  </si>
  <si>
    <t>'25000925'</t>
  </si>
  <si>
    <t>'2444302135025000029'</t>
  </si>
  <si>
    <t>ГОСУДАРСТВЕННОЕ УНИТАРНОЕ ПРЕДПРИЯТИЕ "КОСТРОМСКАЯ ОБЛАСТНАЯ АПТЕЧНАЯ БАЗА"</t>
  </si>
  <si>
    <t>'0541200001325000008'</t>
  </si>
  <si>
    <t>'2025.0008'</t>
  </si>
  <si>
    <t>'2444302135025000028'</t>
  </si>
  <si>
    <t>'0541200001325000007'</t>
  </si>
  <si>
    <t>'2025.0007'</t>
  </si>
  <si>
    <t>'2444302135025000027'</t>
  </si>
  <si>
    <t>'0541200001325000006'</t>
  </si>
  <si>
    <t>'2025.0006'</t>
  </si>
  <si>
    <t>'2444302135025000026'</t>
  </si>
  <si>
    <t>'0541200001325000005'</t>
  </si>
  <si>
    <t>'2025.0005'</t>
  </si>
  <si>
    <t>2444302135025000025'</t>
  </si>
  <si>
    <t>'0541200001325000004'</t>
  </si>
  <si>
    <t>'2025.0004'</t>
  </si>
  <si>
    <t>'2444302135025000024'</t>
  </si>
  <si>
    <t>'0541200001325000003'</t>
  </si>
  <si>
    <t>'2025.0003'</t>
  </si>
  <si>
    <t>'2444302135025000023'</t>
  </si>
  <si>
    <t>'0541200001325000002'</t>
  </si>
  <si>
    <t>'2025.0002'</t>
  </si>
  <si>
    <t>'2444302135025000022'</t>
  </si>
  <si>
    <t>'0541200001325000001'</t>
  </si>
  <si>
    <t>'2025.0001'</t>
  </si>
  <si>
    <t>2632000712625000102'</t>
  </si>
  <si>
    <t>ГОСУДАРСТВЕННОЕ БЮДЖЕТНОЕ УЧРЕЖДЕНИЕ ЗДРАВООХРАНЕНИЯ САМАРСКОЙ ОБЛАСТИ "ТОЛЬЯТТИНСКАЯ ГОРОДСКАЯ КЛИНИЧЕСКАЯ БОЛЬНИЦА №1 ИМ. В.А. ГРОЙСМАНА"</t>
  </si>
  <si>
    <t>'0342300212925000105'</t>
  </si>
  <si>
    <t>'389-25'</t>
  </si>
  <si>
    <t>Поставка изделий медицинского назначения для обеспечения нужд Государственного бюджетного учреждения здравоохранения Самарской области "Тольяттинская городская клиническая больница №1 им. В.А. Гройсмана"</t>
  </si>
  <si>
    <t>ОБЩЕСТВО С ОГРАНИЧЕННОЙ ОТВЕТСТВЕННОСТЬЮ "ЛОРЕНТ ГРУПП"</t>
  </si>
  <si>
    <t>Лорент Групп</t>
  </si>
  <si>
    <t>'1990100026725000117'</t>
  </si>
  <si>
    <t>ОТДЕЛ ЗДРАВООХРАНЕНИЯ ГОРОДА БАЙКОНУР</t>
  </si>
  <si>
    <t>Байконур</t>
  </si>
  <si>
    <t>'0348100070625000105'</t>
  </si>
  <si>
    <t>'172-К06/25'</t>
  </si>
  <si>
    <t>поставка изделий медицинского назначения, отпускаемых при амбулаторном лечении отдельных категорий граждан, проживающих в городе Байконур, по рецептам врачей бесплатно или с 50-процентной скидкой со свободных цен, на 2025 год (Датчик системы непрерывного мониторинга уровня сахара в крови)</t>
  </si>
  <si>
    <t>2352501051925000239'</t>
  </si>
  <si>
    <t>'0130200000325000255'</t>
  </si>
  <si>
    <t>'2025.0130200000325000255/ЗК'</t>
  </si>
  <si>
    <t>'2352501051925000242'</t>
  </si>
  <si>
    <t>'0130200000325000256'</t>
  </si>
  <si>
    <t>'2025.0130200000325000256/ЗК'</t>
  </si>
  <si>
    <t>'2352501051925000238'</t>
  </si>
  <si>
    <t>'0130200000325000258'</t>
  </si>
  <si>
    <t>'2025.0130200000325000258/ЗК'</t>
  </si>
  <si>
    <t>'2482500508525000292'</t>
  </si>
  <si>
    <t>МИНИСТЕРСТВО ЗДРАВООХРАНЕНИЯ ЛИПЕЦКОЙ ОБЛАСТИ</t>
  </si>
  <si>
    <t>'0846500000625000406'</t>
  </si>
  <si>
    <t>'08465000006250004060001'</t>
  </si>
  <si>
    <t>'2352501051925000255'</t>
  </si>
  <si>
    <t>'0130200000325000282'</t>
  </si>
  <si>
    <t>'2025.0130200000325000282/ЗК'</t>
  </si>
  <si>
    <t>'2352501051925000252'</t>
  </si>
  <si>
    <t>'0130200000325000286'</t>
  </si>
  <si>
    <t>'2025.0130200000325000286/ЗК'</t>
  </si>
  <si>
    <t>'2519010997225000324'</t>
  </si>
  <si>
    <t>'0149200002325003639'</t>
  </si>
  <si>
    <t>'2025.3639-ЗК'</t>
  </si>
  <si>
    <t>'2732500095125000356'</t>
  </si>
  <si>
    <t>'0168500000625002302'</t>
  </si>
  <si>
    <t>"57725262013250026530000  "</t>
  </si>
  <si>
    <t>"32514879084"</t>
  </si>
  <si>
    <t>МГ2025-004</t>
  </si>
  <si>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</si>
  <si>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(МГ2025-004)</t>
  </si>
  <si>
    <t>2440100451425000037'</t>
  </si>
  <si>
    <t>СД25-001-у</t>
  </si>
  <si>
    <t>Услуги по обеспечению детей с сахарным диабетом 1 типа системами непрерывного мониторинга глюкозы</t>
  </si>
  <si>
    <t>Система Flash мониторинга глюкозы FreeStyle Libre 2. Товарный знак: отсутствует</t>
  </si>
  <si>
    <t>'2440100451425000036'</t>
  </si>
  <si>
    <t>СД25-002-у</t>
  </si>
  <si>
    <t>'2440100451425000035'</t>
  </si>
  <si>
    <t>СД25-003-у</t>
  </si>
  <si>
    <t>'2440100451425000033'</t>
  </si>
  <si>
    <t>'0141200001525000003'</t>
  </si>
  <si>
    <t>СБ25-002</t>
  </si>
  <si>
    <t>'2440100451425000032'</t>
  </si>
  <si>
    <t>'0141200001525000002'</t>
  </si>
  <si>
    <t>СБ25-001</t>
  </si>
  <si>
    <t>'2440100451425000031'</t>
  </si>
  <si>
    <t>СД25-015-у</t>
  </si>
  <si>
    <t>'2440100451425000030'</t>
  </si>
  <si>
    <t>СД25-014-у</t>
  </si>
  <si>
    <t>'2440100451425000029'</t>
  </si>
  <si>
    <t>СД25-013-у</t>
  </si>
  <si>
    <t>'2440100451425000028'</t>
  </si>
  <si>
    <t>СД25-011-у</t>
  </si>
  <si>
    <t>Услуги по обеспечению детей с сахарным диабетом системами непрерывного мониторинга глюкозы</t>
  </si>
  <si>
    <t>'2440100451425000027'</t>
  </si>
  <si>
    <t>СД25-012-у</t>
  </si>
  <si>
    <t>'2440100451425000026'</t>
  </si>
  <si>
    <t>СД25-010-у</t>
  </si>
  <si>
    <t>Cистема Flash мониторинга глюкозы FreeStyle Libre 2. Товарный знак: отсутствует</t>
  </si>
  <si>
    <t>'2440100451425000025'</t>
  </si>
  <si>
    <t>СД25-009-у</t>
  </si>
  <si>
    <t>'2440100451425000024'</t>
  </si>
  <si>
    <t>СД25-008-у</t>
  </si>
  <si>
    <t>'2440100451425000023'</t>
  </si>
  <si>
    <t>СД25-007-у</t>
  </si>
  <si>
    <t>'2440100451425000022'</t>
  </si>
  <si>
    <t>СД25-006-у</t>
  </si>
  <si>
    <t>Услуги по обеспечению детей с сахарным диабетом 1 типа в возрасте от 2 до 17 лет включительно системами непрерывного мониторинга глюкозы</t>
  </si>
  <si>
    <t>'2440100451425000021'</t>
  </si>
  <si>
    <t>СД25-005-у</t>
  </si>
  <si>
    <t>'2440100451425000020'</t>
  </si>
  <si>
    <t>СД25-004-у</t>
  </si>
  <si>
    <t>'2616304981425000575'</t>
  </si>
  <si>
    <t>'0158200001325000983'</t>
  </si>
  <si>
    <t>'25000983'</t>
  </si>
  <si>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</si>
  <si>
    <t>'2434601121125000960'</t>
  </si>
  <si>
    <t>КИРОВСКОЕ ОБЛАСТНОЕ ГОСУДАРСТВЕННОЕ БЮДЖЕТНОЕ УЧРЕЖДЕНИЕ ЗДРАВООХРАНЕНИЯ  "КИРОВСКАЯ ОБЛАСТНАЯ КЛИНИЧЕСКАЯ БОЛЬНИЦА"</t>
  </si>
  <si>
    <t>'0340200003325007135'</t>
  </si>
  <si>
    <t>'03402000033250071350001'</t>
  </si>
  <si>
    <t>Cистема мониторинга уровня глюкозы. Товарный знак: FreeStyle Libre</t>
  </si>
  <si>
    <t>'2352501051925000257'</t>
  </si>
  <si>
    <t>'0130200000325000281'</t>
  </si>
  <si>
    <t>'2025.0130200000325000281/ЗК'</t>
  </si>
  <si>
    <t>'2352501051925000251'</t>
  </si>
  <si>
    <t>'0130200000325000284'</t>
  </si>
  <si>
    <t>'2025.0130200000325000284/ЗК'</t>
  </si>
  <si>
    <t>'2440100451425000041'</t>
  </si>
  <si>
    <t>'0141200001525000004'</t>
  </si>
  <si>
    <t>СБ25-003</t>
  </si>
  <si>
    <t>'2440100451425000039'</t>
  </si>
  <si>
    <t>'0141200001525000005'</t>
  </si>
  <si>
    <t>СБ25-004</t>
  </si>
  <si>
    <t>'2440100451425000038'</t>
  </si>
  <si>
    <t>'0141200001525000006'</t>
  </si>
  <si>
    <t>СБ25-005</t>
  </si>
  <si>
    <t>"57725262013250026870000   "</t>
  </si>
  <si>
    <t>"32514912473"</t>
  </si>
  <si>
    <t>2 полугодие 2025</t>
  </si>
  <si>
    <t>МГ2025-002</t>
  </si>
  <si>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</si>
  <si>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(МГ2025-002)</t>
  </si>
  <si>
    <t>'2352501051925000277'</t>
  </si>
  <si>
    <t>'0130200000325000280'</t>
  </si>
  <si>
    <t>'2025.0130200000325000280/ЗК'</t>
  </si>
  <si>
    <t>Поставка комплекта изделий чрескожного мониторинга уровня глюкозы в интерстициальной жидкости, электрохимический метод (для детей 4-17л)</t>
  </si>
  <si>
    <t>'2352501051925000264'</t>
  </si>
  <si>
    <t>'0130200000325000285'</t>
  </si>
  <si>
    <t>'2025.0130200000325000285/ЗК'</t>
  </si>
  <si>
    <t>Комплект изделий чрескожного мониторинга уровня глюкозы в интерстициальной жидкости, электрохимический метод. Товарный знак: FreeStyle LibreFreeStyle LibreFreeStyle Libre</t>
  </si>
  <si>
    <t>'3666005552925000177'</t>
  </si>
  <si>
    <t>ГОСУДАРСТВЕННОЕ БЮДЖЕТНОЕ УЧРЕЖДЕНИЕ ЗДРАВООХРАНЕНИЯ СВЕРДЛОВСКОЙ ОБЛАСТИ "ЕКАТЕРИНБУРГСКИЙ КЛИНИЧЕСКИЙ ПЕРИНАТАЛЬНЫЙ ЦЕНТР"</t>
  </si>
  <si>
    <t>'0162200011825002179'</t>
  </si>
  <si>
    <t>'2179.2025/д'</t>
  </si>
  <si>
    <t>'2745313582725001453'</t>
  </si>
  <si>
    <t>'0169200001025000017'</t>
  </si>
  <si>
    <t>'0017-МО/2025-ЕД(12)'</t>
  </si>
  <si>
    <t>'2381102909125000428'</t>
  </si>
  <si>
    <t>'0334200004625000269'</t>
  </si>
  <si>
    <t>Протокол подведения итогов определения поставщика № ИЗТ1 от 27.06.2025 00:00:00</t>
  </si>
  <si>
    <t>'02-ЭЗТ/25-0269'</t>
  </si>
  <si>
    <t>НЕДБАЕВА ОЛЕГОВНА ИНГА</t>
  </si>
  <si>
    <t>'2312344802025000456'</t>
  </si>
  <si>
    <t>'0826500000925002463'</t>
  </si>
  <si>
    <t>'	0826500000925002463'</t>
  </si>
  <si>
    <t>Поставка медицинских изделий Комплект изделий чрескожного мониторинга уровня глюкозы в интерстициальной жидкости, электрохимический метод  на 2025 г.</t>
  </si>
  <si>
    <t>'2060300584125000031'</t>
  </si>
  <si>
    <t>'0114500000825001701'</t>
  </si>
  <si>
    <t>Протокол подведения итогов определения поставщика № ИЗТ1 от 30.06.2025 00:00:00</t>
  </si>
  <si>
    <t>'1701'</t>
  </si>
  <si>
    <t>'2450102509925000392'</t>
  </si>
  <si>
    <t>'0343200010725000389'</t>
  </si>
  <si>
    <t>'317-к/25'</t>
  </si>
  <si>
    <t>2450102509925000389'</t>
  </si>
  <si>
    <t>'0343200010725000396'</t>
  </si>
  <si>
    <t>'323-к/25'</t>
  </si>
  <si>
    <t>"86623097055250003140000 "</t>
  </si>
  <si>
    <t>"32514947760"</t>
  </si>
  <si>
    <t>Итоговый протокол 32514947760-04</t>
  </si>
  <si>
    <t>346ат25</t>
  </si>
  <si>
    <t>'2100104678625000421'</t>
  </si>
  <si>
    <t>'0306200010225000392'</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</si>
  <si>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2025 году (для социального обеспечения отдельных категорий граждан)</t>
  </si>
  <si>
    <t>ОБЩЕСТВО С ОГРАНИЧЕННОЙ ОТВЕТСТВЕННОСТЬЮ "АТЛАНТЛОГ"</t>
  </si>
  <si>
    <t>Атлантлог</t>
  </si>
  <si>
    <t>'2312316211025000114'</t>
  </si>
  <si>
    <t>'0826500000925002532'</t>
  </si>
  <si>
    <t>'101/25 МЗ БО'</t>
  </si>
  <si>
    <t>Поставка медицинских изделий Комплект изделий чрескожного мониторинга уровня глюкозы в интерстициальной жидкости, электрохимический метод I на 2025г.</t>
  </si>
  <si>
    <t>'2301506815925000312'</t>
  </si>
  <si>
    <t>'0825500000725001824'</t>
  </si>
  <si>
    <t>'246/1824'</t>
  </si>
  <si>
    <t>'1421800643125000203'</t>
  </si>
  <si>
    <t>ФЕДЕРАЛЬНОЕ ГОСУДАРСТВЕННОЕ БЮДЖЕТНОЕ УЧРЕЖДЕНИЕ "НОВОКУЗНЕЦКИЙ НАУЧНО-ПРАКТИЧЕСКИЙ ЦЕНТР МЕДИКО-СОЦИАЛЬНОЙ ЭКСПЕРТИЗЫ И РЕАБИЛИТАЦИИ ИНВАЛИДОВ" МИНИСТЕРСТВА ТРУДА И СОЦИАЛЬНОЙ ЗАЩИТЫ РОССИЙСКОЙ ФЕДЕРАЦИИ</t>
  </si>
  <si>
    <t>'0339100001525000235'</t>
  </si>
  <si>
    <t>Протокол подведения итогов определения поставщика (подрядчика, исполнителя) № ИЭА1 от 24.06.2025 00:00:00</t>
  </si>
  <si>
    <t>'207-2025'</t>
  </si>
  <si>
    <t>Поставка медицинских расходных материалов (Комплект изделий чрескожного мониторинга уровня глюкозы в интерстициальной жидкости, электрохимический метод)</t>
  </si>
  <si>
    <t>'2616304981425000596'</t>
  </si>
  <si>
    <t>'0158200001325001003'</t>
  </si>
  <si>
    <t>'25001003'</t>
  </si>
  <si>
    <t>Комплект изделий чрескожного мониторинга уровня глюкозы в интерстициальной жидкости, электрохимический метод. Товарный знак: Glutec</t>
  </si>
  <si>
    <t>'2380817232725000626'</t>
  </si>
  <si>
    <t>'0134200000125003650'</t>
  </si>
  <si>
    <t>Протокол подведения итогов определения поставщика (подрядчика, исполнителя) № ИЗК1 от 03.07.2025 00:00:00</t>
  </si>
  <si>
    <t>'1420/СахДиаб/Б/3650-ЗКЭФ/25'</t>
  </si>
  <si>
    <t>Сфера</t>
  </si>
  <si>
    <t>'1540815743025000078'</t>
  </si>
  <si>
    <t>ФЕДЕРАЛЬНОЕ ГОСУДАРСТВЕННОЕ БЮДЖЕТНОЕ НАУЧНОЕ УЧРЕЖДЕНИЕ "ФЕДЕРАЛЬНЫЙ ИССЛЕДОВАТЕЛЬСКИЙ ЦЕНТР ФУНДАМЕНТАЛЬНОЙ И ТРАНСЛЯЦИОННОЙ МЕДИЦИНЫ"</t>
  </si>
  <si>
    <t>'0351100001225000064'</t>
  </si>
  <si>
    <t>Протокол подведения итогов определения поставщика (подрядчика, исполнителя) № ИЭА1 от 27.06.2025 00:00:00</t>
  </si>
  <si>
    <t>'0351100001225000064-0001072-01'</t>
  </si>
  <si>
    <t>Поставка датчика мониторинга уровня глюкозы</t>
  </si>
  <si>
    <t xml:space="preserve">Датчик мониторинга уровня глюкозы. Товарный знак: FreeStyle Libre </t>
  </si>
  <si>
    <t>'2772208653925000584'</t>
  </si>
  <si>
    <t>ГОСУДАРСТВЕННОЕ БЮДЖЕТНОЕ УЧРЕЖДЕНИЕ ЗДРАВООХРАНЕНИЯ ГОРОДА МОСКВЫ "ГОРОДСКАЯ КЛИНИЧЕСКАЯ БОЛЬНИЦА № 29 ИМ. Н.Э. БАУМАНА ДЕПАРТАМЕНТА ЗДРАВООХРАНЕНИЯ ГОРОДА МОСКВЫ"</t>
  </si>
  <si>
    <t>'0373200215525000588'</t>
  </si>
  <si>
    <t>'0588-25'</t>
  </si>
  <si>
    <t>Электронный аукцион на поставку комплекта изделий чрескожного мониторинга уровня глюкозы в интерстициальной жидкости, электрохимический метод для нужд терапевтического отделения №4 ГБУЗ «ГКБ № 29 им. Н.Э. Баумана ДЗМ»</t>
  </si>
  <si>
    <t>Фарм 2С</t>
  </si>
  <si>
    <t>'2502406865625001877'</t>
  </si>
  <si>
    <t>'0348200081025002646'</t>
  </si>
  <si>
    <t>Поставка медицинских изделий чрескожного мониторинга уровня глюкозы в интерстициальной жидкости для беременных женщин (Р-65)</t>
  </si>
  <si>
    <t>ОБЩЕСТВО С ОГРАНИЧЕННОЙ ОТВЕТСТВЕННОСТЬЮ "МЕДФАРМ ДИСТРИБУЦИЯ"</t>
  </si>
  <si>
    <t>Медфарм Дистрибуция</t>
  </si>
  <si>
    <t>'2272404126025000372'</t>
  </si>
  <si>
    <t>'0122200002525002214'</t>
  </si>
  <si>
    <t>Протокол подведения итогов определения поставщика (подрядчика, исполнителя) № ИЗК1 от 04.07.2025 00:00:00; Протокол подведения итогов определения поставщика (подрядчика, исполнителя) от «04» июля 2025 г. № 0122200002525002214</t>
  </si>
  <si>
    <t>Комплект изделий чрескожного мониторинга уровня глюкозы в интерстициальной жидкости, электрохимический метод. Товарный знак:  Lumiflex</t>
  </si>
  <si>
    <t>'2920402328125000485'</t>
  </si>
  <si>
    <t>'0174500001125003670'</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</si>
  <si>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Мероприятия по обеспечению Детей с сахарным диабетом 1 типа в возрасте от 2-х до 17-ти лет системами непрерывного мониторинга глюкозы в пользу граждан в целях их социального обеспечения</t>
  </si>
  <si>
    <t>Комплект изделий чрескожного мониторинга уровня глюкозы в интерстициальной жидкости, электрохимический метод. Товарный знак: Medtrum Simplifying Diabetes</t>
  </si>
  <si>
    <t>'2772509373525000170'</t>
  </si>
  <si>
    <t>'0348200077725000158'</t>
  </si>
  <si>
    <t>'25000158'</t>
  </si>
  <si>
    <t>ОБЩЕСТВО С ОГРАНИЧЕННОЙ ОТВЕТСТВЕННОСТЬЮ "ВИТАНТА"</t>
  </si>
  <si>
    <t>'2352501051925000286'</t>
  </si>
  <si>
    <t>'0130200000325000314'</t>
  </si>
  <si>
    <t>'2025.0130200000325000314/ЗК'</t>
  </si>
  <si>
    <t>'2352501051925000288'</t>
  </si>
  <si>
    <t>'0130200000325000316'</t>
  </si>
  <si>
    <t>'2025.0130200000325000316/ЗК'</t>
  </si>
  <si>
    <t>'2352501051925000287'</t>
  </si>
  <si>
    <t>'0130200000325000315'</t>
  </si>
  <si>
    <t>'2025.0130200000325000315/ЗК'</t>
  </si>
  <si>
    <t>'2450102465925000253'</t>
  </si>
  <si>
    <t>'0843500000225003603'</t>
  </si>
  <si>
    <t>"57725262013250031760000"</t>
  </si>
  <si>
    <t>МГ2025-007</t>
  </si>
  <si>
    <t>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</si>
  <si>
    <t>Лот №1 Конкурс в электронной форме на поставку комплектов изделий чрескожного мониторинга уровня глюкозы в интерстициальной жидкости, электрохимический метод (МГ2025-007)</t>
  </si>
  <si>
    <t>'2434701856225000176'</t>
  </si>
  <si>
    <t>'0340200013025000002'</t>
  </si>
  <si>
    <t>'03402000130250000020001'</t>
  </si>
  <si>
    <t>2590410132225000116'</t>
  </si>
  <si>
    <t>'0356300042225000161'</t>
  </si>
  <si>
    <t>2434701856225000177'</t>
  </si>
  <si>
    <t>'0340200013025000003'</t>
  </si>
  <si>
    <t>'03402000130250000030001'</t>
  </si>
  <si>
    <t>Комплект изделий чрескожного мониторинга уровня глюкозы в интерстициальной жидкости, электрохимический метод. Товарный знак: iCan</t>
  </si>
  <si>
    <t>ОБЩЕСТВО С ОГРАНИЧЕННОЙ ОТВЕТСТВЕННОСТЬЮ "ДИАТЭК"</t>
  </si>
  <si>
    <t>Диатэк</t>
  </si>
  <si>
    <t>2502406865625001957'</t>
  </si>
  <si>
    <t>'0348200081025002728'</t>
  </si>
  <si>
    <t>Протокол подведения итогов определения поставщика (подрядчика, исполнителя) № ИЭА1 от 07.07.2025 00:00:00</t>
  </si>
  <si>
    <t>Поставка медицинских изделий чрескожного мониторинга уровня глюкозы в интерстициальной жидкости для обеспечения детей с сахарным диабетом 1 типа в возрасте от 2-х до 17-ти лет (Р-68)</t>
  </si>
  <si>
    <t>Поставка медицинских изделий чрескожного мониторинга уровня глюкозы в интерстициальной жидкости для обеспечения детей с сахарным диабетом 1 типа в возрасте от 2-х до 17-ти лет  (Р-68)</t>
  </si>
  <si>
    <t>'2690504495025000816'</t>
  </si>
  <si>
    <t>'0136500001125004265'</t>
  </si>
  <si>
    <t>Поставка медицинских изделий для нужд ГБУЗ ТО «Областная клиническая больница» (Комплект изделий чрескожного мониторинга уровня глюкозы в интерстициальной жидкости, электрохимический метод) на 2025 год</t>
  </si>
  <si>
    <t>2100133412825000487'</t>
  </si>
  <si>
    <t>'0306500000325000483'</t>
  </si>
  <si>
    <t>Протокол подведения итогов определения поставщика № ИЗТ1 от 16.07.2025 00:00:00</t>
  </si>
  <si>
    <t>'483-3'</t>
  </si>
  <si>
    <t>'2540215512325001413'</t>
  </si>
  <si>
    <t>'0851200000625004518'</t>
  </si>
  <si>
    <t>Протокол подведения итогов определения поставщика (подрядчика, исполнителя) № ИЭА1 от 08.07.2025 00:00:00</t>
  </si>
  <si>
    <t>'25.Ф.2025.4518 У СНМГ СОФ'</t>
  </si>
  <si>
    <t>2025-№1461 Поставка медицинских изделий: Комплект изделий чрескожного мониторинга уровня глюкозы в интерстициальной жидкости, электрохимический метод</t>
  </si>
  <si>
    <t>'2402712264525000358'</t>
  </si>
  <si>
    <t>б/н от 21.07.2025</t>
  </si>
  <si>
    <t>'15-гп-рл/25-26'</t>
  </si>
  <si>
    <t>Система fiash мониторинга глюкозы freestyle libre 2 №1. Товарный знак: отсутствует</t>
  </si>
  <si>
    <t>Система непрерывного мониторинга глюкозы Hematonix GS1, модель GS1Sb. Товарный знак: отсутствует</t>
  </si>
  <si>
    <t>Система непрерывного мониторинга глюкозы iCan i3 cgm. Товарный знак: отсутствует</t>
  </si>
  <si>
    <t>2502406865625001965'</t>
  </si>
  <si>
    <t>'0348200081025002758'</t>
  </si>
  <si>
    <t>Поставка медицинских изделий чрескожного мониторинга уровня глюкозы в интерстициальной жидкости для беременных женщин (Р-69, лот 2)</t>
  </si>
  <si>
    <t>'2502406865625001969'</t>
  </si>
  <si>
    <t>'0348200081025002759'</t>
  </si>
  <si>
    <t>Поставка медицинских изделий чрескожного мониторинга уровня глюкозы в интерстициальной жидкости для беременных женщин (Р-69, лот 1)</t>
  </si>
  <si>
    <t>'2352501051925000295'</t>
  </si>
  <si>
    <t>'0130200000325000338'</t>
  </si>
  <si>
    <t>'2025.0130200000325000338/ЗК'</t>
  </si>
  <si>
    <t>'2120000088125000270'</t>
  </si>
  <si>
    <t>'0108500000425003384'</t>
  </si>
  <si>
    <t>'0108500000425003384/ЗК'</t>
  </si>
  <si>
    <t>'2745313582725001587'</t>
  </si>
  <si>
    <t>'0869200000225006293'</t>
  </si>
  <si>
    <t>'06293-ДЛП/2025-СМП'</t>
  </si>
  <si>
    <t>на поставку Сенсоров для чрескожного мониторинга глюкозы TouchCare Nano</t>
  </si>
  <si>
    <t>Сенсор для чрескожного мониторинга глюкозы. Товарный знак: TouchCare Nano</t>
  </si>
  <si>
    <t>ОБЩЕСТВО С ОГРАНИЧЕННОЙ ОТВЕТСТВЕННОСТЬЮ "МЕДКОМ"</t>
  </si>
  <si>
    <t>Медком</t>
  </si>
  <si>
    <t>'2190113011025000608'</t>
  </si>
  <si>
    <t>'0380200000125004555'</t>
  </si>
  <si>
    <t>Протокол подведения итогов определения поставщика (подрядчика, исполнителя) № ИЭА1 от 14.07.2025 00:00:00</t>
  </si>
  <si>
    <t>'2025.4555'</t>
  </si>
  <si>
    <t>'2772009352325001913'</t>
  </si>
  <si>
    <t>'0373200022225001440'</t>
  </si>
  <si>
    <t>'2150102475925000031'</t>
  </si>
  <si>
    <t>'0310200000325001942'</t>
  </si>
  <si>
    <t>Реализация мероприятий по обеспечению детей с сахарным диабетом 1 типа в возрасте от 2-х до 17 лет включительно системами непрерывного мониторинга в целях социального обеспечения граждан.</t>
  </si>
  <si>
    <t>'2780804383325000638'</t>
  </si>
  <si>
    <t>'0172200002525000244'</t>
  </si>
  <si>
    <t>Поставка № 431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</si>
  <si>
    <t>'1526010135225000411'</t>
  </si>
  <si>
    <t>'0332100021325000284'</t>
  </si>
  <si>
    <t>'200-ЗК'</t>
  </si>
  <si>
    <t>Запрос котировок №200. Поставка расходных материалов, применяемых в медицинских целях</t>
  </si>
  <si>
    <t>'2830001052625000320'</t>
  </si>
  <si>
    <t>'0384200001825000017'</t>
  </si>
  <si>
    <t>Протокол подведения итогов определения поставщика № ИЗТ1 от 23.07.2025 00:00:00</t>
  </si>
  <si>
    <t>'311'</t>
  </si>
  <si>
    <t>'2120000088125000271'</t>
  </si>
  <si>
    <t>'0108500000425003395'</t>
  </si>
  <si>
    <t>'0108500000425003395/ЗК'</t>
  </si>
  <si>
    <t>'2165901171125000117'</t>
  </si>
  <si>
    <t>'0711200015925000091'</t>
  </si>
  <si>
    <t>Протокол подведения итогов определения поставщика (подрядчика, исполнителя) № ИЭА1 от 18.07.2025 00:00:00</t>
  </si>
  <si>
    <t>'2025.927478'</t>
  </si>
  <si>
    <t>'2150102475925000033'</t>
  </si>
  <si>
    <t>'0310200000325001943'</t>
  </si>
  <si>
    <t>Протокол подведения итогов определения поставщика (подрядчика, исполнителя) № ИЗК1 от 24.07.2025 00:00:00</t>
  </si>
  <si>
    <t>'2910201286925000464'</t>
  </si>
  <si>
    <t>'0175200005225000037'</t>
  </si>
  <si>
    <t>2254001845425000401'</t>
  </si>
  <si>
    <t>'0820500000825004415'</t>
  </si>
  <si>
    <t>ОБЩЕСТВО С ОГРАНИЧЕННОЙ ОТВЕТСТВЕННОСТЬЮ "САЙНОКЭ ТРЕЙД"</t>
  </si>
  <si>
    <t>'2502406865625002026'</t>
  </si>
  <si>
    <t>'0348200081025002895'</t>
  </si>
  <si>
    <t>Поставка  комплекта изделий чрескожного мониторинга уровня глюкозы в интерстициальной жидкости (М255962)</t>
  </si>
  <si>
    <t>'2246621260725001543'</t>
  </si>
  <si>
    <t>'0119200000125013261'</t>
  </si>
  <si>
    <t>Протокол подведения итогов определения поставщика (подрядчика, исполнителя) № ИЭА1 от 22.07.2025 00:00:00</t>
  </si>
  <si>
    <t>'2025/28/8'</t>
  </si>
  <si>
    <t>ЭА-№-13783/25 «Комплект изделий чрескожного мониторинга уровня глюкозы в интерстициальной жидкости, электрохимический метод»</t>
  </si>
  <si>
    <t>'2320100032725000372'</t>
  </si>
  <si>
    <t>'0527500000225000326'</t>
  </si>
  <si>
    <t>Поставка изделий медицинского назначения (Система мониторинга уровня глюкозы для взрослых) для обеспечения органа власти Брянской области в сфере здравоохранения для обеспечения льготных категорий граждан Брянской области</t>
  </si>
  <si>
    <t>'2320100032725000373'</t>
  </si>
  <si>
    <t>'0527500000225000327'</t>
  </si>
  <si>
    <t>Поставка изделий медицинского назначения (Система мониторинга уровня глюкозы для беременных женщин, страдающих сахарным диабетом) для обеспечения органа власти Брянской области в сфере здравоохранения для обеспечения льготных категорий граждан Брянской области</t>
  </si>
  <si>
    <t>'2290107030325000013'</t>
  </si>
  <si>
    <t>'0124200000625003794'</t>
  </si>
  <si>
    <t>'02-04-05/54'</t>
  </si>
  <si>
    <t>2290107030325000012'</t>
  </si>
  <si>
    <t>'0124200000625003797'</t>
  </si>
  <si>
    <t>'02-04-05/53'</t>
  </si>
  <si>
    <t>2150102475925000034'</t>
  </si>
  <si>
    <t>'0310200000325001948'</t>
  </si>
  <si>
    <t>Протокол подведения итогов определения поставщика (подрядчика, исполнителя) № ИЭА1 от 28.07.2025 00:00:00</t>
  </si>
  <si>
    <t>'2150102475925000034'</t>
  </si>
  <si>
    <t>'2272404126025000401'</t>
  </si>
  <si>
    <t>'0122200002525002613'</t>
  </si>
  <si>
    <t>Протокол подведения итогов определения поставщика (подрядчика, исполнителя) № ИЗК1 от 05.08.2025 00:00:00</t>
  </si>
  <si>
    <t>'2540215512325001479'</t>
  </si>
  <si>
    <t>'0351200003325001532'</t>
  </si>
  <si>
    <t>Протокол подведения итогов определения поставщика (подрядчика, исполнителя) № ИЭА1 от 30.07.2025 00:00:00</t>
  </si>
  <si>
    <t>'25.Ф.2025.1532 СНМГ'</t>
  </si>
  <si>
    <t>2025-№1650 Поставка медицинских изделий:Комплект изделий чрескожного мониторинга уровня глюкозы в интерстициальной жидкости, электрохимический метод</t>
  </si>
  <si>
    <t>'2230905305825001089'</t>
  </si>
  <si>
    <t>'0818500000825005294'</t>
  </si>
  <si>
    <t>Протокол подведения итогов определения поставщика (подрядчика, исполнителя) № ИЭА1 от 31.07.2025 00:00:00</t>
  </si>
  <si>
    <t>'0818500000825005294.2026 (2-Г/М)'</t>
  </si>
  <si>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00Д4011501926</t>
  </si>
  <si>
    <t>'2230905305825001090'</t>
  </si>
  <si>
    <t>'0818500000825005296'</t>
  </si>
  <si>
    <t>'0818500000825005296.2026(1-Г/М)'</t>
  </si>
  <si>
    <t>Поставка комплекта изделий чрескожного мониторинга уровня глюкозы в интерстициальной жидкости, электрохимический метод; шифр регионального проекта Краснодарского края 00Д4011401925</t>
  </si>
  <si>
    <t>2230905305825001089'</t>
  </si>
  <si>
    <t>Комплект изделий чрескожного мониторинга уровня глюкозы в интерстициальной жидкости, электрохимический метод. Товарный знак: 1081263</t>
  </si>
  <si>
    <t>'2010502343925000132'</t>
  </si>
  <si>
    <t>'0176200005525001689'</t>
  </si>
  <si>
    <t>'0176200005525001689-берем'</t>
  </si>
  <si>
    <t>'2910201286925000489'</t>
  </si>
  <si>
    <t>'0175200005225000038'</t>
  </si>
  <si>
    <t>Протокол подведения итогов определения поставщика № ИЗТ1 от 07.08.2025 00:00:00</t>
  </si>
  <si>
    <t>'2100104678625000498'</t>
  </si>
  <si>
    <t>'0306200010225000486'</t>
  </si>
  <si>
    <t>Протокол подведения итогов определения поставщика (подрядчика, исполнителя) № ИЗК1 от 11.08.2025 00:00:00</t>
  </si>
  <si>
    <t>' 0306200010225000486'</t>
  </si>
  <si>
    <t>Поставка Комплектов изделий чрескожного мониторинга уровня глюкозы в интерстициальной жидкости, электрохимический метод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2025 год (для социального обеспечения отдельных категорий граждан лекарственными препаратами)</t>
  </si>
  <si>
    <t>'2771433860925006807'</t>
  </si>
  <si>
    <t>'0873200009825001600'</t>
  </si>
  <si>
    <t>'433/2025-КС'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</si>
  <si>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(ВК2025-204)</t>
  </si>
  <si>
    <t>Комплект изделий чрескожного мониторинга уровня глюкозы в интерстициальной жидкости, электрохимический метод. Товарный знак: ТачКеар Нано СиДжиЭм (TouchCare Nano CGM)</t>
  </si>
  <si>
    <t>'2027415782125001370'</t>
  </si>
  <si>
    <t>'0101500000325000261'</t>
  </si>
  <si>
    <t>'2352501051925000331'</t>
  </si>
  <si>
    <t>'0130200000325000382'</t>
  </si>
  <si>
    <t>'2025.0130200000325000382/ЗК'</t>
  </si>
  <si>
    <t xml:space="preserve">Поставка комплекта изделий чрескожного мониторинга уровня глюкозы в интерстициальной жидкости, электрохимический метод FREESTYLE LIBRE 2 СИСТЕМЫ FLASH МОНИТОРИНГА ГЛЮКОЗЫ (по решению ВК) </t>
  </si>
  <si>
    <t>2550305352025000048'</t>
  </si>
  <si>
    <t>'0352300008625000039'</t>
  </si>
  <si>
    <t>'2025.055220'</t>
  </si>
  <si>
    <t>'2602705399525000276'</t>
  </si>
  <si>
    <t>'0157200000325000905'</t>
  </si>
  <si>
    <t>Протокол подведения итогов определения поставщика (подрядчика, исполнителя) № ИЭА1 от 01.08.2025 00:00:00</t>
  </si>
  <si>
    <t>'1015-А-ГЗ'</t>
  </si>
  <si>
    <t>Поставка медицинских изделий - Комплектов изделий чрескожного мониторинга уровня глюкозы в интерстициальной жидкости, электрохимический метод (регистрационный номер: 1015-А-ГЗ)</t>
  </si>
  <si>
    <t>'2673101866025000221'</t>
  </si>
  <si>
    <t>'0163200000325004358'</t>
  </si>
  <si>
    <t>'1828-аэф'</t>
  </si>
  <si>
    <t>/1828-аэф/т/ Поставка комплектов изделий чрескожного мониторинга уровня глюкозы в интерстициальной жидкости, электрохимический метод для нужд ОГБУЗ "СОДКБ"</t>
  </si>
  <si>
    <t>'2666100219925001203'</t>
  </si>
  <si>
    <t>'0362200025825000912'</t>
  </si>
  <si>
    <t>'2540215512325001495'</t>
  </si>
  <si>
    <t>'0851200000625005294'</t>
  </si>
  <si>
    <t>Протокол подведения итогов определения поставщика (подрядчика, исполнителя) № ИЭА1 от 06.08.2025 00:00:00</t>
  </si>
  <si>
    <t>'25.Ф.2025.5294 У СНМГ'</t>
  </si>
  <si>
    <t>2025-№1651 Поставка медицинских изделий: Комплект изделий чрескожного мониторинга уровня глюкозы в интерстициальной жидкости, электрохимический метод</t>
  </si>
  <si>
    <t>'2246621260725001705'</t>
  </si>
  <si>
    <t>'0119200000125014367'</t>
  </si>
  <si>
    <t>Протокол подведения итогов определения поставщика (подрядчика, исполнителя) № ИЭА1 от 07.08.2025 00:00:00</t>
  </si>
  <si>
    <t>'2025/16/1579'</t>
  </si>
  <si>
    <t>ЭА-№-14154/25 «Комплект изделий чрескожного мониторинга уровня глюкозы в интерстициальной жидкости, электрохимический метод»</t>
  </si>
  <si>
    <t>2732500095125000442'</t>
  </si>
  <si>
    <t>'0168500000625002871'</t>
  </si>
  <si>
    <t>'2732500095125000442'</t>
  </si>
  <si>
    <t>'2352501051925000337'</t>
  </si>
  <si>
    <t>'0130200000325000399'</t>
  </si>
  <si>
    <t>'2025.0130200000325000399/ЗК'</t>
  </si>
  <si>
    <t>2702102165325000376'</t>
  </si>
  <si>
    <t>'0165100007925000372'</t>
  </si>
  <si>
    <t>НМГ.372</t>
  </si>
  <si>
    <t>'2081602584225000046'</t>
  </si>
  <si>
    <t>'0105200000625000009'</t>
  </si>
  <si>
    <t>'76/25'</t>
  </si>
  <si>
    <t>2450102509925000442'</t>
  </si>
  <si>
    <t>'0343200010725000439'</t>
  </si>
  <si>
    <t>'359-к/25'</t>
  </si>
  <si>
    <t>'2623102512325000630'</t>
  </si>
  <si>
    <t>'0859200001125009516'</t>
  </si>
  <si>
    <t>'08592000011250095160001'</t>
  </si>
  <si>
    <t>2732500095125000446'</t>
  </si>
  <si>
    <t>'0168500000625002847'</t>
  </si>
  <si>
    <t>'2732500095125000446'</t>
  </si>
  <si>
    <t>'2771603570525000721'</t>
  </si>
  <si>
    <t>'0373200152825000847'</t>
  </si>
  <si>
    <t>'0373200152825000847_49719'</t>
  </si>
  <si>
    <t>'2900102453025000253'</t>
  </si>
  <si>
    <t>'0170500008625000222'</t>
  </si>
  <si>
    <t>2900102453025000255'</t>
  </si>
  <si>
    <t>'0170500008625000223'</t>
  </si>
  <si>
    <t>Протокол подведения итогов определения поставщика № ИЗТ1 от 22.08.2025 00:00:00</t>
  </si>
  <si>
    <t>'2900102453025000254'</t>
  </si>
  <si>
    <t>'0170500008625000224'</t>
  </si>
  <si>
    <t>2702102165325000390'</t>
  </si>
  <si>
    <t>'0165100007925000381'</t>
  </si>
  <si>
    <t>НМГ.381</t>
  </si>
  <si>
    <t>'2583510860625000105'</t>
  </si>
  <si>
    <t>'0855200000525002604'</t>
  </si>
  <si>
    <t>' 0855200000525002604'</t>
  </si>
  <si>
    <t>'2450102509925000449'</t>
  </si>
  <si>
    <t>'0343200010725000444'</t>
  </si>
  <si>
    <t>'364-к/25'</t>
  </si>
  <si>
    <t>'2027415782125001400'</t>
  </si>
  <si>
    <t>'0801200000225001290'</t>
  </si>
  <si>
    <t>2272404126025000451'</t>
  </si>
  <si>
    <t>'0322200002125000418'</t>
  </si>
  <si>
    <t>'0322200002125000418 '</t>
  </si>
  <si>
    <t>'2056204455025000668'</t>
  </si>
  <si>
    <t>'0103200008425006072'</t>
  </si>
  <si>
    <t>Протокол подведения итогов определения поставщика (подрядчика, исполнителя) № ИЭА1 от 19.08.2025 00:00:00</t>
  </si>
  <si>
    <t>'2165901366025000795'</t>
  </si>
  <si>
    <t>'0711200011025000585'</t>
  </si>
  <si>
    <t>'649-1128/25'</t>
  </si>
  <si>
    <t>Поставка расходных материалов для оказания медицинской помощи</t>
  </si>
  <si>
    <t>Электрод игольчатый системы чрескожного мониторинга уровня глюкозы в интерстициальной жидкости. Товарный знак: FreeStyle Libre</t>
  </si>
  <si>
    <t>'2056002077925000267'</t>
  </si>
  <si>
    <t>'0103200008425006169'</t>
  </si>
  <si>
    <t>Протокол подведения итогов определения поставщика (подрядчика, исполнителя) № ИЭА1 от 22.08.2025 00:00:00; Протокол подведения итогов определения поставщика (подрядчика, исполнителя) № ИЭА1 от 22.08.2025 00:00:00</t>
  </si>
  <si>
    <t>'01032000084250061690001'</t>
  </si>
  <si>
    <t>2434701047525000684'</t>
  </si>
  <si>
    <t>МИНИСТЕРСТВО ЗДРАВООХРАНЕНИЯ КИРОВСКОЙ ОБЛАСТИ</t>
  </si>
  <si>
    <t>'0340200003325011396'</t>
  </si>
  <si>
    <t>'03402000033250113960001'</t>
  </si>
  <si>
    <t>Поставка медицинских изделий по решению суда: 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</si>
  <si>
    <t>'2771433860925007282'</t>
  </si>
  <si>
    <t>'0873200009825001723'</t>
  </si>
  <si>
    <t>'474/2025-КС'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</si>
  <si>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(ВК2025-228)</t>
  </si>
  <si>
    <t>'1701801361325000491'</t>
  </si>
  <si>
    <t>'0365100014825000470'</t>
  </si>
  <si>
    <t>МО-7</t>
  </si>
  <si>
    <t>'2780804383325000756'</t>
  </si>
  <si>
    <t>'0172200002525000441'</t>
  </si>
  <si>
    <t>' 0172200002525000441'</t>
  </si>
  <si>
    <t>Поставка № 642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</si>
  <si>
    <t>'2519080011425001243'</t>
  </si>
  <si>
    <t>'0149200002325004628'</t>
  </si>
  <si>
    <t>Протокол подведения итогов определения поставщика (подрядчика, исполнителя) № ИЭА1 от 26.08.2025 00:00:00</t>
  </si>
  <si>
    <t>'28/08/25-ЭА-03'</t>
  </si>
  <si>
    <t>'2280112372025000512'</t>
  </si>
  <si>
    <t>Открытый конкурс в электронной форме в соответствии со ст. 111.4 Закона № 44-ФЗ</t>
  </si>
  <si>
    <t>'0820500000825004891'</t>
  </si>
  <si>
    <t>'637'</t>
  </si>
  <si>
    <t>Поставка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предусматривающий встречные инвестиционные обязательства поставщика-инвестора по созданию, модернизации, освоению производства систем непрерывного мониторинга глюкозы (Комплект изделий чрескожного мониторинга уровня глюкозы в интерстициальной жидкости, электрохимический метод) на территории Приморского края</t>
  </si>
  <si>
    <t>'2272404126025000468'</t>
  </si>
  <si>
    <t>Протокол подведения итогов определения поставщика (подрядчика, исполнителя) № ИЭОК1 от 22.08.2025 00:00:00</t>
  </si>
  <si>
    <t>'2753609569525000603'</t>
  </si>
  <si>
    <t>МИНИСТЕРСТВО ЗДРАВООХРАНЕНИЯ ЗАБАЙКАЛЬСКОГО КРАЯ</t>
  </si>
  <si>
    <t>'320-ФБ.инвест.'</t>
  </si>
  <si>
    <t>'2254001845425000448'</t>
  </si>
  <si>
    <t>'2732500095125000466'</t>
  </si>
  <si>
    <t>'0168500000625002955'</t>
  </si>
  <si>
    <t>2900102453025000256'</t>
  </si>
  <si>
    <t>'0170500008625000225'</t>
  </si>
  <si>
    <t>Протокол подведения итогов определения поставщика (подрядчика, исполнителя) № ИЭА1 от 01.09.2025 00:00:00</t>
  </si>
  <si>
    <t>Поставка медицинского изделия: Комплект изделий чрескожного мониторинга уровня глюкозы в интерстициальной жидкости, электрохимический метод в 2026 году</t>
  </si>
  <si>
    <t>'2661204921125000774'</t>
  </si>
  <si>
    <t>'0362200072925000682'</t>
  </si>
  <si>
    <t>Комплект изделий чрескожного мониторинга уровня глюкозы в интерстициальной жидкости, электрохимический метод. Товарный знак: Libre</t>
  </si>
  <si>
    <t>'1772801635125000505'</t>
  </si>
  <si>
    <t>ФЕДЕРАЛЬНОЕ ГОСУДАРСТВЕННОЕ БЮДЖЕТНОЕ УЧРЕЖДЕНИЕ "НАЦИОНАЛЬНЫЙ МЕДИЦИНСКИЙ ИССЛЕДОВАТЕЛЬСКИЙ ЦЕНТР ЭНДОКРИНОЛОГИИ ИМЕНИ АКАДЕМИКА И.И. ДЕДОВА" МИНИСТЕРСТВА ЗДРАВООХРАНЕНИЯ РОССИЙСКОЙ ФЕДЕРАЦИИ</t>
  </si>
  <si>
    <t>'0373100059325000501'</t>
  </si>
  <si>
    <t>'402Р-25ЕП/44'</t>
  </si>
  <si>
    <t>'2771904680025000740'</t>
  </si>
  <si>
    <t>'0373200052325000801'</t>
  </si>
  <si>
    <t>'25000801-ЭА'</t>
  </si>
  <si>
    <t>Электронный аукцион на поставку сенсора мониторирования глюкозы (среди субъектов малого предпринимательства и социально ориентированных некоммерческих организаций) для нужд ГБУЗ «ГКБ им. Ф.И. Иноземцева ДЗМ»</t>
  </si>
  <si>
    <t>'2540215512325001551'</t>
  </si>
  <si>
    <t>'0851200000625005980'</t>
  </si>
  <si>
    <t>Протокол подведения итогов определения поставщика (подрядчика, исполнителя) № ИЭА1 от 03.09.2025 00:00:00</t>
  </si>
  <si>
    <t>'25.Ф.2025.5980 У СНМГ'</t>
  </si>
  <si>
    <t>2025-№1653 Поставка медицинских изделий: Комплект изделий чрескожного мониторинга уровня глюкозы в интерстициальной жидкости, электрохимический метод</t>
  </si>
  <si>
    <t>'1770401401025000419'</t>
  </si>
  <si>
    <t>'0373100013425000374'</t>
  </si>
  <si>
    <t>'374-ЭЗТ-25-44'</t>
  </si>
  <si>
    <t>'2760611835625000296'</t>
  </si>
  <si>
    <t>ГОСУДАРСТВЕННОЕ БЮДЖЕТНОЕ КЛИНИЧЕСКОЕ УЧРЕЖДЕНИЕ ЗДРАВООХРАНЕНИЯ ЯРОСЛАВСКОЙ ОБЛАСТИ "ЦЕНТРАЛЬНАЯ ГОРОДСКАЯ БОЛЬНИЦА"</t>
  </si>
  <si>
    <t>'0371500000425000215'</t>
  </si>
  <si>
    <t>'297.25'</t>
  </si>
  <si>
    <t>'2540215512325001560'</t>
  </si>
  <si>
    <t>'0851200000625006043'</t>
  </si>
  <si>
    <t>Протокол подведения итогов определения поставщика (подрядчика, исполнителя) № ИЭА1 от 08.09.2025 00:00:00</t>
  </si>
  <si>
    <t>'25.Ф.2025.6043 У СНМГ'</t>
  </si>
  <si>
    <t>2025-№1652 Поставка медицинских изделий: Комплект изделий чрескожного мониторинга уровня глюкозы в интерстициальной жидкости, электрохимический метод</t>
  </si>
  <si>
    <t>'381110688655'</t>
  </si>
  <si>
    <t>''</t>
  </si>
  <si>
    <t>'2732500095125000481'</t>
  </si>
  <si>
    <t>'0168500000625003097'</t>
  </si>
  <si>
    <t>'7810687137'</t>
  </si>
  <si>
    <t>'781401001'</t>
  </si>
  <si>
    <t>'2550501364225000091'</t>
  </si>
  <si>
    <t>'0352300018325000071'</t>
  </si>
  <si>
    <t>ЭЗТ.2025.71</t>
  </si>
  <si>
    <t>'5262222144'</t>
  </si>
  <si>
    <t>'526001001'</t>
  </si>
  <si>
    <t>"56658081585250009870000"</t>
  </si>
  <si>
    <t>ГОСУДАРСТВЕННОЕ АВТОНОМНОЕ УЧРЕЖДЕНИЕ ЗДРАВООХРАНЕНИЯ СВЕРДЛОВСКОЙ ОБЛАСТИ "СВЕРДЛОВСКАЯ ОБЛАСТНАЯ КЛИНИЧЕСКАЯ БОЛЬНИЦА №1"</t>
  </si>
  <si>
    <t>"2025.214768-3594890-32515165694"</t>
  </si>
  <si>
    <t>Поставка датчика системы чрескожного мониторинга уровня глюкозы для эндокринологического отделения на 2025 г</t>
  </si>
  <si>
    <t>Лот №1 Поставка датчика системы чрескожного мониторинга уровня глюкозы для эндокринологического отделения на 2025 г</t>
  </si>
  <si>
    <t>'2246503087625001479'</t>
  </si>
  <si>
    <t>'0319200039725000548'</t>
  </si>
  <si>
    <t>Протокол подведения итогов определения поставщика (подрядчика, исполнителя) № ИЭА1 от 09.09.2025 00:00:00</t>
  </si>
  <si>
    <t>Ф.7-26</t>
  </si>
  <si>
    <t>Электронный аукцион №Ф.7-26 на право заключения контракта на поставку медицинских изделий для эндокринологического отделения</t>
  </si>
  <si>
    <t>'1774308567025000213'</t>
  </si>
  <si>
    <t>'0373100068725000221'</t>
  </si>
  <si>
    <t>'46-2025 (ч 12)'</t>
  </si>
  <si>
    <t>ЛАРКИН ГРИГОРЬЕВИЧ АНТОН</t>
  </si>
  <si>
    <t>Ларкин</t>
  </si>
  <si>
    <t>'262307769160'</t>
  </si>
  <si>
    <t>'2702102165325000431'</t>
  </si>
  <si>
    <t>'0165100007925000452'</t>
  </si>
  <si>
    <t>НМГ.1452</t>
  </si>
  <si>
    <t>'2402702230525000417'</t>
  </si>
  <si>
    <t>'0137200001225005653'</t>
  </si>
  <si>
    <t>Протокол подведения итогов определения поставщика (подрядчика, исполнителя) № ИЭА1 от 18.09.2025 00:00:00</t>
  </si>
  <si>
    <t>'2402702230525000423'</t>
  </si>
  <si>
    <t>'0137200001225005672'</t>
  </si>
  <si>
    <t>Протокол подведения итогов определения поставщика (подрядчика, исполнителя) № ИЭА1 от 19.09.2025 00:00:00</t>
  </si>
  <si>
    <t>'2402702230525000427'</t>
  </si>
  <si>
    <t>'0137200001225005678'</t>
  </si>
  <si>
    <t>'2027415782125001439'</t>
  </si>
  <si>
    <t>'0801200000225001384'</t>
  </si>
  <si>
    <t>'2081602584225000047'</t>
  </si>
  <si>
    <t>'0105200000625000010'</t>
  </si>
  <si>
    <t>Протокол подведения итогов определения поставщика № ИЗТ1 от 01.10.2025 00:00:00</t>
  </si>
  <si>
    <t>'78/25'</t>
  </si>
  <si>
    <t>'2312344802025000723'</t>
  </si>
  <si>
    <t>'0826500000925003941'</t>
  </si>
  <si>
    <t>Поставка медицинских изделий Комплект изделий чрескожного мониторинга уровня глюкозы в интерстициальной жидкости, электрохимический метод на 2026г.</t>
  </si>
  <si>
    <t>Комплект изделий чрескожного мониторинга уровня глюкозы в интерстициальной жидкости, электрохимический метод. Товарный знак: Система непрерывного мониторинга уровня глюкозы iCan i3 CGM</t>
  </si>
  <si>
    <t>2720300024925001387'</t>
  </si>
  <si>
    <t>'0167200003425006939'</t>
  </si>
  <si>
    <t>'2006РМ/25'</t>
  </si>
  <si>
    <t>поставка медицинских изделий: Комплект изделий чрескожного мониторинга уровня глюкозы в интерстициальной жидкости, электрохимический метод</t>
  </si>
  <si>
    <t>'2720300024925001383'</t>
  </si>
  <si>
    <t>'0167200003425006892'</t>
  </si>
  <si>
    <t>'16РМ/26'</t>
  </si>
  <si>
    <t>'2745313582725002065'</t>
  </si>
  <si>
    <t>'0869200000225008492'</t>
  </si>
  <si>
    <t>'08492-ДЛП/2025-СМП-ЗК'</t>
  </si>
  <si>
    <t>'2434701856225000212'</t>
  </si>
  <si>
    <t>'0340200003325012362'</t>
  </si>
  <si>
    <t>'03402000033250123620001'</t>
  </si>
  <si>
    <t>'2860103583825001105'</t>
  </si>
  <si>
    <t>'0387200009125004695'</t>
  </si>
  <si>
    <t>'25004695'</t>
  </si>
  <si>
    <t>Поставка медицинских изделий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2026 году</t>
  </si>
  <si>
    <t>'2482500511025000607'</t>
  </si>
  <si>
    <t>'0346200002825000595'</t>
  </si>
  <si>
    <t>'569ФОМС'</t>
  </si>
  <si>
    <t>'2183300285425001181'</t>
  </si>
  <si>
    <t>'340ЕП'</t>
  </si>
  <si>
    <t>'2771433860925008446'</t>
  </si>
  <si>
    <t>'0873200009825002668'</t>
  </si>
  <si>
    <t>'575/2025-КС'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</si>
  <si>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(ВК2025-265)</t>
  </si>
  <si>
    <t>'2732500095125000504'</t>
  </si>
  <si>
    <t>'0168500000625003266'</t>
  </si>
  <si>
    <t>'2590229330825000951'</t>
  </si>
  <si>
    <t>'0156200000525000659'</t>
  </si>
  <si>
    <t>'2650102496625000845'</t>
  </si>
  <si>
    <t>'0361200015025005177'</t>
  </si>
  <si>
    <t>'2540215512325001822'</t>
  </si>
  <si>
    <t>'0851200000625007025'</t>
  </si>
  <si>
    <t>Протокол подведения итогов определения поставщика (подрядчика, исполнителя) № ИЭА1 от 15.10.2025 00:00:00</t>
  </si>
  <si>
    <t>'25.Ф.2025.7025 У СНМГ'</t>
  </si>
  <si>
    <t>2025-№1954 Поставка медицинских изделий: Комплект изделий чрескожного мониторинга уровня глюкозы в интерстициальной жидкости, электрохимический метод</t>
  </si>
  <si>
    <t>'1616706334425001342'</t>
  </si>
  <si>
    <t>ФЕДЕРАЛЬНОЕ ГОСУДАРСТВЕННОЕ БЮДЖЕТНОЕ УЧРЕЖДЕНИЕ ЗДРАВООХРАНЕНИЯ "ЮЖНЫЙ ОКРУЖНОЙ МЕДИЦИНСКИЙ ЦЕНТР ФЕДЕРАЛЬНОГО МЕДИКО-БИОЛОГИЧЕСКОГО АГЕНТСТВА"</t>
  </si>
  <si>
    <t>'0358100006225000508'</t>
  </si>
  <si>
    <t>Протокол подведения итогов определения поставщика (подрядчика, исполнителя) № ИЗК1 от 23.10.2025 00:00:00</t>
  </si>
  <si>
    <t>'0358100006225000508/2025-510/3'</t>
  </si>
  <si>
    <t>ИМН (расходные материалы)для отделения терапии.</t>
  </si>
  <si>
    <t>'2745313582725002192'</t>
  </si>
  <si>
    <t>'0869200000225009162'</t>
  </si>
  <si>
    <t>'09162-СД/2025-ЗК'</t>
  </si>
  <si>
    <t>На поставку Сенсоров для чрескожного мониторинга глюкозы</t>
  </si>
  <si>
    <t xml:space="preserve">Сенсор для чрескожного мониторинга глюкозы. Товарный знак: TouchCare </t>
  </si>
  <si>
    <t>'2272404126025000537'</t>
  </si>
  <si>
    <t>'0122200002525003745'</t>
  </si>
  <si>
    <t>'2526013629925001956'</t>
  </si>
  <si>
    <t>ГОСУДАРСТВЕННОЕ ПРЕДПРИЯТИЕ НИЖЕГОРОДСКОЙ ОБЛАСТИ "НИЖЕГОРОДСКАЯ ОБЛАСТНАЯ ФАРМАЦИЯ"</t>
  </si>
  <si>
    <t>'0432200000825002467'</t>
  </si>
  <si>
    <t>Протокол подведения итогов определения поставщика (подрядчика, исполнителя) № ИЗК1 от 27.10.2025 00:00:00</t>
  </si>
  <si>
    <t>Ц-2815_ВК</t>
  </si>
  <si>
    <t>Ц-2815/ВК_Закупка медицинских изделий</t>
  </si>
  <si>
    <t>Система непрерывного мониторинга глюкозы Lumiflex Linx. Товарный знак: Lumiflex Linx</t>
  </si>
  <si>
    <t>'2272404126025000535'</t>
  </si>
  <si>
    <t>'0122200002525003900'</t>
  </si>
  <si>
    <t>' 0122200002525003900'</t>
  </si>
  <si>
    <t>'2183104497925001177'</t>
  </si>
  <si>
    <t>'06/01-05/278-МЗ'</t>
  </si>
  <si>
    <t>'2402712264525000688'</t>
  </si>
  <si>
    <t>'34-гп-сд/26'</t>
  </si>
  <si>
    <t>Система flash мониторинга глюкозы freestyle libre 2 №1. Товарный знак: 0</t>
  </si>
  <si>
    <t>Система непрерывного мониторинга глюкозы iCan i3 сgm. Товарный знак: 0</t>
  </si>
  <si>
    <t>'2402712264525000689'</t>
  </si>
  <si>
    <t>б/н от 31.10.2025</t>
  </si>
  <si>
    <t>'35-гп-сд/26'</t>
  </si>
  <si>
    <t>Система непрерывного мониторинга глюкозы iCan i3 CGM. Товарный знак: отсутствует</t>
  </si>
  <si>
    <t>'2780804383325000871'</t>
  </si>
  <si>
    <t>'0172200001925000715'</t>
  </si>
  <si>
    <t>'2330200857025000605'</t>
  </si>
  <si>
    <t>'0328200002825000082'</t>
  </si>
  <si>
    <t>'2100104678625000703'</t>
  </si>
  <si>
    <t>'0306200010225000750'</t>
  </si>
  <si>
    <t>Протокол подведения итогов определения поставщика (подрядчика, исполнителя) № ИЗК1 от 29.10.2025 00:00:00</t>
  </si>
  <si>
    <t>' 0306200010225000750'</t>
  </si>
  <si>
    <t>1780203042925002493'</t>
  </si>
  <si>
    <t>'0372100049625002911'</t>
  </si>
  <si>
    <t>'03721000496250029110001/МИ/П'</t>
  </si>
  <si>
    <t>Комплект изделий чрескожного мониторинга уровня глюкозы в интерстициальной жидкости, электрохимический метод. Товарный знак: Отсутствует</t>
  </si>
  <si>
    <t>'2272404126025000539'</t>
  </si>
  <si>
    <t>'0122200002525003945'</t>
  </si>
  <si>
    <t>'2502406865625002593'</t>
  </si>
  <si>
    <t>'0348200081025003827'</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</si>
  <si>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(Р-88, лот 2)</t>
  </si>
  <si>
    <t>'2056204455025000823'</t>
  </si>
  <si>
    <t>'0303200025125000822'</t>
  </si>
  <si>
    <t>Поставка изделий медицинского назначения на 2026 год_ -</t>
  </si>
  <si>
    <t>'2402712264525000691'</t>
  </si>
  <si>
    <t>б/н от 05.11.2025</t>
  </si>
  <si>
    <t>'36-гп-сд/26'</t>
  </si>
  <si>
    <t>"51833000350250000660000"</t>
  </si>
  <si>
    <t>"32515371043"</t>
  </si>
  <si>
    <t>Протокол для способа "Закупка у единственного поставщика (исполнителя, подрядчика)" 32515371043-01</t>
  </si>
  <si>
    <t>366/ПОСТ</t>
  </si>
  <si>
    <t>Система непрерывного мониторинга уровня глюкозы</t>
  </si>
  <si>
    <t>2402712264525000691'</t>
  </si>
  <si>
    <t>Система непрерывного мониторинга уровня глюкозы x1 N1. Товарный знак: 0</t>
  </si>
  <si>
    <t>'2502406865625002597'</t>
  </si>
  <si>
    <t>'0348200081025003829'</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</si>
  <si>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(Р-88, лот 3)</t>
  </si>
  <si>
    <t>'2745313582725002249'</t>
  </si>
  <si>
    <t>'0869200000225009116'</t>
  </si>
  <si>
    <t>'09116-СД/2025-СМП'</t>
  </si>
  <si>
    <t>'поставку Комплектов изделий чрескожного мониторинга уровня глюкозы в интерстициальной жидкости, электрохимический метод'</t>
  </si>
  <si>
    <t>'1772908209025000795'</t>
  </si>
  <si>
    <t>'0373100040125000765'</t>
  </si>
  <si>
    <t>Протокол подведения итогов определения поставщика (подрядчика, исполнителя) № ИЗК1 от 31.10.2025 00:00:00</t>
  </si>
  <si>
    <t>'1538-44-2025'</t>
  </si>
  <si>
    <t>Закупка расходных медицинских изделий (Комплект изделий чрескожного мониторинга уровня глюкозы в интерстициальной жидкости, электрохимический метод) для МНОИ МГУ имени М.В. Ломоносова (ИД 83619))</t>
  </si>
  <si>
    <t>'2320100491725000577'</t>
  </si>
  <si>
    <t>'574-ЕП'</t>
  </si>
  <si>
    <t>Закупка для обеспечения беременных женщин с сахарным диабетом системами непрерывного мониторинга глюкозы (в целях их социального обеспечения)</t>
  </si>
  <si>
    <t>'2090102408525000378'</t>
  </si>
  <si>
    <t>'0179200001725000350'</t>
  </si>
  <si>
    <t>Протокол подведения итогов определения поставщика (подрядчика, исполнителя) № ИЭА1 от 29.10.2025 00:00:00</t>
  </si>
  <si>
    <t>'Поставка комплекта изделий чрескожного мониторинга уровня глюкозы.'</t>
  </si>
  <si>
    <t>'2645504666625001599'</t>
  </si>
  <si>
    <t>'0860200000825008159'</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</si>
  <si>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          с целью обеспечения льготных категорий граждан'</t>
  </si>
  <si>
    <t>2745313582725002296'</t>
  </si>
  <si>
    <t>'0869200000225009380'</t>
  </si>
  <si>
    <t>'09380-ДЕТИ/2025'</t>
  </si>
  <si>
    <t>На поставку Комплектов изделий чрескожного мониторинга уровня глюкозы в интерстициальной жидкости, электрохимический метод</t>
  </si>
  <si>
    <t>'2745313582725002296'</t>
  </si>
  <si>
    <t>2450102509925000601'</t>
  </si>
  <si>
    <t>'0343200010725000651'</t>
  </si>
  <si>
    <t>'526-к/25'</t>
  </si>
  <si>
    <t>Комплект изделий чрескожного мониторинга уровня глюкозы в интерстициальной жидкости, электрохимический метод. Товарный знак: Hematonix GS1</t>
  </si>
  <si>
    <t>'2381201469025001269'</t>
  </si>
  <si>
    <t>'0334200012525000828'</t>
  </si>
  <si>
    <t>'0828-ЭЗК/25-03РМ'</t>
  </si>
  <si>
    <t>Датчик для мониторинга глюкозы. Товарный знак: FreeStyle Libre</t>
  </si>
  <si>
    <t>'1770401401025000497'</t>
  </si>
  <si>
    <t>'0373100013425000472'</t>
  </si>
  <si>
    <t>Протокол подведения итогов определения поставщика № ИЗТ1 от 12.11.2025 00:00:00</t>
  </si>
  <si>
    <t>'472-ЭЗТ-25-44'</t>
  </si>
  <si>
    <t>Комплект изделий чрескожного мониторинга уровня глюкозы в интерстициальной жидкости, электрохимический метод. Товарный знак: Ирландия  НАИМЕНОВАНИЕ ПО РУ Система Flash мониторинга глюкозы FreeStyle Libre 2</t>
  </si>
  <si>
    <t>'2246621260725002961'</t>
  </si>
  <si>
    <t>'0119200000125021614'</t>
  </si>
  <si>
    <t>Протокол подведения итогов определения поставщика (подрядчика, исполнителя) № ИЗК1 от 12.11.2025 00:00:00</t>
  </si>
  <si>
    <t>'2026/16/550'</t>
  </si>
  <si>
    <t>ЗК-№-21893/25 «Комплект изделий чрескожного мониторинга уровня глюкозы в интерстициальной жидкости, электрохимический метод»</t>
  </si>
  <si>
    <t>'2463228633725000517'</t>
  </si>
  <si>
    <t>'0344500000625000088'</t>
  </si>
  <si>
    <t>Протокол подведения итогов определения поставщика № ИЗТ1 от 14.11.2025 00:00:00</t>
  </si>
  <si>
    <t>'0344500000625000088 '</t>
  </si>
  <si>
    <t>"56731033838250011080000"</t>
  </si>
  <si>
    <t>"32515338116"</t>
  </si>
  <si>
    <t>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</si>
  <si>
    <t>Лот №1 Аукцион в электронной форме на право заключения договора на поставку медицинского изделия (Датчик FreeStyle Libre, Датчик FreeStyle Libre системы Flash мониторинга глюкозы FreeStyle Libre 2 №1) для обеспечения граждан на территории Смоленской области.</t>
  </si>
  <si>
    <t>'2450102509925000630'</t>
  </si>
  <si>
    <t>'0343200010725000682'</t>
  </si>
  <si>
    <t>'560-к/25'</t>
  </si>
  <si>
    <t>'2540215512325001942'</t>
  </si>
  <si>
    <t>'0851200000625007515'</t>
  </si>
  <si>
    <t>Протокол подведения итогов определения поставщика (подрядчика, исполнителя) № ИЭА1 от 05.11.2025 00:00:00</t>
  </si>
  <si>
    <t>'25.Ф.2025.7515 У СНМГ'</t>
  </si>
  <si>
    <t>2025-№2286 Поставка медицинских изделий: Комплект изделий чрескожного мониторинга уровня глюкозы в интерстициальной жидкости, электрохимический метод</t>
  </si>
  <si>
    <t>'2540215512325001944'</t>
  </si>
  <si>
    <t>'0851200000625007484'</t>
  </si>
  <si>
    <t>Протокол подведения итогов определения поставщика (подрядчика, исполнителя) № ИЭА1 от 07.11.2025 00:00:00</t>
  </si>
  <si>
    <t>'25.Ф.2025.7484 У СНМГ'</t>
  </si>
  <si>
    <t>2025-№2288 Поставка медицинских изделий: Комплект изделий чрескожного мониторинга уровня глюкозы в интерстициальной жидкости, электрохимический метод</t>
  </si>
  <si>
    <t>ОБЩЕСТВО С ОГРАНИЧЕННОЙ ОТВЕТСТВЕННОСТЬЮ "ЗИНТЕРАМЕД"</t>
  </si>
  <si>
    <t>Зинтерамед</t>
  </si>
  <si>
    <t>'2540215512325001947'</t>
  </si>
  <si>
    <t>'0851200000625007576'</t>
  </si>
  <si>
    <t>'25.Ф.2025.7576 У СНМГ'</t>
  </si>
  <si>
    <t>2025-№2290 Поставка медицинских изделий: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</si>
  <si>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HEMATONIX</t>
  </si>
  <si>
    <t>'2540215512325001946'</t>
  </si>
  <si>
    <t>'0851200000625007572'</t>
  </si>
  <si>
    <t>'25.Ф.2025.7572 У СНМГ'</t>
  </si>
  <si>
    <t>2025-№2289 Поставка медицинских изделий: Комплект изделий чрескожного мониторинга уровня глюкозы в интерстициальной жидкости, электрохимический метод</t>
  </si>
  <si>
    <t>2540215512325001946'</t>
  </si>
  <si>
    <t>"56658027450250005980000"</t>
  </si>
  <si>
    <t>"32515354153"</t>
  </si>
  <si>
    <t>Протокол рассмотрения единственной заявки на участие в запросе котировок в электронной форме 32515354153-01</t>
  </si>
  <si>
    <t>"1162Х"</t>
  </si>
  <si>
    <t>'2246621260725003062'</t>
  </si>
  <si>
    <t>'0119200000125020923'</t>
  </si>
  <si>
    <t>Протокол подведения итогов определения поставщика (подрядчика, исполнителя) № ИЭА1 от 10.11.2025 00:00:00</t>
  </si>
  <si>
    <t>'2026/28/3'</t>
  </si>
  <si>
    <t>ЭА-№-21340/25 «Комплект изделий чрескожного мониторинга уровня глюкозы в интерстициальной жидкости, электрохимический метод»</t>
  </si>
  <si>
    <t>'1526010135225000765'</t>
  </si>
  <si>
    <t>'0332100021325000828'</t>
  </si>
  <si>
    <t>'463-ЗК'</t>
  </si>
  <si>
    <t>Запрос котировок №463. Поставка расходных материалов, применяемых в медицинских целях</t>
  </si>
  <si>
    <t>1701801361325000659'</t>
  </si>
  <si>
    <t>'0365100014825000692'</t>
  </si>
  <si>
    <t>МО-15</t>
  </si>
  <si>
    <t>2540215512325001997'</t>
  </si>
  <si>
    <t>'0851200000625007919'</t>
  </si>
  <si>
    <t>Протокол подведения итогов определения поставщика (подрядчика, исполнителя) № ИЭА1 от 13.11.2025 00:00:00</t>
  </si>
  <si>
    <t>'25.Ф.2025.7919 У СНМГ'</t>
  </si>
  <si>
    <t>2025-№2330 Поставка медицинских изделий: Комплект изделий чрескожного мониторинга уровня глюкозы в интерстициальной жидкости, электрохимический метод</t>
  </si>
  <si>
    <t>2502406865625002881'</t>
  </si>
  <si>
    <t>'0348200081025004418'</t>
  </si>
  <si>
    <t>Поставка медицинских изделий в 2025 году (М261835)</t>
  </si>
  <si>
    <t>'2380817232725000863'</t>
  </si>
  <si>
    <t>'0134200000125005320'</t>
  </si>
  <si>
    <t>Протокол подведения итогов определения поставщика (подрядчика, исполнителя) № ИЭА1 от 14.11.2025 00:00:00</t>
  </si>
  <si>
    <t>'14/СахДиаб/Б/5320-ЭА/26'</t>
  </si>
  <si>
    <t>2771433860925010222'</t>
  </si>
  <si>
    <t>'0873200009825005123'</t>
  </si>
  <si>
    <t>'721/2025-КС'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</si>
  <si>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(ВК2025-337)</t>
  </si>
  <si>
    <t>'2780804383325000964'</t>
  </si>
  <si>
    <t>'0172200002525000600'</t>
  </si>
  <si>
    <t>Поставка № 906 медицинского изделия КОМПЛЕКТ ИЗДЕЛИЙ ЧРЕСКОЖНОГО МОНИТОРИНГА УРОВНЯ ГЛЮКОЗЫ В ИНТЕРСТИЦИАЛЬНОЙ ЖИДКОСТИ, ЭЛЕКТРОХИМИЧЕСКИЙ МЕТОД для обеспечения отдельных категорий граждан  в 2025 году.</t>
  </si>
  <si>
    <t>'1772801635125000612'</t>
  </si>
  <si>
    <t>'0373100059325000625'</t>
  </si>
  <si>
    <t>'498Р-25А/44'</t>
  </si>
  <si>
    <t>'2860103583825001489'</t>
  </si>
  <si>
    <t>'0387200009125006078'</t>
  </si>
  <si>
    <t>'25006078'</t>
  </si>
  <si>
    <t>Поставка в 2026 году медицинского изделия в рамках реализации государственной программы Ханты-Мансийского автономного округа - Югры «Современное здравоохранение»</t>
  </si>
  <si>
    <t>'2272404126025000594'</t>
  </si>
  <si>
    <t>'0322200002125000566'</t>
  </si>
  <si>
    <t>Комплект изделий чрескожного мониторинга уровня глюкозы в интерстициальной жидкости, электрохимический метод (система непрерывного мониторинга глюкозы). Товарный знак: FreeStyle Libre</t>
  </si>
  <si>
    <t>'2272404126025000593'</t>
  </si>
  <si>
    <t>'0322200002125000564'</t>
  </si>
  <si>
    <t>'0322200002125000564 '</t>
  </si>
  <si>
    <t>'2272404126025000592'</t>
  </si>
  <si>
    <t>'0322200002125000567'</t>
  </si>
  <si>
    <t>'2272404126025000591'</t>
  </si>
  <si>
    <t>'0322200002125000565'</t>
  </si>
  <si>
    <t>' 0322200002125000565'</t>
  </si>
  <si>
    <t>2272404126025000603'</t>
  </si>
  <si>
    <t>'0322200002125000577'</t>
  </si>
  <si>
    <t>'2272404126025000602'</t>
  </si>
  <si>
    <t>'0322200002125000576'</t>
  </si>
  <si>
    <t>'2272404126025000598'</t>
  </si>
  <si>
    <t>'0322200002125000579'</t>
  </si>
  <si>
    <t>'2272404126025000597'</t>
  </si>
  <si>
    <t>'0322200002125000578'</t>
  </si>
  <si>
    <t>'2623102512325000888'</t>
  </si>
  <si>
    <t>'0859200001125014503'</t>
  </si>
  <si>
    <t>'08592000011250145030001'</t>
  </si>
  <si>
    <t>'2380817232725000901'</t>
  </si>
  <si>
    <t>'0134200005925000721'</t>
  </si>
  <si>
    <t>Протокол подведения итогов определения поставщика № ИЗТ1 от 01.12.2025 00:00:00</t>
  </si>
  <si>
    <t>'1934/СахДиаб/Б/0721-ЭЗТ/25'</t>
  </si>
  <si>
    <t>'2272404126025000601'</t>
  </si>
  <si>
    <t>'0322200002125000586'</t>
  </si>
  <si>
    <t>'2272404126025000600'</t>
  </si>
  <si>
    <t>'0322200002125000589'</t>
  </si>
  <si>
    <t>'2272404126025000599'</t>
  </si>
  <si>
    <t>'0322200002125000588'</t>
  </si>
  <si>
    <t>'2272404126025000609'</t>
  </si>
  <si>
    <t>'0322200002125000583'</t>
  </si>
  <si>
    <t>'2272404126025000608'</t>
  </si>
  <si>
    <t>'0322200002125000584'</t>
  </si>
  <si>
    <t>'2272404126025000605'</t>
  </si>
  <si>
    <t>'0322200002125000587'</t>
  </si>
  <si>
    <t>'2272404126025000604'</t>
  </si>
  <si>
    <t>'0322200002125000585'</t>
  </si>
  <si>
    <t>'2090102408525000414'</t>
  </si>
  <si>
    <t>'0179200001725000388'</t>
  </si>
  <si>
    <t>Протокол подведения итогов определения поставщика (подрядчика, исполнителя) № ИЭА1 от 26.11.2025 00:00:00</t>
  </si>
  <si>
    <t>Поставка комплекта изделий чрескожного мониторинга уровня глюкозы (берем.)</t>
  </si>
  <si>
    <t>'2502406865625003005'</t>
  </si>
  <si>
    <t>'0348200081025004484'</t>
  </si>
  <si>
    <t>'Поставка медицинских изделий в 2026 году (М261929)'</t>
  </si>
  <si>
    <t>"53810040374250002520000 "</t>
  </si>
  <si>
    <t>Сведения отсутствуют</t>
  </si>
  <si>
    <t>"4165"</t>
  </si>
  <si>
    <t>Поставка медицинских изделий (Система Flash мониторинга глюкозы FreeStyle Libre 2)</t>
  </si>
  <si>
    <t>№ 448 «Поставка медицинских изделий (Система Flash мониторинга глюкозы FreeStyle Libre 2)» плана закупки № 2240797035</t>
  </si>
  <si>
    <t>32.50.50.000</t>
  </si>
  <si>
    <t>"53810040374250002660000 "</t>
  </si>
  <si>
    <t>"4141"</t>
  </si>
  <si>
    <t>Поставка медицинских изделий (Система непрерывного мониторинга уровня глюкозы)</t>
  </si>
  <si>
    <t>№ 379 «Поставка медицинских изделий (Система непрерывного мониторинга уровня глюкозы)» плана закупки № 2240797035</t>
  </si>
  <si>
    <t>'2502406865625003043'</t>
  </si>
  <si>
    <t>'0348200081025004531'</t>
  </si>
  <si>
    <t>'Поставка медицинских изделий в 2026 году (М261934)'</t>
  </si>
  <si>
    <t>2710700631125001413'</t>
  </si>
  <si>
    <t>'0166200001625000180'</t>
  </si>
  <si>
    <t>'2025.01367'</t>
  </si>
  <si>
    <t>'2090102408525000440'</t>
  </si>
  <si>
    <t>'0179200001725000418'</t>
  </si>
  <si>
    <t>Поставка комплекта изделий чрескожного мониторинга уровня глюкозы (2-4л)</t>
  </si>
  <si>
    <t xml:space="preserve">Комплект изделий чрескожного мониторинга уровня глюкозы в интерстициальной жидкости, электрохимический метод. Товарный знак: Hematonix </t>
  </si>
  <si>
    <t>'2502406865625003105'</t>
  </si>
  <si>
    <t>'0348200081025004650'</t>
  </si>
  <si>
    <t>Поставка комплекта изделий чрескожного мониторинга уровня глюкозы в интерстициальной жидкости в 2026 году (М261800)</t>
  </si>
  <si>
    <t>'2502406865625003099'</t>
  </si>
  <si>
    <t>'0348200081025004649'</t>
  </si>
  <si>
    <t>Поставка комплекта изделий чрескожного мониторинга уровня глюкозы в интерстициальной жидкости в 2026 году (М262023)</t>
  </si>
  <si>
    <t>'1770500425425000330'</t>
  </si>
  <si>
    <t>'0373100025725000330'</t>
  </si>
  <si>
    <t>'257-25-330-э'</t>
  </si>
  <si>
    <t>Поставка медицинских изделий (электродов игольчатых системы чрескожного мониторинга уровня глюкозы в интерстициальной жидкости)</t>
  </si>
  <si>
    <t>Комплект изделий чрескожного мониторинга уровня глюкозы в интерстициальной жидкости, электрохимический метод. Товарный знак: «FreeStyle Libre» (в соответствие с п.п.б п.1 ч.1 Ст.33 ФЗ-44). Совместимость со Сканером FreeStyleLibre системы Flash мониторинга глюкозы FreeStyleLibre, имеющимся у заказчика. Совместимость с Приложением Libre Link Программы Libre View, имеющимся у заказчика.</t>
  </si>
  <si>
    <t>'2661204921125001129'</t>
  </si>
  <si>
    <t>'0362200072925001039'</t>
  </si>
  <si>
    <t>'2272404126025000627'</t>
  </si>
  <si>
    <t>'0322200002125000600'</t>
  </si>
  <si>
    <t>' 0322200002125000600'</t>
  </si>
  <si>
    <t>'2272404126025000626'</t>
  </si>
  <si>
    <t>'0322200002125000599'</t>
  </si>
  <si>
    <t>'2027415782125002143'</t>
  </si>
  <si>
    <t>'0801200000225001911'</t>
  </si>
  <si>
    <t>Комплект изделий чрескожного мониторинга уровня глюкозы в интерстициальной жидкости, электрохимический метод. Товарный знак: Freestyle Libre</t>
  </si>
  <si>
    <t>'2502406865625003117'</t>
  </si>
  <si>
    <t>'0348200081025004768'</t>
  </si>
  <si>
    <t>Поставка комплекта изделий чрескожного мониторинга уровня глюкозы в интерстициальной жидкости в 2026 году (М262307)</t>
  </si>
  <si>
    <t>'2710700631125001450'</t>
  </si>
  <si>
    <t>'0366200035625009101'</t>
  </si>
  <si>
    <t>'2025.01392'</t>
  </si>
  <si>
    <t>Централизованная поставка медицинских изделий Комплект изделий чрескожного мониторинга уровня глюкозы в интерстициальной жидкости, электрохимический метод (сахарный диабет)</t>
  </si>
  <si>
    <t>'2771433860925010634'</t>
  </si>
  <si>
    <t>'0873200009825006061'</t>
  </si>
  <si>
    <t>'779/2025-КС'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</si>
  <si>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(ВК2025-381)</t>
  </si>
  <si>
    <t>'1540810013825000433'</t>
  </si>
  <si>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</si>
  <si>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'0351400001325000407'</t>
  </si>
  <si>
    <t>Протокол подведения итогов определения поставщика № ИЗТ1 от 16.12.2025 00:00:00</t>
  </si>
  <si>
    <t>'2631819736725004661'</t>
  </si>
  <si>
    <t>'0142200001325028437'</t>
  </si>
  <si>
    <t>Протокол подведения итогов определения поставщика (подрядчика, исполнителя) № ИЭА1 от 11.12.2025 00:00:00</t>
  </si>
  <si>
    <t>'61/26/СД 2-17'</t>
  </si>
  <si>
    <t>Поставка изделий медицинского назначения для больных сахарным диабетом, в рамках льготного обеспечения на 2026 год (п26-01-214).</t>
  </si>
  <si>
    <t>'2602702400025001010'</t>
  </si>
  <si>
    <t>'0357200022825000718'</t>
  </si>
  <si>
    <t>' 03572000228250007180001'</t>
  </si>
  <si>
    <t>'2710700631125001467'</t>
  </si>
  <si>
    <t>'0366200035625009103'</t>
  </si>
  <si>
    <t>'2025.01410'</t>
  </si>
  <si>
    <t>'2860311280925000591'</t>
  </si>
  <si>
    <t>'0387200009125006811'</t>
  </si>
  <si>
    <t>'03872000091250068110001'</t>
  </si>
  <si>
    <t>Датчик системы чрескожного мониторинга уровня глюкозы. Товарный знак: FreeStyle Libre</t>
  </si>
  <si>
    <t>2090102408525000466'</t>
  </si>
  <si>
    <t>'0179200001725000419'</t>
  </si>
  <si>
    <t>Протокол подведения итогов определения поставщика (подрядчика, исполнителя) № ИЭА1 от 02.12.2025 00:00:00</t>
  </si>
  <si>
    <t>Поставка комплекта изделий чрескожного мониторинга уровня глюкозы (4-18л)</t>
  </si>
  <si>
    <t>'2090102408525000466'</t>
  </si>
  <si>
    <t>'2860103583825001598'</t>
  </si>
  <si>
    <t>'0387200009125006913'</t>
  </si>
  <si>
    <t>'25006913'</t>
  </si>
  <si>
    <t>Поставка в 2026 году систем непрерывного мониторинга глюкозы для обеспечения детей с сахарным диабетом 1 типа</t>
  </si>
  <si>
    <t>'2056204455025000993'</t>
  </si>
  <si>
    <t>'0303200025125001100'</t>
  </si>
  <si>
    <t>Протокол подведения итогов определения поставщика (подрядчика, исполнителя) № ИЗК1 от 18.12.2025 00:00:00</t>
  </si>
  <si>
    <t>Поставка изделий медицинского назначения на 2026 год_МЗ</t>
  </si>
  <si>
    <t>'2650102496625001163'</t>
  </si>
  <si>
    <t>'0161200001725000449'</t>
  </si>
  <si>
    <t>'2490908578525000390'</t>
  </si>
  <si>
    <t>'0147200000925000015'</t>
  </si>
  <si>
    <t>'0147200000925000015 '</t>
  </si>
  <si>
    <t>2027401947625001486'</t>
  </si>
  <si>
    <t>'0301000000225001116'</t>
  </si>
  <si>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2, датчик Freestyle Libre 2,Соединенное Королевство РЗН 2022/16406</t>
  </si>
  <si>
    <t>ВАЛИЕВ АХНАФОВИЧ ИЛЬШАТ</t>
  </si>
  <si>
    <t>Валиев</t>
  </si>
  <si>
    <t>'2502406865625003408'</t>
  </si>
  <si>
    <t>'0348200081025005114'</t>
  </si>
  <si>
    <t>Поставка  комплекта изделий чрескожного мониторинга уровня глюкозы в интерстициальной жидкости в 2026 году (М262611)</t>
  </si>
  <si>
    <t>'2720300024925001822'</t>
  </si>
  <si>
    <t>'0167200003425010495'</t>
  </si>
  <si>
    <t>'365РМ/26'</t>
  </si>
  <si>
    <t>'2753614997525000264'</t>
  </si>
  <si>
    <t>'0891200000625010923'</t>
  </si>
  <si>
    <t>Протокол подведения итогов определения поставщика (подрядчика, исполнителя) № ИЭА1 от 18.12.2025 00:00:00</t>
  </si>
  <si>
    <t>'13-26'</t>
  </si>
  <si>
    <t>Приобретение датчиков системы мониторирования уровня глюкозы (00011711-ЭА)</t>
  </si>
  <si>
    <t>"53234012053260000140000 "</t>
  </si>
  <si>
    <t>ГОСУДАРСТВЕННОЕ АВТОНОМНОЕ УЧРЕЖДЕНИЕ ЗДРАВООХРАНЕНИЯ "БРЯНСКАЯ ОБЛАСТНАЯ БОЛЬНИЦА № 1"</t>
  </si>
  <si>
    <t>"32515541397"</t>
  </si>
  <si>
    <t>Итоговый протокол 32515541397-01</t>
  </si>
  <si>
    <t>1 полугодие 2026</t>
  </si>
  <si>
    <t>32515541397_21</t>
  </si>
  <si>
    <t>Закупка изделий медицинского назначения (система непрерывного мониторинга глюкозы) для ГАУЗ «Брянская областная больница №1»</t>
  </si>
  <si>
    <t>Лот №1 Закупка изделий медицинского назначения (система непрерывного мониторинга глюкозы) для ГАУЗ «Брянская областная больница №1»</t>
  </si>
  <si>
    <t>'2702102165326000015'</t>
  </si>
  <si>
    <t>'0165100007925000821'</t>
  </si>
  <si>
    <t>РЛ.821.26</t>
  </si>
  <si>
    <t>'2263300425326000003'</t>
  </si>
  <si>
    <t>'0121200004725001815'</t>
  </si>
  <si>
    <t>Протокол подведения итогов определения поставщика (подрядчика, исполнителя) № ИЭА1 от 24.12.2025 00:00:00</t>
  </si>
  <si>
    <t>поставка изделий медицинского назначения для больных сахарным диабетом комплект изделий чрескожного уровня глюкозы в интерстициальной жидкости, электрохимический метод</t>
  </si>
  <si>
    <t>'2602705399526000006'</t>
  </si>
  <si>
    <t>'0357200023025000495'</t>
  </si>
  <si>
    <t>Протокол подведения итогов определения поставщика № ИЗТ1 от 29.12.2025 00:00:00</t>
  </si>
  <si>
    <t>'25ЕП-495'</t>
  </si>
  <si>
    <t>'2602705399526000005'</t>
  </si>
  <si>
    <t>'0357200023025000494'</t>
  </si>
  <si>
    <t>'25ЕП-494'</t>
  </si>
  <si>
    <t>'2602705399526000004'</t>
  </si>
  <si>
    <t>'0357200023025000493'</t>
  </si>
  <si>
    <t>'25ЕП-493'</t>
  </si>
  <si>
    <t>'2602705399526000003'</t>
  </si>
  <si>
    <t>'0357200023025000504'</t>
  </si>
  <si>
    <t>'25ЕП-504'</t>
  </si>
  <si>
    <t>Комплект изделий чрескожного мониторинга уровня глюкозы в интерстициальной жидкости, электрохимический метод. Товарный знак: «Hematonix»</t>
  </si>
  <si>
    <t>'2650102496626000015'</t>
  </si>
  <si>
    <t>'0161200001725000482'</t>
  </si>
  <si>
    <t>'2650102496626000014'</t>
  </si>
  <si>
    <t>'0161200001725000473'</t>
  </si>
  <si>
    <t>'2650102496626000007'</t>
  </si>
  <si>
    <t>'0161200001725000470'</t>
  </si>
  <si>
    <t>'2650102496626000006'</t>
  </si>
  <si>
    <t>'0161200001725000471'</t>
  </si>
  <si>
    <t>'2650102496626000005'</t>
  </si>
  <si>
    <t>'0161200001725000475'</t>
  </si>
  <si>
    <t>'2650102496626000004'</t>
  </si>
  <si>
    <t>'0161200001725000474'</t>
  </si>
  <si>
    <t>"53810040374260000120000 "</t>
  </si>
  <si>
    <t>Иной документ</t>
  </si>
  <si>
    <t>"4210"</t>
  </si>
  <si>
    <t>№ 159 «Поставка медицинских изделий (Система Flash мониторинга глюкозы FreeStyle Libre 2)» плана закупки № 2250854640</t>
  </si>
  <si>
    <t>'2502406865626000054'</t>
  </si>
  <si>
    <t>'0348200081025005207'</t>
  </si>
  <si>
    <t>Поставка медицинских изделий в 2026 году (М262669)</t>
  </si>
  <si>
    <t>'2072106027826000001'</t>
  </si>
  <si>
    <t>'0304200009025001809'</t>
  </si>
  <si>
    <t>Ч12.26-1332-012Д451520</t>
  </si>
  <si>
    <t>'2502406865626000041'</t>
  </si>
  <si>
    <t>'0348200081025005163'</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</si>
  <si>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(Р-3, лот 3)</t>
  </si>
  <si>
    <t>'2380817232726000032'</t>
  </si>
  <si>
    <t>'0134200005925000864'</t>
  </si>
  <si>
    <t>Протокол подведения итогов определения поставщика № ИЗТ1 от 30.12.2025 00:00:00</t>
  </si>
  <si>
    <t>'436/СахДиаб/Д/0864-ЭЗТ/26'</t>
  </si>
  <si>
    <t xml:space="preserve">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 </t>
  </si>
  <si>
    <t>'2380817232726000031'</t>
  </si>
  <si>
    <t>'0134200005925000865'</t>
  </si>
  <si>
    <t>'437/СахДиаб/Д/0865-ЭЗТ/26'</t>
  </si>
  <si>
    <t>'2380817232726000030'</t>
  </si>
  <si>
    <t>'0134200005925000863'</t>
  </si>
  <si>
    <t>'421/СахДиаб/Д/0863-ЭЗТ/26'</t>
  </si>
  <si>
    <t>'2380817232726000029'</t>
  </si>
  <si>
    <t>'0134200005925000862'</t>
  </si>
  <si>
    <t>'414/СахДиаб/Д/0862-ЭЗТ/26'</t>
  </si>
  <si>
    <t>'2650102496626000021'</t>
  </si>
  <si>
    <t>'0361200015025007034'</t>
  </si>
  <si>
    <t>Поставка систем непрерывного мониторинга глюкозы для обеспечения детей старше 4 лет с сахарным диабетом в 2026 году</t>
  </si>
  <si>
    <t>'2502406865626000066'</t>
  </si>
  <si>
    <t>'0148200005425001007'</t>
  </si>
  <si>
    <t>Поставка изделий медицинского назначения для исследования уровня глюкозы в крови методом непрерывного мониторирования для организации обеспечения лиц, не достигших 18- летнего возраста страдающих сахарным диабетом 1 типа, имеющих места жительства в Московской области (Р-3, лот 2)</t>
  </si>
  <si>
    <t>'2420534966426000023'</t>
  </si>
  <si>
    <t>'0139200000125018406'</t>
  </si>
  <si>
    <t>Протокол подведения итогов определения поставщика (подрядчика, исполнителя) № ИЭА1 от 29.12.2025 00:00:00</t>
  </si>
  <si>
    <t>'3-СД-ЭА/26'</t>
  </si>
  <si>
    <t>'2745313582726000124'</t>
  </si>
  <si>
    <t>'0869200000225012344'</t>
  </si>
  <si>
    <t>'12344-СД-ДЕТИ/2025-2026'</t>
  </si>
  <si>
    <t>на поставку Cенсоров для чрескожного мониторинга глюкозы</t>
  </si>
  <si>
    <t>Сенсор для чрескожного мониторинга глюкозы. Товарный знак: TouchCare</t>
  </si>
  <si>
    <t>'2666001041526000027'</t>
  </si>
  <si>
    <t>'0162200011825004862'</t>
  </si>
  <si>
    <t>'01622000118250048620001'</t>
  </si>
  <si>
    <t>'2502406865626000095'</t>
  </si>
  <si>
    <t>'0348200081025005204'</t>
  </si>
  <si>
    <t>Поставка медицинских изделий в 2026 году (М262613)</t>
  </si>
  <si>
    <t>ВИТАНТА</t>
  </si>
  <si>
    <t>'2650102496626000029'</t>
  </si>
  <si>
    <t>'0361200015025007087'</t>
  </si>
  <si>
    <t>'0361200015025007087 '</t>
  </si>
  <si>
    <t>Поставка систем непрерывного мониторинга глюкозы для обеспечения беременных женщин с сахарным диабетом в 2026 году</t>
  </si>
  <si>
    <t>Anytime 4H</t>
  </si>
  <si>
    <t>ВЕЛИЕВ ИЛХАМОВИЧ НУРЛАН</t>
  </si>
  <si>
    <t>Велиев</t>
  </si>
  <si>
    <t>'2470000118026000010'</t>
  </si>
  <si>
    <t>'0145200000425002165'</t>
  </si>
  <si>
    <t>'01452000004250021650001'</t>
  </si>
  <si>
    <t>Поставка в 2026 году комплектов изделий чрескожного мониторинга уровня глюкозы в интерстициальной жидкости (Часть 2)</t>
  </si>
  <si>
    <t>ОБЩЕСТВО С ОГРАНИЧЕННОЙ ОТВЕТСТВЕННОСТЬЮ "ИННОВАЦИОННАЯ МЕДИЦИНА"</t>
  </si>
  <si>
    <t>Инновационная медицина</t>
  </si>
  <si>
    <t>'2420534966426000037'</t>
  </si>
  <si>
    <t>'0139200000125018404'</t>
  </si>
  <si>
    <t>'2-СД-ЭА/26'</t>
  </si>
  <si>
    <t>'2072106027826000008'</t>
  </si>
  <si>
    <t>'0304200009026000018'</t>
  </si>
  <si>
    <t>Протокол подведения итогов определения поставщика № ИЗТ1 от 14.01.2026 00:00:00</t>
  </si>
  <si>
    <t>Ч12.26-1-012Д451070</t>
  </si>
  <si>
    <t>'2072106027826000007'</t>
  </si>
  <si>
    <t>'0304200009026000019'</t>
  </si>
  <si>
    <t>Ч12.26-24-012Д451070</t>
  </si>
  <si>
    <t>'2072106027826000006'</t>
  </si>
  <si>
    <t>'0304200009026000021'</t>
  </si>
  <si>
    <t>Ч12.26-25-012Д451070</t>
  </si>
  <si>
    <t>'2072106027826000005'</t>
  </si>
  <si>
    <t>'0304200009026000023'</t>
  </si>
  <si>
    <t>Ч12.26-26-012Д451070</t>
  </si>
  <si>
    <t>'2402712264526000005'</t>
  </si>
  <si>
    <t>'66-гп-сд/26'</t>
  </si>
  <si>
    <t>Система непрерывного мониторинга глюкозы iCan i3 сgm. Товарный знак: отсутствует</t>
  </si>
  <si>
    <t>Система flash мониторинга глюкозы freestyle libre 2 №1. Товарный знак: отсутствует</t>
  </si>
  <si>
    <t>2402712264526000003'</t>
  </si>
  <si>
    <t>'64-гп-сд/26'</t>
  </si>
  <si>
    <t>Система непрерывного мониторинга уровня глюкозы х1 N1. Товарный знак: 0</t>
  </si>
  <si>
    <t>'2402712264526000003'</t>
  </si>
  <si>
    <t>'2470000118026000014'</t>
  </si>
  <si>
    <t>'0145200000425002166'</t>
  </si>
  <si>
    <t>Протокол подведения итогов определения поставщика (подрядчика, исполнителя) № ИЭА1 от 30.12.2025 00:00:00</t>
  </si>
  <si>
    <t>'01452000004250021660001'</t>
  </si>
  <si>
    <t>Поставка в 2026 году комплектов изделий чрескожного мониторинга уровня глюкозы в интерстициальной жидкости</t>
  </si>
  <si>
    <t>'2771433860926000301'</t>
  </si>
  <si>
    <t>'0873200009825007539'</t>
  </si>
  <si>
    <t>'19/2026-КС'</t>
  </si>
  <si>
    <t>Запрос котировок в электронной форме на поставку расходных материалов (Передатчик системы мониторинга глюкозы) для обеспечения граждан, имеющих право на получение государственной социальной помощи в городе Москве (ВК2025-422)</t>
  </si>
  <si>
    <t>'2745313582726000130'</t>
  </si>
  <si>
    <t>'0869200000225012301'</t>
  </si>
  <si>
    <t>'12301-СД-ДЕТИ/2025-2026'</t>
  </si>
  <si>
    <t>'2771433860926000334'</t>
  </si>
  <si>
    <t>'0873200009825007619'</t>
  </si>
  <si>
    <t>'35/2026-КС'</t>
  </si>
  <si>
    <t xml:space="preserve">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(ВК2025-419) </t>
  </si>
  <si>
    <t>'2753612058126000016'</t>
  </si>
  <si>
    <t>'0891200000625011277'</t>
  </si>
  <si>
    <t>Ф.2026.771277</t>
  </si>
  <si>
    <t>Приобретение расходных медицинских материалов (Комплект изделий чрескожного мониторинга уровня глюкозы в интерстициальной жидкости, электрохимический метод) (00012053-ЭА)</t>
  </si>
  <si>
    <t>'2263300425326000008'</t>
  </si>
  <si>
    <t>'0121200004725001841'</t>
  </si>
  <si>
    <t>' 0121200004725001841'</t>
  </si>
  <si>
    <t>поставка изделий  медицинского назначения для больных сахарным диабетом комплект изделий чрескожного уровня глюкозы в интерстициальной жидкости, электрохимический метод</t>
  </si>
  <si>
    <t>'2420534966426000064'</t>
  </si>
  <si>
    <t>'0139200000125019134'</t>
  </si>
  <si>
    <t>'2928-К-ЗК/26'</t>
  </si>
  <si>
    <t>Сенсор непрерывного мониторинга глюкозы. Товарный знак: TouchCare</t>
  </si>
  <si>
    <t>"56658027450260000530000"</t>
  </si>
  <si>
    <t>"32515564615"</t>
  </si>
  <si>
    <t>Протокол подведения итогов открытого аукциона в электронной форме 32515564615-03</t>
  </si>
  <si>
    <t>1403Х</t>
  </si>
  <si>
    <t>Системы и сканеры Flash мониторинга глюкозы FreeStyle Libre 2 или эквивалент</t>
  </si>
  <si>
    <t>Лот №1 Системы и сканеры Flash мониторинга глюкозы FreeStyle Libre 2 или эквивалент</t>
  </si>
  <si>
    <t>'2346008846526000074'</t>
  </si>
  <si>
    <t>ГОСУДАРСТВЕННОЕ КАЗЕННОЕ УЧРЕЖДЕНИЕ  "ЦЕНТР СОПРОВОЖДЕНИЯ ЗАКУПОК ГОСУДАРСТВЕННЫХ УЧРЕЖДЕНИЙ ЗДРАВООХРАНЕНИЯ ВОЛГОГРАДСКОЙ ОБЛАСТИ"</t>
  </si>
  <si>
    <t>'0829500001125000541'</t>
  </si>
  <si>
    <t>Протокол подведения итогов определения поставщика (подрядчика, исполнителя) № ИЭА1 от 12.01.2026 00:00:00</t>
  </si>
  <si>
    <t>'260123'</t>
  </si>
  <si>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беременных женщин в рамках проекта "Борьба с сахарным диабетом") (СНМГБЖ)'</t>
  </si>
  <si>
    <t>'2346008846526000073'</t>
  </si>
  <si>
    <t>'0829500001125000539'</t>
  </si>
  <si>
    <t>'260122'</t>
  </si>
  <si>
    <t>'Поставка медицинских изделий (Комплект изделий чрескожного мониторинга уровня глюкозы в интерстициальной жидкости, электрохимический метод) (с целью обеспечения детей от 4 лет в рамках проекта "Борьба с сахарным диабетом") (БСД2)'</t>
  </si>
  <si>
    <t>Комплект изделий чрескожного мониторинга уровня глюкозы в интерстициальной жидкости, электрохимический метод. Товарный знак:  Hematonix</t>
  </si>
  <si>
    <t>'2165801224726000020'</t>
  </si>
  <si>
    <t>'0311300098125000594'</t>
  </si>
  <si>
    <t>'2025.594'</t>
  </si>
  <si>
    <t>'Поставка расходных материалов для оказания высокотехнологичной медицинской помощи для эндокринологического отделения'</t>
  </si>
  <si>
    <t>'2366100688926000101'</t>
  </si>
  <si>
    <t>'0131200001025012722'</t>
  </si>
  <si>
    <t>Ф.2025.13273-ЭА</t>
  </si>
  <si>
    <t>'2025-13273//.поставка медицинских изделий (Комплект изделий чрескожного мониторинга уровня глюкозы в интерстициальной жидкости, электрохимический метод )'</t>
  </si>
  <si>
    <t>'2710500830626000039'</t>
  </si>
  <si>
    <t>'0366200000226000001'</t>
  </si>
  <si>
    <t>'2026.000001'</t>
  </si>
  <si>
    <t>Медтехсинтез</t>
  </si>
  <si>
    <t>'2616304981426000056'</t>
  </si>
  <si>
    <t>'0158200001325001784'</t>
  </si>
  <si>
    <t>Протокол подведения итогов определения поставщика (подрядчика, исполнителя) № ИЭА1 от 14.01.2026 00:00:00</t>
  </si>
  <si>
    <t>'25001784'</t>
  </si>
  <si>
    <t>'Закупка медицинских изделий для обеспечения граждан Российской Федерации, проживающих на территории Ростовской области и имеющих право на получение лекарственных препаратов, медицинских изделий, а также специализированных продуктов лечебного питания в соответствии с Федеральным законом от 21.11.2011 №323-ФЗ «Об основах охраны здоровья граждан в Российской Федерации» (Комплект изделий чрескожного мониторинга уровня глюкозы в интерстициальной жидкости, электрохимический метод)'</t>
  </si>
  <si>
    <t>Комплект изделий чрескожного мониторинга уровня глюкозы в интерстициальной жидкости, электрохимический метод. Товарный знак: Anytime</t>
  </si>
  <si>
    <t>'2773103869026000043'</t>
  </si>
  <si>
    <t>'0373200013825000826'</t>
  </si>
  <si>
    <t>'021/26'</t>
  </si>
  <si>
    <t>'Электронный аукцион на поставку поставку расходных материалов для эндокринологического отделения для нужд ГБУЗ «ГКБ им. М.Е. Жадкевича ДЗМ» с/з 664-лот 3'</t>
  </si>
  <si>
    <t>Фарм-2С</t>
  </si>
  <si>
    <t>'2519080011426000180'</t>
  </si>
  <si>
    <t>'0149200002325007954'</t>
  </si>
  <si>
    <t>'16/01/26-ЭА-03'</t>
  </si>
  <si>
    <t>'Поставка изделий медицинского назначения (комплект изделий чрескожного мониторинга уровня глюкозы в интерстициальной жидкости, электрохимический метод)'</t>
  </si>
  <si>
    <t>'2420534966426000065'</t>
  </si>
  <si>
    <t>'0139200000125018664'</t>
  </si>
  <si>
    <t>'4-СД-ЭА/26'</t>
  </si>
  <si>
    <t>'Поставка медицинских изделий'</t>
  </si>
  <si>
    <t>Комплект изделий чрескожного мониторинга уровня глюкозы в интерстициальной жидкости, электрохимический метод. Товарный знак: Система Flash мониторинга глюкозы FreeStyle Libre2. Эквивалент не предусмотрен в связи с закупкой медицинских изделий по решению суда.</t>
  </si>
  <si>
    <t>'2434701047526000086'</t>
  </si>
  <si>
    <t>'0340200003325016565'</t>
  </si>
  <si>
    <t>'03402000033250165650001'</t>
  </si>
  <si>
    <t>'Поставка медицинских изделий по решению суда (Комплект изделий чрескожного мониторинга уровня глюкозы в интерстициальной жидкости, электрохимический метод (Система Flash мониторинга глюкозы FreeStyle Libre 2))'</t>
  </si>
  <si>
    <t>'2860103583826000040'</t>
  </si>
  <si>
    <t>'0387200009125007770'</t>
  </si>
  <si>
    <t>'25007770'</t>
  </si>
  <si>
    <t>'Поставка медицинских изделий для инсулиновой помпы ТачКеар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2026 году'</t>
  </si>
  <si>
    <t>'2220901186526000034'</t>
  </si>
  <si>
    <t>'0817200000325022211'</t>
  </si>
  <si>
    <t>Протокол подведения итогов определения поставщика (подрядчика, исполнителя) № ИЭА1 от 16.01.2026 00:00:00</t>
  </si>
  <si>
    <t>' 0817200000325022211'</t>
  </si>
  <si>
    <t>'Поставка медицинских расходных материалов'</t>
  </si>
  <si>
    <t>'3410200318126000020'</t>
  </si>
  <si>
    <t>ГОСУДАРСТВЕННОЕ БЮДЖЕТНОЕ УЧРЕЖДЕНИЕ ЗДРАВООХРАНЕНИЯ КАМЧАТСКОГО КРАЯ "ВИЛЮЧИНСКАЯ ГОРОДСКАЯ БОЛЬНИЦА"</t>
  </si>
  <si>
    <t>'0338300003326000001'</t>
  </si>
  <si>
    <t>Протокол подведения итогов определения поставщика № ИЗТ1 от 22.01.2026 00:00:00; 0338300003326000001</t>
  </si>
  <si>
    <t>'2090102408526000070'</t>
  </si>
  <si>
    <t>'0179200001725000518'</t>
  </si>
  <si>
    <t>Поставка комплекта изделий чрескожного мониторинга уровня глюкозы.</t>
  </si>
  <si>
    <t>'2890100486226000051'</t>
  </si>
  <si>
    <t>ГОСУДАРСТВЕННОЕ БЮДЖЕТНОЕ УЧРЕЖДЕНИЕ ЗДРАВООХРАНЕНИЯ "САЛЕХАРДСКАЯ ОКРУЖНАЯ КЛИНИЧЕСКАЯ БОЛЬНИЦА"</t>
  </si>
  <si>
    <t>Решение врачебной комиссии № 18 от 15.01.2026</t>
  </si>
  <si>
    <t>'192-26'</t>
  </si>
  <si>
    <t>Поставка товара для оказания медицинской помощи в экстренной форме</t>
  </si>
  <si>
    <t>Система непрерывного мониторинга глюкозы Hematonix GS1</t>
  </si>
  <si>
    <t>ОБЩЕСТВО С ОГРАНИЧЕННОЙ ОТВЕТСТВЕННОСТЬЮ "НИОМЕД"</t>
  </si>
  <si>
    <t>Ниомед</t>
  </si>
  <si>
    <t>'2650102496626000079'</t>
  </si>
  <si>
    <t>'0361200015025007375'</t>
  </si>
  <si>
    <t>Поставка систем непрерывного мониторинга глюкозы для обеспечения детей старше 2 лет с сахарным диабетом в 2026 году</t>
  </si>
  <si>
    <t>'2212801480426000015'</t>
  </si>
  <si>
    <t>'0315200009326000002'</t>
  </si>
  <si>
    <t>'10/ЕП-26'</t>
  </si>
  <si>
    <t>ОБЩЕСТВО С ОГРАНИЧЕННОЙ ОТВЕТСТВЕННОСТЬЮ "АМК"</t>
  </si>
  <si>
    <t>АМК</t>
  </si>
  <si>
    <t>'2212801480426000014'</t>
  </si>
  <si>
    <t>'0315200009326000001'</t>
  </si>
  <si>
    <t>'9/ЕП-26'</t>
  </si>
  <si>
    <t>2263300117126000071'</t>
  </si>
  <si>
    <t>ГОСУДАРСТВЕННОЕ БЮДЖЕТНОЕ УЧРЕЖДЕНИЕ ЗДРАВООХРАНЕНИЯ СТАВРОПОЛЬСКОГО КРАЯ "СТАВРОПОЛЬСКАЯ КРАЕВАЯ КЛИНИЧЕСКАЯ БОЛЬНИЦА"</t>
  </si>
  <si>
    <t>'0321200022026000020'</t>
  </si>
  <si>
    <t>'03212000220260000200001'</t>
  </si>
  <si>
    <t>'Поставка изделий медицинского назначения'</t>
  </si>
  <si>
    <t>ОБЩЕСТВО С ОГРАНИЧЕННОЙ ОТВЕТСТВЕННОСТЬЮ "ДИАТЕСТ"</t>
  </si>
  <si>
    <t>Диатест</t>
  </si>
  <si>
    <t>'2583510860626000010'</t>
  </si>
  <si>
    <t>'0155200000925001303'</t>
  </si>
  <si>
    <t>'2583510860626000006'</t>
  </si>
  <si>
    <t>'0155200000925001307'</t>
  </si>
  <si>
    <t>' 0155200000925001307'</t>
  </si>
  <si>
    <t>'2631819736726000294'</t>
  </si>
  <si>
    <t>'0142200001325031668'</t>
  </si>
  <si>
    <t>Протокол подведения итогов определения поставщика (подрядчика, исполнителя) № ИЭА1 от 19.01.2026 00:00:00</t>
  </si>
  <si>
    <t>'362/26/СД 2-17 '</t>
  </si>
  <si>
    <t>Поставка изделий медицинского назначения для больных сахарным диабетом, в рамках льготного обеспечения на 2026 год (п26-02-220).</t>
  </si>
  <si>
    <t>'2366100688926000145'</t>
  </si>
  <si>
    <t>'0331300057126000005'</t>
  </si>
  <si>
    <t>'25'</t>
  </si>
  <si>
    <t>'2583510860626000017'</t>
  </si>
  <si>
    <t>'0855200000525004412'</t>
  </si>
  <si>
    <t>'2583510860626000008'</t>
  </si>
  <si>
    <t>'0155200000925001282'</t>
  </si>
  <si>
    <t>'2190113011026000063'</t>
  </si>
  <si>
    <t>'0380200000126000163'</t>
  </si>
  <si>
    <t>'2026.0163 ч.12'</t>
  </si>
  <si>
    <t>'2519010997226000110'</t>
  </si>
  <si>
    <t>'0149200003726000010'</t>
  </si>
  <si>
    <t>'12-26-0010'</t>
  </si>
  <si>
    <t>'2332900762226000056'</t>
  </si>
  <si>
    <t>'0128200000125009149'</t>
  </si>
  <si>
    <t>Протокол подведения итогов определения поставщика (подрядчика, исполнителя) № ИЭА1 от 20.01.2026 00:00:00</t>
  </si>
  <si>
    <t>'0128200000125009149_56651'</t>
  </si>
  <si>
    <t>Поставка товара "Комплект изделий чрескожного мониторинга уровня глюкозы в интерстициальной жидкости, электрохимический метод"</t>
  </si>
  <si>
    <t>ОЛЬВИЯ</t>
  </si>
  <si>
    <t>'2631819736726000422'</t>
  </si>
  <si>
    <t>'0142200001325032310'</t>
  </si>
  <si>
    <t>Протокол подведения итогов определения поставщика (подрядчика, исполнителя) № ИЭА1 от 23.01.2026 00:00:00</t>
  </si>
  <si>
    <t>'504/26/ТП '</t>
  </si>
  <si>
    <t>Поставка изделий медицинского назначения для больных сахарным диабетом, в рамках льготного лекарственного обеспечения на 2026 год. (п26-0-222).</t>
  </si>
  <si>
    <t>'2272404126026000025'</t>
  </si>
  <si>
    <t>'0322200002126000013'</t>
  </si>
  <si>
    <t>'2272404126026000024'</t>
  </si>
  <si>
    <t>'0322200002126000014'</t>
  </si>
  <si>
    <t>'2272404126026000023'</t>
  </si>
  <si>
    <t>'0322200002126000012'</t>
  </si>
  <si>
    <t>'2272404126026000022'</t>
  </si>
  <si>
    <t>'0322200002126000011'</t>
  </si>
  <si>
    <t>'2272404126026000021'</t>
  </si>
  <si>
    <t>'0322200002126000010'</t>
  </si>
  <si>
    <t>'2110148649126000007'</t>
  </si>
  <si>
    <t>'13-ГУП-С'</t>
  </si>
  <si>
    <t>Комплект изделий чрескожного мониторинга уровня глюкозы в интерстициальной жидкости, электрохимический метод . Товарный знак: отсутствует</t>
  </si>
  <si>
    <t>ГА респ. Коми</t>
  </si>
  <si>
    <t>'2402712264526000087'</t>
  </si>
  <si>
    <t>'105-гп-рл/26'</t>
  </si>
  <si>
    <t>'2272404126026000031'</t>
  </si>
  <si>
    <t>'0322200002126000022'</t>
  </si>
  <si>
    <t>'2272404126026000030'</t>
  </si>
  <si>
    <t>'0322200002126000021'</t>
  </si>
  <si>
    <t>'2272404126026000029'</t>
  </si>
  <si>
    <t>'0322200002126000020'</t>
  </si>
  <si>
    <t>'2272404126026000028'</t>
  </si>
  <si>
    <t>'0322200002126000019'</t>
  </si>
  <si>
    <t>'2272404126026000027'</t>
  </si>
  <si>
    <t>'0322200002126000023'</t>
  </si>
  <si>
    <t>'2100104678626000106'</t>
  </si>
  <si>
    <t>'0306200010226000050'</t>
  </si>
  <si>
    <t>Поставка Комплектов изделий чрескожного мониторинга уровня глюкозы в интерстициальной жидкости, электрохимический метод для обеспечения граждан, страдающих сахарным диабетом в рамках ВЦП «Предупреждение и борьба с социально значимыми заболеваниями в Республике Карелия» на 2026 год (для социального обеспечения отдельных категорий граждан лекарственными препаратами)</t>
  </si>
  <si>
    <t>2771433860926000702'</t>
  </si>
  <si>
    <t>'0873200009826000103'</t>
  </si>
  <si>
    <t>'57/2026-КС'</t>
  </si>
  <si>
    <t>Запрос котировок в электронной форме на поставку расходных материалов (Сенсор для мониторирования глюкозы) для обеспечения граждан, имеющих право на получение государственной социальной помощи в городе Москве (ВК2026-20)</t>
  </si>
  <si>
    <t>'1770401401026000061'</t>
  </si>
  <si>
    <t>'0373100013426000036'</t>
  </si>
  <si>
    <t>Протокол подведения итогов определения поставщика № ИЗТ1 от 02.02.2026 00:00:00</t>
  </si>
  <si>
    <t>'036-ЭЗТ-26-44'</t>
  </si>
  <si>
    <t>Комплект изделий чрескожного мониторинга уровня глюкозы в интерстициальной жидкости, электрохимический метод. Товарный знак: СТРАНА ПРОИСХОЖДЕНИЯ ТОВАРА Ирландия  НАИМЕНОВАНИЕ ПО РУ Система Flash мониторинга глюкозы FreeStyle Libre 2</t>
  </si>
  <si>
    <t>'2272404126026000038'</t>
  </si>
  <si>
    <t>'0322200002126000029'</t>
  </si>
  <si>
    <t>'2272404126026000037'</t>
  </si>
  <si>
    <t>'0322200002126000030'</t>
  </si>
  <si>
    <t>'2272404126026000036'</t>
  </si>
  <si>
    <t>'0322200002126000028'</t>
  </si>
  <si>
    <t>'2272404126026000035'</t>
  </si>
  <si>
    <t>'0322200002126000027'</t>
  </si>
  <si>
    <t>'2272404126026000034'</t>
  </si>
  <si>
    <t>'0322200002126000026'</t>
  </si>
  <si>
    <t>'2771433860926000702'</t>
  </si>
  <si>
    <t>'2272404126026000042'</t>
  </si>
  <si>
    <t>'0322200002126000031'</t>
  </si>
  <si>
    <t>'2272404126026000041'</t>
  </si>
  <si>
    <t>'0322200002126000032'</t>
  </si>
  <si>
    <t>'2272404126026000040'</t>
  </si>
  <si>
    <t>'0322200002126000033'</t>
  </si>
  <si>
    <t>'2623102512326000040'</t>
  </si>
  <si>
    <t>'0859200001126000059'</t>
  </si>
  <si>
    <t>'08592000011260000590001'</t>
  </si>
  <si>
    <t>Поставка систем непрерывного мониторинга глюкозы для обеспечения детей с сахарным диабетом 1 типа в возрасте от 2 до 17 лет</t>
  </si>
  <si>
    <t>'2346008846526000138'</t>
  </si>
  <si>
    <t>'0829500001125000876'</t>
  </si>
  <si>
    <t>Протокол подведения итогов определения поставщика (подрядчика, исполнителя) № ИЭА1 от 26.01.2026 00:00:00</t>
  </si>
  <si>
    <t>'260153'</t>
  </si>
  <si>
    <t>'2272404126026000048'</t>
  </si>
  <si>
    <t>'0322200002126000041'</t>
  </si>
  <si>
    <t>'2272404126026000046'</t>
  </si>
  <si>
    <t>'0322200002126000040'</t>
  </si>
  <si>
    <t>'2272404126026000045'</t>
  </si>
  <si>
    <t>'0322200002126000038'</t>
  </si>
  <si>
    <t>' 0322200002126000038'</t>
  </si>
  <si>
    <t>'2272404126026000044'</t>
  </si>
  <si>
    <t>'0322200002126000039'</t>
  </si>
  <si>
    <t>' 0322200002126000039'</t>
  </si>
  <si>
    <t>'2272404126026000043'</t>
  </si>
  <si>
    <t>'0322200002126000042'</t>
  </si>
  <si>
    <t>'2745313582726000313'</t>
  </si>
  <si>
    <t>'0869200000226000203'</t>
  </si>
  <si>
    <t>'00203-ДЛП/2026-СМП-ЗК'</t>
  </si>
  <si>
    <t>на поставку Комплекта изделий чрескожного мониторинга уровня глюкозы в интерстициальной жидкости, электрохимический метод</t>
  </si>
  <si>
    <t>'2346008846526000170'</t>
  </si>
  <si>
    <t>'0829500001126000190'</t>
  </si>
  <si>
    <t>Протокол подведения итогов определения поставщика (подрядчика, исполнителя) № ИЗК1 от 06.02.2026 00:00:00</t>
  </si>
  <si>
    <t>ЗК-260/26ОБ</t>
  </si>
  <si>
    <t>Поставка медицинских изделий (Комплект изделий чрескожного мониторинга уровня глюкозы в интерстициальной жидкости, электрохимический метод) (по исполнительному листу) (РЛ)</t>
  </si>
  <si>
    <t>'2027600647226000051'</t>
  </si>
  <si>
    <t>ГОСУДАРСТВЕННОЕ БЮДЖЕТНОЕ УЧРЕЖДЕНИЕ ЗДРАВООХРАНЕНИЯ РЕСПУБЛИКИ БАШКОРТОСТАН ГОРОДСКАЯ КЛИНИЧЕСКАЯ БОЛЬНИЦА № 21 ГОРОДА УФЫ ИМЕНИ В.Г. САХАУТДИНОВА</t>
  </si>
  <si>
    <t>'0301300051526000048'</t>
  </si>
  <si>
    <t>Комплект изделий чрескожного мониторинга уровня глюкозы в интерстициальной жидкости, электрохимический метод. Товарный знак: ABBOTT</t>
  </si>
  <si>
    <t>АКИМБЕТОВ ИЛЬЯСОВИЧ АЙНУР</t>
  </si>
  <si>
    <t>Акимбетов ИА</t>
  </si>
  <si>
    <t>'2732500095126000112'</t>
  </si>
  <si>
    <t>'0168500000626000149'</t>
  </si>
  <si>
    <t>'2272404126026000065'</t>
  </si>
  <si>
    <t>'0322200002126000052'</t>
  </si>
  <si>
    <t>'2272404126026000064'</t>
  </si>
  <si>
    <t>'0322200002126000051'</t>
  </si>
  <si>
    <t>'2272404126026000063'</t>
  </si>
  <si>
    <t>'0322200002126000053'</t>
  </si>
  <si>
    <t>'2272404126026000062'</t>
  </si>
  <si>
    <t>'0322200002126000054'</t>
  </si>
  <si>
    <t>'2272404126026000061'</t>
  </si>
  <si>
    <t>'0322200002126000055'</t>
  </si>
  <si>
    <t>'2272404126026000060'</t>
  </si>
  <si>
    <t>'0322200002126000056'</t>
  </si>
  <si>
    <t>'2590506107026000101'</t>
  </si>
  <si>
    <t>'0356500005126000035'</t>
  </si>
  <si>
    <t>"51435201339260001120000 "</t>
  </si>
  <si>
    <t>АКЦИОНЕРНОЕ ОБЩЕСТВО "САХАФАРМАЦИЯ"</t>
  </si>
  <si>
    <t>"32615611937"</t>
  </si>
  <si>
    <t>Итоговый протокол 32615611937-01</t>
  </si>
  <si>
    <t>Поставка Датчик системы чрескожного мониторинга уровня глюкозы – совместимый со сканером FreeStyle Libre для льготных категорий граждан</t>
  </si>
  <si>
    <t>Лот №1 Поставка Датчик системы чрескожного мониторинга уровня глюкозы – совместимый со сканером FreeStyle Libre для льготных категорий граждан</t>
  </si>
  <si>
    <t>'2170105270726000076'</t>
  </si>
  <si>
    <t>'0112200000726000008'</t>
  </si>
  <si>
    <t>'2026.0008'</t>
  </si>
  <si>
    <t>'2170105270726000075'</t>
  </si>
  <si>
    <t>'0112200000726000007'</t>
  </si>
  <si>
    <t>Протокол подведения итогов определения поставщика № ИЗТ1 от 09.02.2026 00:00:00</t>
  </si>
  <si>
    <t>'2026.0007'</t>
  </si>
  <si>
    <t>'2272404126026000073'</t>
  </si>
  <si>
    <t>'0322200002126000073'</t>
  </si>
  <si>
    <t>' 0322200002126000073'</t>
  </si>
  <si>
    <t>'2272404126026000072'</t>
  </si>
  <si>
    <t>'0322200002126000072'</t>
  </si>
  <si>
    <t>' 0322200002126000072'</t>
  </si>
  <si>
    <t>'2272404126026000071'</t>
  </si>
  <si>
    <t>'0322200002126000071'</t>
  </si>
  <si>
    <t>'2272404126026000070'</t>
  </si>
  <si>
    <t>'0322200002126000070'</t>
  </si>
  <si>
    <t>' 0322200002126000070'</t>
  </si>
  <si>
    <t>'2272404126026000069'</t>
  </si>
  <si>
    <t>'0322200002126000069'</t>
  </si>
  <si>
    <t>'2272404126026000068'</t>
  </si>
  <si>
    <t>'0322200002126000068'</t>
  </si>
  <si>
    <t>'2272404126026000067'</t>
  </si>
  <si>
    <t>'0322200002126000067'</t>
  </si>
  <si>
    <t>'2312402097526000198'</t>
  </si>
  <si>
    <t>ОБЛАСТНОЕ ГОСУДАРСТВЕННОЕ БЮДЖЕТНОЕ УЧРЕЖДЕНИЕ ЗДРАВООХРАНЕНИЯ "БЕЛГОРОДСКАЯ ОБЛАСТНАЯ КЛИНИЧЕСКАЯ БОЛЬНИЦА СВЯТИТЕЛЯ ИОАСАФА"</t>
  </si>
  <si>
    <t>'0326200000226000007'</t>
  </si>
  <si>
    <t>Протокол подведения итогов определения поставщика № ИЗТ1 от 10.02.2026 00:00:00</t>
  </si>
  <si>
    <t>Эсбиэс фармаси</t>
  </si>
  <si>
    <t>'2272404126026000081'</t>
  </si>
  <si>
    <t>'0322200002126000076'</t>
  </si>
  <si>
    <t>' 0322200002126000076'</t>
  </si>
  <si>
    <t>'2320100491726000094'</t>
  </si>
  <si>
    <t>'0127200000226000110'</t>
  </si>
  <si>
    <t>Закупка лекарственных препаратов, изделий медицинского назначения, продуктов специализированного питания в целях обеспечения при амбулаторном лечении граждан в соответствии с территориальной программой государственных гарантий оказания населению Брянской области бесплатной медицинской помощи</t>
  </si>
  <si>
    <t>"57017245682260000200000"</t>
  </si>
  <si>
    <t>"32615693515"</t>
  </si>
  <si>
    <t>"2026.33382/30/02-26"</t>
  </si>
  <si>
    <t>'2631819736726000519'</t>
  </si>
  <si>
    <t>'0142200001326000335'</t>
  </si>
  <si>
    <t>Протокол подведения итогов определения поставщика (подрядчика, исполнителя) № ИЭА1 от 05.02.2026 00:00:00</t>
  </si>
  <si>
    <t>'530/26/ИМН-СУД'</t>
  </si>
  <si>
    <t>Поставка изделий медицинского назначения для больных сахарным диабетом, в рамках льготного лекарственного обеспечения на 2026 год. (п26-02-246)</t>
  </si>
  <si>
    <t>'2540215512326000228'</t>
  </si>
  <si>
    <t>'0351200003326000114'</t>
  </si>
  <si>
    <t>'26.Ф.2026.0114 СНМГ'</t>
  </si>
  <si>
    <t>2026-№2760 Поставка медицинских изделий: Комплект изделий чрескожного мониторинга уровня глюкозы в интерстициальной жидкости, электрохимический метод</t>
  </si>
  <si>
    <t>Смолин ВЕ</t>
  </si>
  <si>
    <t>"56664033808260000810000 "</t>
  </si>
  <si>
    <t>ГОСУДАРСТВЕННОЕ АВТОНОМНОЕ УЧРЕЖДЕНИЕ ЗДРАВООХРАНЕНИЯ СВЕРДЛОВСКОЙ ОБЛАСТИ "ЦЕНТРАЛЬНАЯ ГОРОДСКАЯ КЛИНИЧЕСКАЯ БОЛЬНИЦА № 24 ГОРОД ЕКАТЕРИНБУРГ"</t>
  </si>
  <si>
    <t>"ИМЗ-2026-2-223-001487/24-00014238/26-43к"</t>
  </si>
  <si>
    <t>№ 432 «Система Flash мониторинга глюкозы FreeStyle Libre 2» плана закупки № 2250864794</t>
  </si>
  <si>
    <t>'2623102512326000072'</t>
  </si>
  <si>
    <t>'0859200001126000468'</t>
  </si>
  <si>
    <t>'08592000011260004680001'</t>
  </si>
  <si>
    <t>'2366603128626000039'</t>
  </si>
  <si>
    <t>БЮДЖЕТНОЕ УЧРЕЖДЕНИЕ ЗДРАВООХРАНЕНИЯ ВОРОНЕЖСКОЙ ОБЛАСТИ "ВОРОНЕЖСКАЯ ГОРОДСКАЯ КЛИНИЧЕСКАЯ ПОЛИКЛИНИКА № 1"</t>
  </si>
  <si>
    <t>'0331300020626000001'</t>
  </si>
  <si>
    <t>зз-06142</t>
  </si>
  <si>
    <t>Комплект изделий чрескожного мониторинга уровня глюкозы в интерстициальной жидкости, электрохимический метод. Товарный знак: FREESTYLE LIBRE</t>
  </si>
  <si>
    <t>ОБЩЕСТВО С ОГРАНИЧЕННОЙ ОТВЕТСТВЕННОСТЬЮ "КРИСТА"</t>
  </si>
  <si>
    <t>Криста</t>
  </si>
  <si>
    <t>'2100104678626000158'</t>
  </si>
  <si>
    <t>'0306200010226000139'</t>
  </si>
  <si>
    <t>Протокол подведения итогов определения поставщика (подрядчика, исполнителя) № ИЗК1 от 13.02.2026 00:00:00</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</si>
  <si>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детей с сахарным диабетом 1 типа в возрасте от 2-х до 17-х лет включительно системами непрерывного мониторинга глюкозы в 2026 году (для социального обеспечения отдельных категорий граждан)</t>
  </si>
  <si>
    <t>ОБЩЕСТВО С ОГРАНИЧЕННОЙ ОТВЕТСТВЕННОСТЬЮ "МЕДТОРГ ФАРМА"</t>
  </si>
  <si>
    <t>Медторг Фарма</t>
  </si>
  <si>
    <t>'2402712264526000123'</t>
  </si>
  <si>
    <t>б/н от 18.02.2026</t>
  </si>
  <si>
    <t>'142-гп-рл/26'</t>
  </si>
  <si>
    <t>Система непрерывного мониторинга глюкозы lumiflex linx. Товарный знак: отсутствует</t>
  </si>
  <si>
    <t>Калугафармация</t>
  </si>
  <si>
    <t>'2444302135026000014'</t>
  </si>
  <si>
    <t>'0541200001326000003'</t>
  </si>
  <si>
    <t>Л.2026.0003</t>
  </si>
  <si>
    <t>'2444302135026000013'</t>
  </si>
  <si>
    <t>'0541200001326000001'</t>
  </si>
  <si>
    <t>Л.2026.0001</t>
  </si>
  <si>
    <t>'2444302135026000012'</t>
  </si>
  <si>
    <t>'0541200001326000002'</t>
  </si>
  <si>
    <t>Протокол подведения итогов определения поставщика № ИЗТ1 от 13.02.2026 00:00:00</t>
  </si>
  <si>
    <t>Л.2026.0002</t>
  </si>
  <si>
    <t>'2444302135026000011'</t>
  </si>
  <si>
    <t>'0541200001326000004'</t>
  </si>
  <si>
    <t>Л.2026.0004</t>
  </si>
  <si>
    <t>'2100104678626000166'</t>
  </si>
  <si>
    <t>'0306200010226000140'</t>
  </si>
  <si>
    <t>Протокол подведения итогов определения поставщика (подрядчика, исполнителя) № ИЗК1 от 16.02.2026 00:00:00</t>
  </si>
  <si>
    <t>Поставка Комплектов изделий чрескожного мониторинга уровня глюкозы в интерстициальной жидкости, электрохимический метод в рамках реализации мероприятий по обеспечению нуждающихся беременных женщин системами непрерывного мониторинга глюкозы в 2026 году (для социального обеспечения отдельных категорий граждан)</t>
  </si>
  <si>
    <t>2272404126026000092'</t>
  </si>
  <si>
    <t>'0322200002126000093'</t>
  </si>
  <si>
    <t>"53810040374260000770000"</t>
  </si>
  <si>
    <t>"4271"</t>
  </si>
  <si>
    <t>№ 223 «Поставка медицинских изделий (Система Flash мониторинга глюкозы FreeStyle Libre 2)» плана закупки № 2250854640</t>
  </si>
  <si>
    <t>" 54207031429260001660000 "</t>
  </si>
  <si>
    <t>ГОСУДАРСТВЕННОЕ АВТОНОМНОЕ УЧРЕЖДЕНИЕ ЗДРАВООХРАНЕНИЯ "КУЗБАССКАЯ КЛИНИЧЕСКАЯ БОЛЬНИЦА СКОРОЙ МЕДИЦИНСКОЙ ПОМОЩИ ИМ. М.А. ПОДГОРБУНСКОГО"</t>
  </si>
  <si>
    <t>"337-ЕП"</t>
  </si>
  <si>
    <t>Поставка медицинских изделий (датчики для системы чрескожного мониторинга уровня глюкозы)</t>
  </si>
  <si>
    <t>№ 337 «Поставка медицинских изделий (датчики для системы чрескожного мониторинга уровня глюкозы)» плана закупки № 2250854794</t>
  </si>
  <si>
    <t>'2312344802026000184'</t>
  </si>
  <si>
    <t>'0826500000926000129'</t>
  </si>
  <si>
    <t>Поставка медицинских изделий Комплект изделий чрескожного мониторинга уровня глюкозы в интерстициальной жидкости, электрохимический метод III  на 2026г.</t>
  </si>
  <si>
    <t>'2380817232726000285'</t>
  </si>
  <si>
    <t>'0134200005926000171'</t>
  </si>
  <si>
    <t>Протокол подведения итогов определения поставщика № ИЗТ1 от 20.02.2026 00:00:00</t>
  </si>
  <si>
    <t>'835/СахДиаб/Д/0171-ЭЗТ/26'</t>
  </si>
  <si>
    <t>'2550501364226000021'</t>
  </si>
  <si>
    <t>'0352300018326000013'</t>
  </si>
  <si>
    <t>ЭЗТ.2026.13</t>
  </si>
  <si>
    <t>2773409151926000137'</t>
  </si>
  <si>
    <t>'0373200011426000064'</t>
  </si>
  <si>
    <t>'0373200011426000064-692525-353510'</t>
  </si>
  <si>
    <t>Поставка датчиков мониторинга уровня глюкозы в отделение эндокринологии</t>
  </si>
  <si>
    <t>Валуев БА</t>
  </si>
  <si>
    <t>'2121504059826000043'</t>
  </si>
  <si>
    <t>'0308200006626000014'</t>
  </si>
  <si>
    <t>'144/ЕП-2026'</t>
  </si>
  <si>
    <t>'2121504059826000042'</t>
  </si>
  <si>
    <t>'0308200006626000013'</t>
  </si>
  <si>
    <t>'143/ЕП-2026'</t>
  </si>
  <si>
    <t>'2616304981426000155'</t>
  </si>
  <si>
    <t>'0158200001326000113'</t>
  </si>
  <si>
    <t>Протокол подведения итогов определения поставщика (подрядчика, исполнителя) № ИЭА1 от 12.02.2026 00:00:00</t>
  </si>
  <si>
    <t>'26000113'</t>
  </si>
  <si>
    <t>'2771433860926001357'</t>
  </si>
  <si>
    <t>'0873200009826000209'</t>
  </si>
  <si>
    <t>'108/2026-КС'</t>
  </si>
  <si>
    <t xml:space="preserve">Запрос котировок в электронной форме на поставку расходных материалов (Сканер системы чрескожного мониторинга глюкозы) для обеспечения граждан, имеющих право на получение государственной социальной помощи в городе Москве (ВК2026-16) </t>
  </si>
  <si>
    <t>Приемник (сканер) системы чрескожного мониторинга уровня глюкозы в интерстициальной жидкости. Товарный знак: FreeStyle Libre</t>
  </si>
  <si>
    <t>'2440100451426000004'</t>
  </si>
  <si>
    <t>'0141200001526000002'</t>
  </si>
  <si>
    <t>СБ26-002</t>
  </si>
  <si>
    <t>'2440100451426000003'</t>
  </si>
  <si>
    <t>'0141200001526000001'</t>
  </si>
  <si>
    <t>СБ26-001</t>
  </si>
  <si>
    <t>'2290103047726000134'</t>
  </si>
  <si>
    <t>'0324200004526000019'</t>
  </si>
  <si>
    <t>'185-О'</t>
  </si>
  <si>
    <t>'2782001355326000050'</t>
  </si>
  <si>
    <t>'0372200074126000037'</t>
  </si>
  <si>
    <t>'126000037'</t>
  </si>
  <si>
    <t>Поставка медицинских изделий (Комплект изделий чрескожного мониторинга уровня глюкозы в интерстициальной жидкости, электрохимический метод ) для нужд эндокринологического отделения СПб ГБУЗ «Городская больница №38 им. Н.А.Семашко»</t>
  </si>
  <si>
    <t>'2720300024926000337'</t>
  </si>
  <si>
    <t>'0167200003426000419'</t>
  </si>
  <si>
    <t>'701РМ/26'</t>
  </si>
  <si>
    <t>Торохова ИС</t>
  </si>
  <si>
    <t>'2490908578526000066'</t>
  </si>
  <si>
    <t>'0847500000926000198'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</si>
</sst>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43" fontId="0" fillId="0" borderId="0" xfId="1" applyFont="1" applyFill="1"/>
    <xf numFmtId="22" fontId="0" fillId="0" borderId="0" xfId="0" applyNumberFormat="1"/>
    <xf numFmtId="0" fontId="0" fillId="0" borderId="0" xfId="0" quotePrefix="1"/>
    <xf numFmtId="0" fontId="0" fillId="0" borderId="0" xfId="0" applyAlignment="1">
      <alignment wrapText="1"/>
    </xf>
    <xf numFmtId="0" fontId="0" fillId="2" borderId="0" xfId="0" applyFill="1"/>
    <xf numFmtId="0" fontId="0" fillId="2" borderId="0" xfId="0" quotePrefix="1" applyFill="1"/>
    <xf numFmtId="14" fontId="0" fillId="2" borderId="0" xfId="0" applyNumberFormat="1" applyFill="1"/>
    <xf numFmtId="43" fontId="0" fillId="2" borderId="0" xfId="1" applyFont="1" applyFill="1"/>
    <xf numFmtId="0" fontId="2" fillId="2" borderId="0" xfId="0" applyFont="1" applyFill="1"/>
    <xf numFmtId="22" fontId="0" fillId="2" borderId="0" xfId="0" applyNumberFormat="1" applyFill="1"/>
    <xf numFmtId="4" fontId="0" fillId="0" borderId="0" xfId="0" applyNumberFormat="1"/>
    <xf numFmtId="4" fontId="0" fillId="0" borderId="0" xfId="0" quotePrefix="1" applyNumberFormat="1"/>
    <xf numFmtId="4" fontId="0" fillId="2" borderId="0" xfId="0" applyNumberFormat="1" applyFill="1"/>
    <xf numFmtId="43" fontId="0" fillId="2" borderId="0" xfId="1" quotePrefix="1" applyFont="1" applyFill="1"/>
    <xf numFmtId="43" fontId="1" fillId="2" borderId="0" xfId="1" applyFont="1" applyFill="1"/>
    <xf numFmtId="0" fontId="0" fillId="2" borderId="0" xfId="0" applyFill="1" applyAlignment="1">
      <alignment wrapText="1"/>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5BE7-FFB5-46CD-B280-301D445E500B}">
  <dimension ref="A1:AB1807"/>
  <sheetViews>
    <sheetView tabSelected="1" topLeftCell="N1" zoomScale="70" zoomScaleNormal="70" workbookViewId="0">
      <pane ySplit="1" topLeftCell="A1137" activePane="bottomLeft" state="frozen"/>
      <selection activeCell="M1" sqref="M1"/>
      <selection pane="bottomLeft" activeCell="P1180" sqref="P1180"/>
    </sheetView>
  </sheetViews>
  <sheetFormatPr defaultColWidth="12.77734375" defaultRowHeight="14.4" outlineLevelCol="1" x14ac:dyDescent="0.3"/>
  <cols>
    <col min="1" max="1" width="37.88671875" bestFit="1" customWidth="1"/>
    <col min="2" max="2" width="255.77734375" style="6" customWidth="1" outlineLevel="1"/>
    <col min="3" max="3" width="34.6640625" style="6" bestFit="1" customWidth="1"/>
    <col min="4" max="4" width="17.109375" customWidth="1" outlineLevel="1"/>
    <col min="5" max="5" width="16.88671875" customWidth="1" outlineLevel="1"/>
    <col min="6" max="6" width="113.5546875" customWidth="1" outlineLevel="1"/>
    <col min="7" max="7" width="39" bestFit="1" customWidth="1"/>
    <col min="8" max="8" width="81.109375" style="1" customWidth="1" outlineLevel="1"/>
    <col min="9" max="9" width="255.77734375" customWidth="1" outlineLevel="1"/>
    <col min="10" max="10" width="17.44140625" style="8" customWidth="1" outlineLevel="1"/>
    <col min="11" max="11" width="20.5546875" style="1" customWidth="1" outlineLevel="1"/>
    <col min="12" max="12" width="39.77734375" customWidth="1" outlineLevel="1"/>
    <col min="13" max="13" width="255.77734375" customWidth="1" outlineLevel="1"/>
    <col min="14" max="14" width="19.6640625" style="2" bestFit="1" customWidth="1"/>
    <col min="15" max="15" width="255.77734375" customWidth="1" outlineLevel="1"/>
    <col min="16" max="16" width="16.109375" style="6" bestFit="1" customWidth="1"/>
    <col min="17" max="17" width="12.6640625" customWidth="1" outlineLevel="1"/>
    <col min="18" max="18" width="30.88671875" customWidth="1" outlineLevel="1"/>
    <col min="19" max="19" width="13.88671875" style="9" bestFit="1" customWidth="1"/>
    <col min="20" max="20" width="16" style="9" bestFit="1" customWidth="1"/>
    <col min="21" max="21" width="18.88671875" style="9" bestFit="1" customWidth="1"/>
    <col min="22" max="22" width="128.88671875" style="6" bestFit="1" customWidth="1"/>
    <col min="23" max="23" width="22.21875" bestFit="1" customWidth="1"/>
    <col min="24" max="24" width="75.21875" bestFit="1" customWidth="1"/>
    <col min="25" max="25" width="75" bestFit="1" customWidth="1"/>
    <col min="26" max="26" width="37.109375" bestFit="1" customWidth="1"/>
    <col min="27" max="27" width="15.33203125" style="6" bestFit="1" customWidth="1"/>
    <col min="28" max="28" width="42.6640625" bestFit="1" customWidth="1"/>
  </cols>
  <sheetData>
    <row r="1" spans="1:28" x14ac:dyDescent="0.3">
      <c r="A1" t="s">
        <v>0</v>
      </c>
      <c r="B1" s="6" t="s">
        <v>1</v>
      </c>
      <c r="C1" s="6" t="s">
        <v>2</v>
      </c>
      <c r="D1" t="s">
        <v>3</v>
      </c>
      <c r="E1" t="s">
        <v>4</v>
      </c>
      <c r="F1" t="s">
        <v>5</v>
      </c>
      <c r="G1" t="s">
        <v>6</v>
      </c>
      <c r="H1" s="1" t="s">
        <v>7</v>
      </c>
      <c r="I1" t="s">
        <v>8</v>
      </c>
      <c r="J1" s="8" t="s">
        <v>9</v>
      </c>
      <c r="K1" s="1" t="s">
        <v>10</v>
      </c>
      <c r="L1" t="s">
        <v>11</v>
      </c>
      <c r="M1" t="s">
        <v>12</v>
      </c>
      <c r="N1" s="2" t="s">
        <v>13</v>
      </c>
      <c r="O1" t="s">
        <v>14</v>
      </c>
      <c r="P1" s="6" t="s">
        <v>15</v>
      </c>
      <c r="Q1" t="s">
        <v>16</v>
      </c>
      <c r="R1" t="s">
        <v>17</v>
      </c>
      <c r="S1" s="9" t="s">
        <v>18</v>
      </c>
      <c r="T1" s="9" t="s">
        <v>19</v>
      </c>
      <c r="U1" s="9" t="s">
        <v>20</v>
      </c>
      <c r="V1" s="6" t="s">
        <v>21</v>
      </c>
      <c r="W1" s="2" t="s">
        <v>22</v>
      </c>
      <c r="X1" t="s">
        <v>23</v>
      </c>
      <c r="Y1" t="s">
        <v>24</v>
      </c>
      <c r="Z1" t="s">
        <v>25</v>
      </c>
      <c r="AA1" s="6" t="s">
        <v>26</v>
      </c>
      <c r="AB1" t="s">
        <v>27</v>
      </c>
    </row>
    <row r="2" spans="1:28" x14ac:dyDescent="0.3">
      <c r="A2" t="s">
        <v>28</v>
      </c>
      <c r="B2" s="6" t="s">
        <v>29</v>
      </c>
      <c r="C2" s="6" t="s">
        <v>30</v>
      </c>
      <c r="D2">
        <v>3201000327</v>
      </c>
      <c r="E2">
        <v>325701001</v>
      </c>
      <c r="F2" t="s">
        <v>31</v>
      </c>
      <c r="G2" t="s">
        <v>32</v>
      </c>
      <c r="J2" s="8">
        <v>45019</v>
      </c>
      <c r="K2" s="1" t="s">
        <v>33</v>
      </c>
      <c r="L2">
        <v>32312184817</v>
      </c>
      <c r="M2" t="s">
        <v>34</v>
      </c>
      <c r="N2" s="2">
        <v>44000000</v>
      </c>
      <c r="O2" t="s">
        <v>35</v>
      </c>
      <c r="P2" s="6" t="s">
        <v>36</v>
      </c>
      <c r="Q2" t="s">
        <v>37</v>
      </c>
      <c r="R2" t="s">
        <v>38</v>
      </c>
      <c r="S2" s="9">
        <v>5440</v>
      </c>
      <c r="T2" s="9">
        <f>U2/S2</f>
        <v>8088.2352941176468</v>
      </c>
      <c r="U2" s="9">
        <v>44000000</v>
      </c>
      <c r="V2" s="6" t="s">
        <v>39</v>
      </c>
      <c r="W2" t="s">
        <v>40</v>
      </c>
      <c r="Z2" s="3"/>
      <c r="AA2" s="6">
        <v>2024</v>
      </c>
      <c r="AB2" s="1">
        <v>45657</v>
      </c>
    </row>
    <row r="3" spans="1:28" x14ac:dyDescent="0.3">
      <c r="A3" t="s">
        <v>41</v>
      </c>
      <c r="B3" s="6" t="s">
        <v>42</v>
      </c>
      <c r="C3" s="6" t="s">
        <v>43</v>
      </c>
      <c r="D3">
        <v>5609027223</v>
      </c>
      <c r="E3">
        <v>560901001</v>
      </c>
      <c r="F3" t="s">
        <v>44</v>
      </c>
      <c r="G3" t="s">
        <v>45</v>
      </c>
      <c r="H3" s="1">
        <v>45279</v>
      </c>
      <c r="J3" s="8">
        <v>45279</v>
      </c>
      <c r="K3" s="1" t="s">
        <v>33</v>
      </c>
      <c r="L3" t="s">
        <v>46</v>
      </c>
      <c r="M3" t="s">
        <v>47</v>
      </c>
      <c r="N3" s="2">
        <v>19962825.300000001</v>
      </c>
      <c r="P3" s="6" t="s">
        <v>36</v>
      </c>
      <c r="Q3" t="s">
        <v>37</v>
      </c>
      <c r="R3" t="s">
        <v>48</v>
      </c>
      <c r="S3" s="9">
        <v>5522.22</v>
      </c>
      <c r="T3" s="9">
        <v>3615</v>
      </c>
      <c r="U3" s="9">
        <v>19962825.300000001</v>
      </c>
      <c r="V3" s="6" t="s">
        <v>39</v>
      </c>
      <c r="W3" t="s">
        <v>40</v>
      </c>
      <c r="AA3" s="6">
        <v>2024</v>
      </c>
      <c r="AB3" s="1">
        <v>45657</v>
      </c>
    </row>
    <row r="4" spans="1:28" x14ac:dyDescent="0.3">
      <c r="A4" t="s">
        <v>49</v>
      </c>
      <c r="B4" s="6" t="s">
        <v>50</v>
      </c>
      <c r="C4" s="6" t="s">
        <v>51</v>
      </c>
      <c r="D4">
        <v>6832024766</v>
      </c>
      <c r="E4">
        <v>682901001</v>
      </c>
      <c r="F4" t="s">
        <v>52</v>
      </c>
      <c r="G4" t="s">
        <v>53</v>
      </c>
      <c r="H4" s="1">
        <v>45275</v>
      </c>
      <c r="I4" t="s">
        <v>54</v>
      </c>
      <c r="J4" s="8">
        <v>45286</v>
      </c>
      <c r="K4" s="1" t="s">
        <v>33</v>
      </c>
      <c r="L4" t="s">
        <v>55</v>
      </c>
      <c r="M4" t="s">
        <v>56</v>
      </c>
      <c r="N4" s="2">
        <v>50150754.549999997</v>
      </c>
      <c r="P4" s="6" t="s">
        <v>36</v>
      </c>
      <c r="Q4" t="s">
        <v>37</v>
      </c>
      <c r="R4" t="s">
        <v>57</v>
      </c>
      <c r="S4" s="9">
        <v>5742.67</v>
      </c>
      <c r="T4" s="9">
        <f>U4/S4</f>
        <v>7227.5213585318324</v>
      </c>
      <c r="U4" s="9">
        <v>41505270.079999998</v>
      </c>
      <c r="V4" s="6" t="s">
        <v>58</v>
      </c>
      <c r="W4" t="s">
        <v>59</v>
      </c>
      <c r="X4">
        <v>5262222144</v>
      </c>
      <c r="Y4">
        <v>526201001</v>
      </c>
      <c r="AA4" s="6">
        <v>2024</v>
      </c>
      <c r="AB4" s="1">
        <v>45629</v>
      </c>
    </row>
    <row r="5" spans="1:28" x14ac:dyDescent="0.3">
      <c r="A5" t="s">
        <v>60</v>
      </c>
      <c r="B5" s="6" t="s">
        <v>61</v>
      </c>
      <c r="C5" s="6" t="s">
        <v>62</v>
      </c>
      <c r="D5">
        <v>4027022305</v>
      </c>
      <c r="E5">
        <v>402701001</v>
      </c>
      <c r="F5" t="s">
        <v>31</v>
      </c>
      <c r="G5" t="s">
        <v>63</v>
      </c>
      <c r="J5" s="8">
        <v>45289</v>
      </c>
      <c r="K5" s="1" t="s">
        <v>33</v>
      </c>
      <c r="L5">
        <v>32313061838</v>
      </c>
      <c r="M5" t="s">
        <v>64</v>
      </c>
      <c r="N5" s="2">
        <v>8775000</v>
      </c>
      <c r="O5" t="s">
        <v>65</v>
      </c>
      <c r="P5" s="6" t="s">
        <v>36</v>
      </c>
      <c r="Q5" t="s">
        <v>37</v>
      </c>
      <c r="R5" t="s">
        <v>66</v>
      </c>
      <c r="S5" s="9">
        <v>5850</v>
      </c>
      <c r="T5" s="9">
        <v>1500</v>
      </c>
      <c r="U5" s="9">
        <v>8775000</v>
      </c>
      <c r="V5" s="6" t="s">
        <v>58</v>
      </c>
      <c r="W5" t="s">
        <v>59</v>
      </c>
      <c r="Z5" s="3"/>
      <c r="AA5" s="6">
        <v>2024</v>
      </c>
      <c r="AB5" s="1">
        <v>45657</v>
      </c>
    </row>
    <row r="6" spans="1:28" x14ac:dyDescent="0.3">
      <c r="A6" t="s">
        <v>67</v>
      </c>
      <c r="B6" s="6" t="s">
        <v>68</v>
      </c>
      <c r="C6" s="6" t="s">
        <v>69</v>
      </c>
      <c r="D6">
        <v>8300010526</v>
      </c>
      <c r="E6">
        <v>298301001</v>
      </c>
      <c r="F6" t="s">
        <v>52</v>
      </c>
      <c r="G6" t="s">
        <v>70</v>
      </c>
      <c r="H6" s="1">
        <v>45282</v>
      </c>
      <c r="I6" t="s">
        <v>71</v>
      </c>
      <c r="J6" s="8">
        <v>45296</v>
      </c>
      <c r="K6" s="1" t="s">
        <v>33</v>
      </c>
      <c r="L6">
        <v>402</v>
      </c>
      <c r="M6" t="s">
        <v>72</v>
      </c>
      <c r="N6" s="2">
        <v>119798</v>
      </c>
      <c r="O6" t="s">
        <v>73</v>
      </c>
      <c r="P6" s="6" t="s">
        <v>36</v>
      </c>
      <c r="Q6" t="s">
        <v>37</v>
      </c>
      <c r="R6" t="s">
        <v>57</v>
      </c>
      <c r="S6" s="9">
        <v>5989.9</v>
      </c>
      <c r="T6" s="9">
        <v>20</v>
      </c>
      <c r="U6" s="9">
        <v>119798</v>
      </c>
      <c r="V6" s="6" t="s">
        <v>39</v>
      </c>
      <c r="W6" t="s">
        <v>40</v>
      </c>
      <c r="X6">
        <v>7810687137</v>
      </c>
      <c r="Y6">
        <v>781401001</v>
      </c>
      <c r="Z6" s="3">
        <v>45385.606944444444</v>
      </c>
      <c r="AA6" s="6">
        <v>2024</v>
      </c>
      <c r="AB6" s="1">
        <v>45338</v>
      </c>
    </row>
    <row r="7" spans="1:28" x14ac:dyDescent="0.3">
      <c r="A7" t="s">
        <v>74</v>
      </c>
      <c r="B7" s="6" t="s">
        <v>75</v>
      </c>
      <c r="C7" s="6" t="s">
        <v>76</v>
      </c>
      <c r="D7">
        <v>2633004253</v>
      </c>
      <c r="E7">
        <v>263601001</v>
      </c>
      <c r="F7" t="s">
        <v>52</v>
      </c>
      <c r="G7" t="s">
        <v>77</v>
      </c>
      <c r="H7" s="1">
        <v>45279</v>
      </c>
      <c r="I7" t="s">
        <v>78</v>
      </c>
      <c r="J7" s="8">
        <v>45300</v>
      </c>
      <c r="K7" s="1" t="s">
        <v>33</v>
      </c>
      <c r="L7" t="s">
        <v>79</v>
      </c>
      <c r="M7" t="s">
        <v>80</v>
      </c>
      <c r="N7" s="2">
        <v>33674361.600000001</v>
      </c>
      <c r="O7" t="s">
        <v>81</v>
      </c>
      <c r="P7" s="6" t="s">
        <v>36</v>
      </c>
      <c r="Q7" t="s">
        <v>37</v>
      </c>
      <c r="R7" t="s">
        <v>57</v>
      </c>
      <c r="S7" s="9">
        <v>6002.56</v>
      </c>
      <c r="T7" s="9">
        <v>5610</v>
      </c>
      <c r="U7" s="9">
        <v>33674361.600000001</v>
      </c>
      <c r="V7" s="6" t="s">
        <v>39</v>
      </c>
      <c r="W7" t="s">
        <v>40</v>
      </c>
      <c r="X7">
        <v>7810687137</v>
      </c>
      <c r="Y7">
        <v>781401001</v>
      </c>
      <c r="Z7" s="3">
        <v>45539.613888888889</v>
      </c>
      <c r="AA7" s="6">
        <v>2024</v>
      </c>
      <c r="AB7" s="1">
        <v>45657</v>
      </c>
    </row>
    <row r="8" spans="1:28" x14ac:dyDescent="0.3">
      <c r="A8" t="s">
        <v>82</v>
      </c>
      <c r="B8" s="6" t="s">
        <v>83</v>
      </c>
      <c r="C8" s="6" t="s">
        <v>84</v>
      </c>
      <c r="D8">
        <v>3666031335</v>
      </c>
      <c r="E8">
        <v>366601001</v>
      </c>
      <c r="F8" t="s">
        <v>52</v>
      </c>
      <c r="G8" t="s">
        <v>85</v>
      </c>
      <c r="H8" s="1">
        <v>45285</v>
      </c>
      <c r="I8" t="s">
        <v>86</v>
      </c>
      <c r="J8" s="8">
        <v>45301</v>
      </c>
      <c r="K8" s="1" t="s">
        <v>33</v>
      </c>
      <c r="L8" t="s">
        <v>87</v>
      </c>
      <c r="M8" t="s">
        <v>88</v>
      </c>
      <c r="N8" s="2">
        <v>18696000</v>
      </c>
      <c r="O8" t="s">
        <v>89</v>
      </c>
      <c r="P8" s="6" t="s">
        <v>36</v>
      </c>
      <c r="Q8" t="s">
        <v>37</v>
      </c>
      <c r="R8" t="s">
        <v>57</v>
      </c>
      <c r="S8" s="9">
        <v>6000</v>
      </c>
      <c r="T8" s="9">
        <v>3116</v>
      </c>
      <c r="U8" s="9">
        <v>18696000</v>
      </c>
      <c r="V8" s="6" t="s">
        <v>90</v>
      </c>
      <c r="W8" t="s">
        <v>59</v>
      </c>
      <c r="X8">
        <v>5259153331</v>
      </c>
      <c r="Y8">
        <v>525901001</v>
      </c>
      <c r="Z8" s="3">
        <v>45337.4</v>
      </c>
      <c r="AA8" s="6">
        <v>2024</v>
      </c>
      <c r="AB8" s="1">
        <v>45657</v>
      </c>
    </row>
    <row r="9" spans="1:28" x14ac:dyDescent="0.3">
      <c r="A9" t="s">
        <v>91</v>
      </c>
      <c r="B9" s="6" t="s">
        <v>92</v>
      </c>
      <c r="C9" s="6" t="s">
        <v>93</v>
      </c>
      <c r="D9">
        <v>4501024659</v>
      </c>
      <c r="E9">
        <v>450101001</v>
      </c>
      <c r="F9" t="s">
        <v>94</v>
      </c>
      <c r="G9" t="s">
        <v>95</v>
      </c>
      <c r="H9" s="1">
        <v>45288</v>
      </c>
      <c r="I9" t="s">
        <v>96</v>
      </c>
      <c r="J9" s="8">
        <v>45301</v>
      </c>
      <c r="K9" s="1" t="s">
        <v>33</v>
      </c>
      <c r="L9" t="s">
        <v>97</v>
      </c>
      <c r="M9" t="s">
        <v>98</v>
      </c>
      <c r="N9" s="2">
        <v>7728000</v>
      </c>
      <c r="O9" t="s">
        <v>73</v>
      </c>
      <c r="P9" s="6" t="s">
        <v>36</v>
      </c>
      <c r="Q9" t="s">
        <v>37</v>
      </c>
      <c r="R9" t="s">
        <v>57</v>
      </c>
      <c r="S9" s="9">
        <v>6000</v>
      </c>
      <c r="T9" s="9">
        <v>1288</v>
      </c>
      <c r="U9" s="9">
        <v>7728000</v>
      </c>
      <c r="V9" s="6" t="s">
        <v>39</v>
      </c>
      <c r="W9" t="s">
        <v>40</v>
      </c>
      <c r="X9">
        <v>7810687137</v>
      </c>
      <c r="Y9">
        <v>781401001</v>
      </c>
      <c r="Z9" s="3">
        <v>45324.253472222219</v>
      </c>
      <c r="AA9" s="6">
        <v>2024</v>
      </c>
      <c r="AB9" s="1">
        <v>45657</v>
      </c>
    </row>
    <row r="10" spans="1:28" x14ac:dyDescent="0.3">
      <c r="A10" t="s">
        <v>99</v>
      </c>
      <c r="B10" s="6" t="s">
        <v>61</v>
      </c>
      <c r="C10" s="6" t="s">
        <v>62</v>
      </c>
      <c r="D10">
        <v>4027022305</v>
      </c>
      <c r="E10">
        <v>402701001</v>
      </c>
      <c r="F10" t="s">
        <v>31</v>
      </c>
      <c r="G10" t="s">
        <v>100</v>
      </c>
      <c r="J10" s="8">
        <v>45301</v>
      </c>
      <c r="K10" s="1" t="s">
        <v>33</v>
      </c>
      <c r="L10">
        <v>32313095997</v>
      </c>
      <c r="M10" t="s">
        <v>101</v>
      </c>
      <c r="N10" s="2">
        <v>33881640</v>
      </c>
      <c r="O10" t="s">
        <v>102</v>
      </c>
      <c r="P10" s="6" t="s">
        <v>36</v>
      </c>
      <c r="Q10" t="s">
        <v>37</v>
      </c>
      <c r="R10" t="s">
        <v>66</v>
      </c>
      <c r="S10" s="9">
        <v>5870</v>
      </c>
      <c r="T10" s="9">
        <v>5772</v>
      </c>
      <c r="U10" s="9">
        <v>33881640</v>
      </c>
      <c r="V10" s="6" t="s">
        <v>58</v>
      </c>
      <c r="W10" t="s">
        <v>59</v>
      </c>
      <c r="Z10" s="3"/>
      <c r="AA10" s="6">
        <v>2024</v>
      </c>
      <c r="AB10" s="1">
        <v>45657</v>
      </c>
    </row>
    <row r="11" spans="1:28" x14ac:dyDescent="0.3">
      <c r="A11" t="s">
        <v>103</v>
      </c>
      <c r="B11" s="6" t="s">
        <v>104</v>
      </c>
      <c r="C11" s="6" t="s">
        <v>105</v>
      </c>
      <c r="D11">
        <v>6660010415</v>
      </c>
      <c r="E11">
        <v>667101001</v>
      </c>
      <c r="F11" t="s">
        <v>52</v>
      </c>
      <c r="G11" t="s">
        <v>106</v>
      </c>
      <c r="H11" s="1">
        <v>45287</v>
      </c>
      <c r="I11" t="s">
        <v>107</v>
      </c>
      <c r="J11" s="8">
        <v>45302</v>
      </c>
      <c r="K11" s="1" t="s">
        <v>33</v>
      </c>
      <c r="L11" t="s">
        <v>108</v>
      </c>
      <c r="M11" t="s">
        <v>109</v>
      </c>
      <c r="N11" s="2">
        <v>165086460.97999999</v>
      </c>
      <c r="O11" t="s">
        <v>110</v>
      </c>
      <c r="P11" s="6" t="s">
        <v>36</v>
      </c>
      <c r="Q11" t="s">
        <v>37</v>
      </c>
      <c r="R11" t="s">
        <v>57</v>
      </c>
      <c r="S11" s="9">
        <v>5817.41</v>
      </c>
      <c r="T11" s="9">
        <v>28378</v>
      </c>
      <c r="U11" s="9">
        <v>165086460.97999999</v>
      </c>
      <c r="V11" s="6" t="s">
        <v>111</v>
      </c>
      <c r="W11" t="s">
        <v>59</v>
      </c>
      <c r="X11">
        <v>5262258091</v>
      </c>
      <c r="Y11">
        <v>526201001</v>
      </c>
      <c r="Z11" s="3">
        <v>45624.549305555556</v>
      </c>
      <c r="AA11" s="6">
        <v>2024</v>
      </c>
      <c r="AB11" s="1">
        <v>45657</v>
      </c>
    </row>
    <row r="12" spans="1:28" x14ac:dyDescent="0.3">
      <c r="A12" t="s">
        <v>112</v>
      </c>
      <c r="B12" s="6" t="s">
        <v>113</v>
      </c>
      <c r="C12" s="6" t="s">
        <v>114</v>
      </c>
      <c r="D12">
        <v>8601035838</v>
      </c>
      <c r="E12">
        <v>860201001</v>
      </c>
      <c r="F12" t="s">
        <v>52</v>
      </c>
      <c r="G12" t="s">
        <v>115</v>
      </c>
      <c r="H12" s="1">
        <v>45286</v>
      </c>
      <c r="I12" t="s">
        <v>116</v>
      </c>
      <c r="J12" s="8">
        <v>45303</v>
      </c>
      <c r="K12" s="1" t="s">
        <v>33</v>
      </c>
      <c r="L12">
        <v>23007006</v>
      </c>
      <c r="M12" t="s">
        <v>117</v>
      </c>
      <c r="N12" s="2">
        <v>783978</v>
      </c>
      <c r="O12" t="s">
        <v>118</v>
      </c>
      <c r="P12" s="6" t="s">
        <v>36</v>
      </c>
      <c r="Q12" t="s">
        <v>37</v>
      </c>
      <c r="R12" t="s">
        <v>57</v>
      </c>
      <c r="S12" s="9">
        <v>6030.6</v>
      </c>
      <c r="T12" s="9">
        <v>80</v>
      </c>
      <c r="U12" s="9">
        <v>482448</v>
      </c>
      <c r="V12" s="6" t="s">
        <v>119</v>
      </c>
      <c r="W12" t="s">
        <v>59</v>
      </c>
      <c r="X12">
        <v>7810776309</v>
      </c>
      <c r="Y12">
        <v>780601001</v>
      </c>
      <c r="Z12" s="3">
        <v>45489.625</v>
      </c>
      <c r="AA12" s="6">
        <v>2024</v>
      </c>
      <c r="AB12" s="1">
        <v>45646</v>
      </c>
    </row>
    <row r="13" spans="1:28" x14ac:dyDescent="0.3">
      <c r="A13" t="s">
        <v>112</v>
      </c>
      <c r="B13" s="6" t="s">
        <v>113</v>
      </c>
      <c r="C13" s="6" t="s">
        <v>114</v>
      </c>
      <c r="D13">
        <v>8601035838</v>
      </c>
      <c r="E13">
        <v>860201001</v>
      </c>
      <c r="F13" t="s">
        <v>52</v>
      </c>
      <c r="G13" t="s">
        <v>115</v>
      </c>
      <c r="H13" s="1">
        <v>45286</v>
      </c>
      <c r="I13" t="s">
        <v>116</v>
      </c>
      <c r="J13" s="8">
        <v>45303</v>
      </c>
      <c r="K13" s="1" t="s">
        <v>33</v>
      </c>
      <c r="L13">
        <v>23007006</v>
      </c>
      <c r="M13" t="s">
        <v>117</v>
      </c>
      <c r="N13" s="2">
        <v>783978</v>
      </c>
      <c r="O13" t="s">
        <v>118</v>
      </c>
      <c r="P13" s="6" t="s">
        <v>36</v>
      </c>
      <c r="Q13" t="s">
        <v>37</v>
      </c>
      <c r="R13" t="s">
        <v>57</v>
      </c>
      <c r="S13" s="9">
        <v>6030.6</v>
      </c>
      <c r="T13" s="9">
        <v>50</v>
      </c>
      <c r="U13" s="9">
        <v>301530</v>
      </c>
      <c r="V13" s="6" t="s">
        <v>119</v>
      </c>
      <c r="W13" t="s">
        <v>59</v>
      </c>
      <c r="X13">
        <v>7810776309</v>
      </c>
      <c r="Y13">
        <v>780601001</v>
      </c>
      <c r="Z13" s="3">
        <v>45489.625</v>
      </c>
      <c r="AA13" s="6">
        <v>2024</v>
      </c>
      <c r="AB13" s="1">
        <v>45646</v>
      </c>
    </row>
    <row r="14" spans="1:28" x14ac:dyDescent="0.3">
      <c r="A14" t="s">
        <v>120</v>
      </c>
      <c r="B14" s="6" t="s">
        <v>121</v>
      </c>
      <c r="C14" s="6" t="s">
        <v>122</v>
      </c>
      <c r="D14">
        <v>5402155123</v>
      </c>
      <c r="E14">
        <v>540201001</v>
      </c>
      <c r="F14" t="s">
        <v>94</v>
      </c>
      <c r="G14" t="s">
        <v>123</v>
      </c>
      <c r="H14" s="1">
        <v>45301</v>
      </c>
      <c r="I14" t="s">
        <v>124</v>
      </c>
      <c r="J14" s="8">
        <v>45306</v>
      </c>
      <c r="K14" s="1" t="s">
        <v>33</v>
      </c>
      <c r="L14" t="s">
        <v>125</v>
      </c>
      <c r="M14" t="s">
        <v>126</v>
      </c>
      <c r="N14" s="2">
        <v>2276720</v>
      </c>
      <c r="O14" t="s">
        <v>127</v>
      </c>
      <c r="P14" s="6" t="s">
        <v>36</v>
      </c>
      <c r="Q14" t="s">
        <v>37</v>
      </c>
      <c r="R14" t="s">
        <v>57</v>
      </c>
      <c r="S14" s="9">
        <v>5960</v>
      </c>
      <c r="T14" s="9">
        <v>376</v>
      </c>
      <c r="U14" s="9">
        <v>2240960</v>
      </c>
      <c r="V14" s="6" t="s">
        <v>128</v>
      </c>
      <c r="W14" t="s">
        <v>129</v>
      </c>
      <c r="X14">
        <v>274110679</v>
      </c>
      <c r="Y14">
        <v>500801001</v>
      </c>
      <c r="Z14" s="3">
        <v>45488.611805555556</v>
      </c>
      <c r="AA14" s="6">
        <v>2024</v>
      </c>
      <c r="AB14" s="1">
        <v>45626</v>
      </c>
    </row>
    <row r="15" spans="1:28" x14ac:dyDescent="0.3">
      <c r="A15" t="s">
        <v>130</v>
      </c>
      <c r="B15" s="6" t="s">
        <v>131</v>
      </c>
      <c r="C15" s="6" t="s">
        <v>132</v>
      </c>
      <c r="D15">
        <v>6027053995</v>
      </c>
      <c r="E15">
        <v>602701001</v>
      </c>
      <c r="F15" t="s">
        <v>52</v>
      </c>
      <c r="G15" t="s">
        <v>133</v>
      </c>
      <c r="H15" s="1">
        <v>45288</v>
      </c>
      <c r="I15" t="s">
        <v>134</v>
      </c>
      <c r="J15" s="8">
        <v>45307</v>
      </c>
      <c r="K15" s="1" t="s">
        <v>33</v>
      </c>
      <c r="L15" t="s">
        <v>135</v>
      </c>
      <c r="M15" t="s">
        <v>136</v>
      </c>
      <c r="N15" s="2">
        <v>243731.59</v>
      </c>
      <c r="O15" t="s">
        <v>137</v>
      </c>
      <c r="P15" s="6" t="s">
        <v>36</v>
      </c>
      <c r="Q15" t="s">
        <v>37</v>
      </c>
      <c r="R15" t="s">
        <v>57</v>
      </c>
      <c r="S15" s="9">
        <v>5668.17</v>
      </c>
      <c r="T15" s="9">
        <v>42</v>
      </c>
      <c r="U15" s="9">
        <v>238063.14</v>
      </c>
      <c r="V15" s="6" t="s">
        <v>39</v>
      </c>
      <c r="W15" t="s">
        <v>40</v>
      </c>
      <c r="X15">
        <v>7810687137</v>
      </c>
      <c r="Y15">
        <v>781401001</v>
      </c>
      <c r="Z15" s="3">
        <v>45398.354861111111</v>
      </c>
      <c r="AA15" s="6">
        <v>2024</v>
      </c>
      <c r="AB15" s="1">
        <v>45629</v>
      </c>
    </row>
    <row r="16" spans="1:28" x14ac:dyDescent="0.3">
      <c r="A16" t="s">
        <v>130</v>
      </c>
      <c r="B16" s="6" t="s">
        <v>131</v>
      </c>
      <c r="C16" s="6" t="s">
        <v>132</v>
      </c>
      <c r="D16">
        <v>6027053995</v>
      </c>
      <c r="E16">
        <v>602701001</v>
      </c>
      <c r="F16" t="s">
        <v>52</v>
      </c>
      <c r="G16" t="s">
        <v>133</v>
      </c>
      <c r="H16" s="1">
        <v>45288</v>
      </c>
      <c r="I16" t="s">
        <v>134</v>
      </c>
      <c r="J16" s="8">
        <v>45307</v>
      </c>
      <c r="K16" s="1" t="s">
        <v>33</v>
      </c>
      <c r="L16" t="s">
        <v>135</v>
      </c>
      <c r="M16" t="s">
        <v>136</v>
      </c>
      <c r="N16" s="2">
        <v>243731.59</v>
      </c>
      <c r="O16" t="s">
        <v>137</v>
      </c>
      <c r="P16" s="6" t="s">
        <v>36</v>
      </c>
      <c r="Q16" t="s">
        <v>37</v>
      </c>
      <c r="R16" t="s">
        <v>57</v>
      </c>
      <c r="S16" s="9">
        <v>5668.45</v>
      </c>
      <c r="T16" s="9">
        <v>1</v>
      </c>
      <c r="U16" s="9">
        <v>5668.45</v>
      </c>
      <c r="V16" s="6" t="s">
        <v>39</v>
      </c>
      <c r="W16" t="s">
        <v>40</v>
      </c>
      <c r="X16">
        <v>7810687137</v>
      </c>
      <c r="Y16">
        <v>781401001</v>
      </c>
      <c r="Z16" s="3">
        <v>45398.354861111111</v>
      </c>
      <c r="AA16" s="6">
        <v>2024</v>
      </c>
      <c r="AB16" s="1">
        <v>45629</v>
      </c>
    </row>
    <row r="17" spans="1:28" x14ac:dyDescent="0.3">
      <c r="A17" t="s">
        <v>138</v>
      </c>
      <c r="B17" s="6" t="s">
        <v>139</v>
      </c>
      <c r="C17" s="6" t="s">
        <v>140</v>
      </c>
      <c r="D17">
        <v>3444198220</v>
      </c>
      <c r="E17">
        <v>346001001</v>
      </c>
      <c r="F17" t="s">
        <v>52</v>
      </c>
      <c r="G17" t="s">
        <v>141</v>
      </c>
      <c r="H17" s="1">
        <v>45302</v>
      </c>
      <c r="I17" t="s">
        <v>142</v>
      </c>
      <c r="J17" s="8">
        <v>45313</v>
      </c>
      <c r="K17" s="1" t="s">
        <v>33</v>
      </c>
      <c r="L17">
        <v>240149</v>
      </c>
      <c r="M17" t="s">
        <v>143</v>
      </c>
      <c r="N17" s="2">
        <v>468809.64</v>
      </c>
      <c r="O17" t="s">
        <v>144</v>
      </c>
      <c r="P17" s="6" t="s">
        <v>36</v>
      </c>
      <c r="Q17" t="s">
        <v>37</v>
      </c>
      <c r="R17" t="s">
        <v>57</v>
      </c>
      <c r="S17" s="9">
        <v>6010.38</v>
      </c>
      <c r="T17" s="9">
        <v>78</v>
      </c>
      <c r="U17" s="9">
        <v>468809.64</v>
      </c>
      <c r="V17" s="6" t="s">
        <v>145</v>
      </c>
      <c r="W17" t="s">
        <v>40</v>
      </c>
      <c r="X17">
        <v>5321132777</v>
      </c>
      <c r="Y17">
        <v>532101001</v>
      </c>
      <c r="Z17" s="3">
        <v>45596.701388888891</v>
      </c>
      <c r="AA17" s="6">
        <v>2024</v>
      </c>
      <c r="AB17" s="1">
        <v>45657</v>
      </c>
    </row>
    <row r="18" spans="1:28" x14ac:dyDescent="0.3">
      <c r="A18" t="s">
        <v>146</v>
      </c>
      <c r="B18" s="6" t="s">
        <v>147</v>
      </c>
      <c r="C18" s="6" t="s">
        <v>148</v>
      </c>
      <c r="D18">
        <v>274019476</v>
      </c>
      <c r="E18">
        <v>27401001</v>
      </c>
      <c r="F18" t="s">
        <v>149</v>
      </c>
      <c r="G18" t="s">
        <v>150</v>
      </c>
      <c r="H18" s="1">
        <v>45309</v>
      </c>
      <c r="I18" t="s">
        <v>151</v>
      </c>
      <c r="J18" s="8">
        <v>45314</v>
      </c>
      <c r="K18" s="1" t="s">
        <v>33</v>
      </c>
      <c r="L18" t="s">
        <v>152</v>
      </c>
      <c r="M18" t="s">
        <v>153</v>
      </c>
      <c r="N18" s="2">
        <v>896000</v>
      </c>
      <c r="O18" t="s">
        <v>154</v>
      </c>
      <c r="P18" s="6" t="s">
        <v>36</v>
      </c>
      <c r="Q18" t="s">
        <v>37</v>
      </c>
      <c r="R18" t="s">
        <v>57</v>
      </c>
      <c r="S18" s="9">
        <v>11200</v>
      </c>
      <c r="T18" s="9">
        <v>80</v>
      </c>
      <c r="U18" s="9">
        <v>896000</v>
      </c>
      <c r="V18" s="6" t="s">
        <v>155</v>
      </c>
      <c r="W18" t="s">
        <v>59</v>
      </c>
      <c r="X18">
        <v>24202357780</v>
      </c>
      <c r="Z18" s="3">
        <v>45342.413888888892</v>
      </c>
      <c r="AA18" s="6">
        <v>2024</v>
      </c>
      <c r="AB18" s="1">
        <v>45473</v>
      </c>
    </row>
    <row r="19" spans="1:28" x14ac:dyDescent="0.3">
      <c r="A19" t="s">
        <v>156</v>
      </c>
      <c r="B19" s="6" t="s">
        <v>157</v>
      </c>
      <c r="C19" s="6" t="s">
        <v>105</v>
      </c>
      <c r="D19">
        <v>6612049211</v>
      </c>
      <c r="E19">
        <v>661201001</v>
      </c>
      <c r="F19" t="s">
        <v>52</v>
      </c>
      <c r="G19" t="s">
        <v>158</v>
      </c>
      <c r="H19" s="1">
        <v>45306</v>
      </c>
      <c r="I19" t="s">
        <v>159</v>
      </c>
      <c r="J19" s="8">
        <v>45317</v>
      </c>
      <c r="K19" s="1" t="s">
        <v>33</v>
      </c>
      <c r="L19" t="s">
        <v>160</v>
      </c>
      <c r="M19" t="s">
        <v>161</v>
      </c>
      <c r="N19" s="2">
        <v>300000</v>
      </c>
      <c r="O19" t="s">
        <v>109</v>
      </c>
      <c r="P19" s="6" t="s">
        <v>36</v>
      </c>
      <c r="Q19" t="s">
        <v>37</v>
      </c>
      <c r="R19" t="s">
        <v>57</v>
      </c>
      <c r="S19" s="9">
        <v>6000</v>
      </c>
      <c r="T19" s="9">
        <v>50</v>
      </c>
      <c r="U19" s="9">
        <v>300000</v>
      </c>
      <c r="V19" s="6" t="s">
        <v>90</v>
      </c>
      <c r="W19" t="s">
        <v>59</v>
      </c>
      <c r="X19">
        <v>5259153331</v>
      </c>
      <c r="Y19">
        <v>525901001</v>
      </c>
      <c r="Z19" s="3">
        <v>45545.59652777778</v>
      </c>
      <c r="AA19" s="6">
        <v>2024</v>
      </c>
      <c r="AB19" s="1">
        <v>46022</v>
      </c>
    </row>
    <row r="20" spans="1:28" x14ac:dyDescent="0.3">
      <c r="A20" t="s">
        <v>162</v>
      </c>
      <c r="B20" s="6" t="s">
        <v>163</v>
      </c>
      <c r="C20" s="6" t="s">
        <v>164</v>
      </c>
      <c r="D20">
        <v>7705004254</v>
      </c>
      <c r="E20">
        <v>770501001</v>
      </c>
      <c r="F20" t="s">
        <v>52</v>
      </c>
      <c r="G20" t="s">
        <v>165</v>
      </c>
      <c r="H20" s="1">
        <v>45308</v>
      </c>
      <c r="I20" t="s">
        <v>166</v>
      </c>
      <c r="J20" s="8">
        <v>45320</v>
      </c>
      <c r="K20" s="1" t="s">
        <v>33</v>
      </c>
      <c r="L20" t="s">
        <v>167</v>
      </c>
      <c r="M20" t="s">
        <v>168</v>
      </c>
      <c r="N20" s="2">
        <v>582256.98</v>
      </c>
      <c r="O20" t="s">
        <v>169</v>
      </c>
      <c r="P20" s="6" t="s">
        <v>36</v>
      </c>
      <c r="Q20" t="s">
        <v>37</v>
      </c>
      <c r="R20" t="s">
        <v>57</v>
      </c>
      <c r="S20" s="9">
        <v>5822.57</v>
      </c>
      <c r="T20" s="9">
        <v>99</v>
      </c>
      <c r="U20" s="9">
        <v>576434.43000000005</v>
      </c>
      <c r="V20" s="6" t="s">
        <v>170</v>
      </c>
      <c r="W20" t="s">
        <v>171</v>
      </c>
      <c r="X20">
        <v>540231059610</v>
      </c>
      <c r="Z20" s="3">
        <v>45334.680555555555</v>
      </c>
      <c r="AA20" s="6">
        <v>2024</v>
      </c>
      <c r="AB20" s="1">
        <v>45382</v>
      </c>
    </row>
    <row r="21" spans="1:28" x14ac:dyDescent="0.3">
      <c r="A21" t="s">
        <v>162</v>
      </c>
      <c r="B21" s="6" t="s">
        <v>163</v>
      </c>
      <c r="C21" s="6" t="s">
        <v>164</v>
      </c>
      <c r="D21">
        <v>7705004254</v>
      </c>
      <c r="E21">
        <v>770501001</v>
      </c>
      <c r="F21" t="s">
        <v>52</v>
      </c>
      <c r="G21" t="s">
        <v>165</v>
      </c>
      <c r="H21" s="1">
        <v>45308</v>
      </c>
      <c r="I21" t="s">
        <v>166</v>
      </c>
      <c r="J21" s="8">
        <v>45320</v>
      </c>
      <c r="K21" s="1" t="s">
        <v>33</v>
      </c>
      <c r="L21" t="s">
        <v>167</v>
      </c>
      <c r="M21" t="s">
        <v>168</v>
      </c>
      <c r="N21" s="2">
        <v>582256.98</v>
      </c>
      <c r="O21" t="s">
        <v>169</v>
      </c>
      <c r="P21" s="6" t="s">
        <v>36</v>
      </c>
      <c r="Q21" t="s">
        <v>37</v>
      </c>
      <c r="R21" t="s">
        <v>57</v>
      </c>
      <c r="S21" s="9">
        <v>5822.55</v>
      </c>
      <c r="T21" s="9">
        <v>1</v>
      </c>
      <c r="U21" s="9">
        <v>5822.55</v>
      </c>
      <c r="V21" s="6" t="s">
        <v>170</v>
      </c>
      <c r="W21" t="s">
        <v>171</v>
      </c>
      <c r="X21">
        <v>540231059610</v>
      </c>
      <c r="Z21" s="3">
        <v>45334.680555555555</v>
      </c>
      <c r="AA21" s="6">
        <v>2024</v>
      </c>
      <c r="AB21" s="1">
        <v>45382</v>
      </c>
    </row>
    <row r="22" spans="1:28" x14ac:dyDescent="0.3">
      <c r="A22" t="s">
        <v>172</v>
      </c>
      <c r="B22" s="6" t="s">
        <v>121</v>
      </c>
      <c r="C22" s="6" t="s">
        <v>122</v>
      </c>
      <c r="D22">
        <v>5402155123</v>
      </c>
      <c r="E22">
        <v>540201001</v>
      </c>
      <c r="F22" t="s">
        <v>94</v>
      </c>
      <c r="G22" t="s">
        <v>173</v>
      </c>
      <c r="H22" s="1">
        <v>45315</v>
      </c>
      <c r="I22" t="s">
        <v>174</v>
      </c>
      <c r="J22" s="8">
        <v>45320</v>
      </c>
      <c r="K22" s="1" t="s">
        <v>33</v>
      </c>
      <c r="L22" t="s">
        <v>175</v>
      </c>
      <c r="M22" t="s">
        <v>126</v>
      </c>
      <c r="N22" s="2">
        <v>2729680</v>
      </c>
      <c r="O22" t="s">
        <v>127</v>
      </c>
      <c r="P22" s="6" t="s">
        <v>36</v>
      </c>
      <c r="Q22" t="s">
        <v>37</v>
      </c>
      <c r="R22" t="s">
        <v>57</v>
      </c>
      <c r="S22" s="9">
        <v>5960</v>
      </c>
      <c r="T22" s="9">
        <v>456</v>
      </c>
      <c r="U22" s="9">
        <v>2717760</v>
      </c>
      <c r="V22" s="6" t="s">
        <v>128</v>
      </c>
      <c r="W22" t="s">
        <v>129</v>
      </c>
      <c r="X22">
        <v>274110679</v>
      </c>
      <c r="Y22">
        <v>500801001</v>
      </c>
      <c r="Z22" s="3">
        <v>45488.613194444442</v>
      </c>
      <c r="AA22" s="6">
        <v>2024</v>
      </c>
      <c r="AB22" s="1">
        <v>45626</v>
      </c>
    </row>
    <row r="23" spans="1:28" x14ac:dyDescent="0.3">
      <c r="A23" t="s">
        <v>176</v>
      </c>
      <c r="B23" s="6" t="s">
        <v>177</v>
      </c>
      <c r="C23" s="6" t="s">
        <v>62</v>
      </c>
      <c r="D23">
        <v>4027122645</v>
      </c>
      <c r="E23">
        <v>402701001</v>
      </c>
      <c r="F23" t="s">
        <v>44</v>
      </c>
      <c r="G23">
        <v>0</v>
      </c>
      <c r="J23" s="8">
        <v>45320</v>
      </c>
      <c r="K23" s="1" t="s">
        <v>33</v>
      </c>
      <c r="L23" t="s">
        <v>178</v>
      </c>
      <c r="M23" t="s">
        <v>179</v>
      </c>
      <c r="N23" s="2">
        <v>10968750</v>
      </c>
      <c r="O23" t="s">
        <v>180</v>
      </c>
      <c r="P23" s="6" t="s">
        <v>36</v>
      </c>
      <c r="Q23" t="s">
        <v>37</v>
      </c>
      <c r="R23" t="s">
        <v>181</v>
      </c>
      <c r="S23" s="9">
        <v>7312.5</v>
      </c>
      <c r="T23" s="9">
        <v>1500</v>
      </c>
      <c r="U23" s="9">
        <v>10968750</v>
      </c>
      <c r="V23" s="6" t="s">
        <v>61</v>
      </c>
      <c r="W23" t="s">
        <v>59</v>
      </c>
      <c r="X23">
        <v>4027022305</v>
      </c>
      <c r="Y23">
        <v>402701001</v>
      </c>
      <c r="Z23" s="3">
        <v>45336.545138888891</v>
      </c>
      <c r="AA23" s="6">
        <v>2024</v>
      </c>
      <c r="AB23" s="1">
        <v>45657</v>
      </c>
    </row>
    <row r="24" spans="1:28" x14ac:dyDescent="0.3">
      <c r="A24" t="s">
        <v>182</v>
      </c>
      <c r="B24" s="6" t="s">
        <v>183</v>
      </c>
      <c r="C24" s="6" t="s">
        <v>164</v>
      </c>
      <c r="D24">
        <v>7719047184</v>
      </c>
      <c r="E24">
        <v>771901001</v>
      </c>
      <c r="F24" t="s">
        <v>94</v>
      </c>
      <c r="G24" t="s">
        <v>184</v>
      </c>
      <c r="H24" s="1">
        <v>45320</v>
      </c>
      <c r="I24" t="s">
        <v>185</v>
      </c>
      <c r="J24" s="8">
        <v>45323</v>
      </c>
      <c r="K24" s="1" t="s">
        <v>33</v>
      </c>
      <c r="L24" t="s">
        <v>186</v>
      </c>
      <c r="M24" t="s">
        <v>187</v>
      </c>
      <c r="N24" s="2">
        <v>1680000</v>
      </c>
      <c r="O24" t="s">
        <v>188</v>
      </c>
      <c r="P24" s="6" t="s">
        <v>36</v>
      </c>
      <c r="Q24" t="s">
        <v>37</v>
      </c>
      <c r="R24" t="s">
        <v>189</v>
      </c>
      <c r="S24" s="9">
        <v>8000</v>
      </c>
      <c r="T24" s="9">
        <v>210</v>
      </c>
      <c r="U24" s="9">
        <v>1680000</v>
      </c>
      <c r="V24" s="6" t="s">
        <v>190</v>
      </c>
      <c r="W24" t="s">
        <v>129</v>
      </c>
      <c r="X24">
        <v>5027264000</v>
      </c>
      <c r="Y24">
        <v>502701001</v>
      </c>
      <c r="Z24" s="3">
        <v>45365.587500000001</v>
      </c>
      <c r="AA24" s="6">
        <v>2024</v>
      </c>
      <c r="AB24" s="1">
        <v>45656</v>
      </c>
    </row>
    <row r="25" spans="1:28" x14ac:dyDescent="0.3">
      <c r="A25" t="s">
        <v>191</v>
      </c>
      <c r="B25" s="6" t="s">
        <v>131</v>
      </c>
      <c r="C25" s="6" t="s">
        <v>132</v>
      </c>
      <c r="D25">
        <v>6027053995</v>
      </c>
      <c r="E25">
        <v>602701001</v>
      </c>
      <c r="F25" t="s">
        <v>52</v>
      </c>
      <c r="G25" t="s">
        <v>192</v>
      </c>
      <c r="H25" s="1">
        <v>45308</v>
      </c>
      <c r="I25" t="s">
        <v>166</v>
      </c>
      <c r="J25" s="8">
        <v>45324</v>
      </c>
      <c r="K25" s="1" t="s">
        <v>33</v>
      </c>
      <c r="L25" t="s">
        <v>193</v>
      </c>
      <c r="M25" t="s">
        <v>194</v>
      </c>
      <c r="N25" s="2">
        <v>6693575.5</v>
      </c>
      <c r="O25" t="s">
        <v>195</v>
      </c>
      <c r="P25" s="6" t="s">
        <v>36</v>
      </c>
      <c r="Q25" t="s">
        <v>37</v>
      </c>
      <c r="R25" t="s">
        <v>57</v>
      </c>
      <c r="S25" s="9">
        <v>5696.66</v>
      </c>
      <c r="T25" s="9">
        <v>1175</v>
      </c>
      <c r="U25" s="9">
        <v>6693575.5</v>
      </c>
      <c r="V25" s="6" t="s">
        <v>39</v>
      </c>
      <c r="W25" t="s">
        <v>40</v>
      </c>
      <c r="X25">
        <v>7810687137</v>
      </c>
      <c r="Y25">
        <v>781401001</v>
      </c>
      <c r="Z25" s="3">
        <v>45399.526388888888</v>
      </c>
      <c r="AA25" s="6">
        <v>2024</v>
      </c>
      <c r="AB25" s="1">
        <v>45629</v>
      </c>
    </row>
    <row r="26" spans="1:28" x14ac:dyDescent="0.3">
      <c r="A26" t="s">
        <v>196</v>
      </c>
      <c r="B26" s="6" t="s">
        <v>197</v>
      </c>
      <c r="C26" s="6" t="s">
        <v>198</v>
      </c>
      <c r="D26">
        <v>1001046786</v>
      </c>
      <c r="E26">
        <v>100101001</v>
      </c>
      <c r="F26" t="s">
        <v>94</v>
      </c>
      <c r="G26" t="s">
        <v>199</v>
      </c>
      <c r="H26" s="1">
        <v>45321</v>
      </c>
      <c r="I26" t="s">
        <v>200</v>
      </c>
      <c r="J26" s="8">
        <v>45324</v>
      </c>
      <c r="K26" s="1" t="s">
        <v>33</v>
      </c>
      <c r="L26" t="s">
        <v>201</v>
      </c>
      <c r="M26" t="s">
        <v>202</v>
      </c>
      <c r="N26" s="2">
        <v>6840000</v>
      </c>
      <c r="O26" t="s">
        <v>109</v>
      </c>
      <c r="P26" s="6" t="s">
        <v>36</v>
      </c>
      <c r="Q26" t="s">
        <v>37</v>
      </c>
      <c r="R26" t="s">
        <v>57</v>
      </c>
      <c r="S26" s="9">
        <v>5700</v>
      </c>
      <c r="T26" s="9">
        <v>1200</v>
      </c>
      <c r="U26" s="9">
        <v>6840000</v>
      </c>
      <c r="V26" s="6" t="s">
        <v>39</v>
      </c>
      <c r="W26" t="s">
        <v>40</v>
      </c>
      <c r="X26">
        <v>7810687137</v>
      </c>
      <c r="Y26">
        <v>781401001</v>
      </c>
      <c r="Z26" s="3">
        <v>45344.477777777778</v>
      </c>
      <c r="AA26" s="6">
        <v>2024</v>
      </c>
      <c r="AB26" s="1">
        <v>45657</v>
      </c>
    </row>
    <row r="27" spans="1:28" x14ac:dyDescent="0.3">
      <c r="A27" s="4" t="s">
        <v>203</v>
      </c>
      <c r="B27" s="6" t="s">
        <v>204</v>
      </c>
      <c r="C27" s="6" t="s">
        <v>205</v>
      </c>
      <c r="D27">
        <v>4101173350</v>
      </c>
      <c r="E27">
        <v>410101001</v>
      </c>
      <c r="F27" t="s">
        <v>52</v>
      </c>
      <c r="G27" t="s">
        <v>206</v>
      </c>
      <c r="H27" s="1">
        <v>45315</v>
      </c>
      <c r="I27" t="s">
        <v>207</v>
      </c>
      <c r="J27" s="8">
        <v>45327</v>
      </c>
      <c r="K27" s="1" t="s">
        <v>33</v>
      </c>
      <c r="L27" t="s">
        <v>208</v>
      </c>
      <c r="M27" t="s">
        <v>209</v>
      </c>
      <c r="N27" s="2">
        <v>510000</v>
      </c>
      <c r="O27" t="s">
        <v>210</v>
      </c>
      <c r="P27" s="6" t="s">
        <v>36</v>
      </c>
      <c r="Q27" t="s">
        <v>37</v>
      </c>
      <c r="R27" t="s">
        <v>57</v>
      </c>
      <c r="S27" s="9">
        <v>6000</v>
      </c>
      <c r="T27" s="9">
        <v>85</v>
      </c>
      <c r="U27" s="9">
        <v>510000</v>
      </c>
      <c r="V27" s="6" t="s">
        <v>90</v>
      </c>
      <c r="W27" t="s">
        <v>59</v>
      </c>
      <c r="X27">
        <v>5259153331</v>
      </c>
      <c r="Y27">
        <v>525901001</v>
      </c>
      <c r="Z27" s="3">
        <v>45362.238888888889</v>
      </c>
      <c r="AA27" s="6">
        <v>2024</v>
      </c>
      <c r="AB27" s="1">
        <v>45418</v>
      </c>
    </row>
    <row r="28" spans="1:28" x14ac:dyDescent="0.3">
      <c r="A28" t="s">
        <v>211</v>
      </c>
      <c r="B28" s="6" t="s">
        <v>212</v>
      </c>
      <c r="C28" s="6" t="s">
        <v>213</v>
      </c>
      <c r="D28">
        <v>1659013660</v>
      </c>
      <c r="E28">
        <v>165901001</v>
      </c>
      <c r="F28" t="s">
        <v>52</v>
      </c>
      <c r="G28" t="s">
        <v>214</v>
      </c>
      <c r="H28" s="1">
        <v>45316</v>
      </c>
      <c r="I28" t="s">
        <v>215</v>
      </c>
      <c r="J28" s="8">
        <v>45328</v>
      </c>
      <c r="K28" s="1" t="s">
        <v>33</v>
      </c>
      <c r="L28" t="s">
        <v>216</v>
      </c>
      <c r="M28" t="s">
        <v>217</v>
      </c>
      <c r="N28" s="2">
        <v>269390.7</v>
      </c>
      <c r="O28" t="s">
        <v>218</v>
      </c>
      <c r="P28" s="6" t="s">
        <v>36</v>
      </c>
      <c r="Q28" t="s">
        <v>37</v>
      </c>
      <c r="R28" t="s">
        <v>57</v>
      </c>
      <c r="S28" s="9">
        <v>5986.46</v>
      </c>
      <c r="T28" s="9">
        <f>U28/S28</f>
        <v>45</v>
      </c>
      <c r="U28" s="9">
        <v>269390.7</v>
      </c>
      <c r="V28" s="6" t="s">
        <v>90</v>
      </c>
      <c r="W28" t="s">
        <v>59</v>
      </c>
      <c r="X28">
        <v>5259153331</v>
      </c>
      <c r="Y28">
        <v>525901001</v>
      </c>
      <c r="Z28" s="3">
        <v>45555.34375</v>
      </c>
      <c r="AA28" s="6">
        <v>2024</v>
      </c>
      <c r="AB28" s="1">
        <v>45657</v>
      </c>
    </row>
    <row r="29" spans="1:28" x14ac:dyDescent="0.3">
      <c r="A29" t="s">
        <v>219</v>
      </c>
      <c r="B29" s="6" t="s">
        <v>220</v>
      </c>
      <c r="C29" s="6" t="s">
        <v>221</v>
      </c>
      <c r="D29">
        <v>5024068656</v>
      </c>
      <c r="E29">
        <v>502401001</v>
      </c>
      <c r="F29" t="s">
        <v>52</v>
      </c>
      <c r="G29" t="s">
        <v>222</v>
      </c>
      <c r="H29" s="1">
        <v>45317</v>
      </c>
      <c r="I29" t="s">
        <v>223</v>
      </c>
      <c r="J29" s="8">
        <v>45328</v>
      </c>
      <c r="K29" s="1" t="s">
        <v>33</v>
      </c>
      <c r="L29" t="s">
        <v>222</v>
      </c>
      <c r="M29" t="s">
        <v>224</v>
      </c>
      <c r="N29" s="2">
        <v>33746533.200000003</v>
      </c>
      <c r="O29" t="s">
        <v>225</v>
      </c>
      <c r="P29" s="6" t="s">
        <v>36</v>
      </c>
      <c r="Q29" t="s">
        <v>37</v>
      </c>
      <c r="R29" t="s">
        <v>189</v>
      </c>
      <c r="S29" s="9">
        <v>5989.8</v>
      </c>
      <c r="T29" s="9">
        <v>5634</v>
      </c>
      <c r="U29" s="9">
        <v>33746533.200000003</v>
      </c>
      <c r="V29" s="6" t="s">
        <v>128</v>
      </c>
      <c r="W29" t="s">
        <v>129</v>
      </c>
      <c r="X29">
        <v>274110679</v>
      </c>
      <c r="Y29">
        <v>500801001</v>
      </c>
      <c r="Z29" s="3">
        <v>45369.450694444444</v>
      </c>
      <c r="AA29" s="6">
        <v>2024</v>
      </c>
      <c r="AB29" s="1">
        <v>45390</v>
      </c>
    </row>
    <row r="30" spans="1:28" x14ac:dyDescent="0.3">
      <c r="A30" t="s">
        <v>226</v>
      </c>
      <c r="B30" s="6" t="s">
        <v>177</v>
      </c>
      <c r="C30" s="6" t="s">
        <v>62</v>
      </c>
      <c r="D30">
        <v>4027122645</v>
      </c>
      <c r="E30">
        <v>402701001</v>
      </c>
      <c r="F30" t="s">
        <v>44</v>
      </c>
      <c r="G30">
        <v>0</v>
      </c>
      <c r="J30" s="8">
        <v>45329</v>
      </c>
      <c r="K30" s="1" t="s">
        <v>33</v>
      </c>
      <c r="L30" t="s">
        <v>227</v>
      </c>
      <c r="M30" t="s">
        <v>179</v>
      </c>
      <c r="N30" s="2">
        <v>35765851.68</v>
      </c>
      <c r="O30" t="s">
        <v>228</v>
      </c>
      <c r="P30" s="6" t="s">
        <v>36</v>
      </c>
      <c r="Q30" t="s">
        <v>37</v>
      </c>
      <c r="R30" t="s">
        <v>66</v>
      </c>
      <c r="S30" s="9">
        <v>6196.44</v>
      </c>
      <c r="T30" s="9">
        <v>5772</v>
      </c>
      <c r="U30" s="9">
        <v>35765851.68</v>
      </c>
      <c r="V30" s="6" t="s">
        <v>61</v>
      </c>
      <c r="W30" t="s">
        <v>59</v>
      </c>
      <c r="X30">
        <v>4027022305</v>
      </c>
      <c r="Y30">
        <v>402701001</v>
      </c>
      <c r="Z30" s="3">
        <v>45342.491666666669</v>
      </c>
      <c r="AA30" s="6">
        <v>2024</v>
      </c>
      <c r="AB30" s="1">
        <v>45657</v>
      </c>
    </row>
    <row r="31" spans="1:28" x14ac:dyDescent="0.3">
      <c r="A31" t="s">
        <v>229</v>
      </c>
      <c r="B31" s="6" t="s">
        <v>220</v>
      </c>
      <c r="C31" s="6" t="s">
        <v>221</v>
      </c>
      <c r="D31">
        <v>5024068656</v>
      </c>
      <c r="E31">
        <v>502401001</v>
      </c>
      <c r="F31" t="s">
        <v>52</v>
      </c>
      <c r="G31" t="s">
        <v>230</v>
      </c>
      <c r="H31" s="1">
        <v>45317</v>
      </c>
      <c r="I31" t="s">
        <v>223</v>
      </c>
      <c r="J31" s="8">
        <v>45329</v>
      </c>
      <c r="K31" s="1" t="s">
        <v>33</v>
      </c>
      <c r="L31" t="s">
        <v>230</v>
      </c>
      <c r="M31" t="s">
        <v>231</v>
      </c>
      <c r="N31" s="2">
        <v>33740543.399999999</v>
      </c>
      <c r="O31" t="s">
        <v>225</v>
      </c>
      <c r="P31" s="6" t="s">
        <v>36</v>
      </c>
      <c r="Q31" t="s">
        <v>37</v>
      </c>
      <c r="R31" t="s">
        <v>189</v>
      </c>
      <c r="S31" s="9">
        <v>5989.8</v>
      </c>
      <c r="T31" s="9">
        <v>5633</v>
      </c>
      <c r="U31" s="9">
        <v>33740543.399999999</v>
      </c>
      <c r="V31" s="6" t="s">
        <v>128</v>
      </c>
      <c r="W31" t="s">
        <v>129</v>
      </c>
      <c r="X31">
        <v>274110679</v>
      </c>
      <c r="Y31">
        <v>500801001</v>
      </c>
      <c r="Z31" s="3">
        <v>45392.666666666664</v>
      </c>
      <c r="AA31" s="6">
        <v>2024</v>
      </c>
      <c r="AB31" s="1">
        <v>45391</v>
      </c>
    </row>
    <row r="32" spans="1:28" x14ac:dyDescent="0.3">
      <c r="A32" t="s">
        <v>229</v>
      </c>
      <c r="B32" s="6" t="s">
        <v>220</v>
      </c>
      <c r="C32" s="6" t="s">
        <v>221</v>
      </c>
      <c r="D32">
        <v>5024068656</v>
      </c>
      <c r="E32">
        <v>502401001</v>
      </c>
      <c r="F32" t="s">
        <v>52</v>
      </c>
      <c r="G32" t="s">
        <v>230</v>
      </c>
      <c r="H32" s="1">
        <v>45317</v>
      </c>
      <c r="I32" t="s">
        <v>223</v>
      </c>
      <c r="J32" s="8">
        <v>45329</v>
      </c>
      <c r="K32" s="1" t="s">
        <v>33</v>
      </c>
      <c r="L32" t="s">
        <v>230</v>
      </c>
      <c r="M32" t="s">
        <v>232</v>
      </c>
      <c r="N32" s="2">
        <v>33740543.399999999</v>
      </c>
      <c r="O32" t="s">
        <v>225</v>
      </c>
      <c r="P32" s="6" t="s">
        <v>36</v>
      </c>
      <c r="Q32" t="s">
        <v>37</v>
      </c>
      <c r="R32" t="s">
        <v>189</v>
      </c>
      <c r="S32" s="9">
        <v>5989.8</v>
      </c>
      <c r="T32" s="9">
        <v>5633</v>
      </c>
      <c r="U32" s="9">
        <v>33740543.399999999</v>
      </c>
      <c r="V32" s="6" t="s">
        <v>128</v>
      </c>
      <c r="W32" t="s">
        <v>129</v>
      </c>
      <c r="X32">
        <v>274110679</v>
      </c>
      <c r="Y32">
        <v>500801001</v>
      </c>
      <c r="Z32" s="3">
        <v>45366.512499999997</v>
      </c>
      <c r="AA32" s="6">
        <v>2024</v>
      </c>
      <c r="AB32" s="1">
        <v>45387</v>
      </c>
    </row>
    <row r="33" spans="1:28" x14ac:dyDescent="0.3">
      <c r="A33" t="s">
        <v>233</v>
      </c>
      <c r="B33" s="6" t="s">
        <v>234</v>
      </c>
      <c r="C33" s="6" t="s">
        <v>235</v>
      </c>
      <c r="D33">
        <v>1501024759</v>
      </c>
      <c r="E33">
        <v>151601001</v>
      </c>
      <c r="F33" t="s">
        <v>149</v>
      </c>
      <c r="G33" t="s">
        <v>236</v>
      </c>
      <c r="H33" s="1">
        <v>45324</v>
      </c>
      <c r="I33" t="s">
        <v>237</v>
      </c>
      <c r="J33" s="8">
        <v>45329</v>
      </c>
      <c r="K33" s="1" t="s">
        <v>33</v>
      </c>
      <c r="L33" t="s">
        <v>236</v>
      </c>
      <c r="M33" t="s">
        <v>238</v>
      </c>
      <c r="N33" s="2">
        <v>2585288.85</v>
      </c>
      <c r="O33" t="s">
        <v>239</v>
      </c>
      <c r="P33" s="6" t="s">
        <v>36</v>
      </c>
      <c r="Q33" t="s">
        <v>37</v>
      </c>
      <c r="R33" t="s">
        <v>240</v>
      </c>
      <c r="S33" s="9">
        <v>5998.35</v>
      </c>
      <c r="T33" s="9">
        <v>431</v>
      </c>
      <c r="U33" s="9">
        <v>2585288.85</v>
      </c>
      <c r="V33" s="6" t="s">
        <v>39</v>
      </c>
      <c r="W33" t="s">
        <v>40</v>
      </c>
      <c r="X33">
        <v>7810687137</v>
      </c>
      <c r="Y33">
        <v>781401001</v>
      </c>
      <c r="Z33" s="3">
        <v>45386.666666666664</v>
      </c>
      <c r="AA33" s="6">
        <v>2024</v>
      </c>
      <c r="AB33" s="1">
        <v>45548</v>
      </c>
    </row>
    <row r="34" spans="1:28" x14ac:dyDescent="0.3">
      <c r="A34" t="s">
        <v>241</v>
      </c>
      <c r="B34" s="6" t="s">
        <v>234</v>
      </c>
      <c r="C34" s="6" t="s">
        <v>235</v>
      </c>
      <c r="D34">
        <v>1501024759</v>
      </c>
      <c r="E34">
        <v>151601001</v>
      </c>
      <c r="F34" t="s">
        <v>149</v>
      </c>
      <c r="G34" t="s">
        <v>242</v>
      </c>
      <c r="H34" s="1">
        <v>45324</v>
      </c>
      <c r="I34" t="s">
        <v>237</v>
      </c>
      <c r="J34" s="8">
        <v>45329</v>
      </c>
      <c r="K34" s="1" t="s">
        <v>33</v>
      </c>
      <c r="L34" t="s">
        <v>242</v>
      </c>
      <c r="M34" t="s">
        <v>243</v>
      </c>
      <c r="N34" s="2">
        <v>4996626.04</v>
      </c>
      <c r="O34" t="s">
        <v>239</v>
      </c>
      <c r="P34" s="6" t="s">
        <v>36</v>
      </c>
      <c r="Q34" t="s">
        <v>37</v>
      </c>
      <c r="R34" t="s">
        <v>240</v>
      </c>
      <c r="S34" s="9">
        <v>5998.35</v>
      </c>
      <c r="T34" s="9">
        <v>832</v>
      </c>
      <c r="U34" s="9">
        <v>4990627.2</v>
      </c>
      <c r="V34" s="6" t="s">
        <v>39</v>
      </c>
      <c r="W34" t="s">
        <v>40</v>
      </c>
      <c r="X34">
        <v>7810687137</v>
      </c>
      <c r="Y34">
        <v>781401001</v>
      </c>
      <c r="Z34" s="3">
        <v>45386.665277777778</v>
      </c>
      <c r="AA34" s="6">
        <v>2024</v>
      </c>
      <c r="AB34" s="1">
        <v>45548</v>
      </c>
    </row>
    <row r="35" spans="1:28" x14ac:dyDescent="0.3">
      <c r="A35" t="s">
        <v>241</v>
      </c>
      <c r="B35" s="6" t="s">
        <v>234</v>
      </c>
      <c r="C35" s="6" t="s">
        <v>235</v>
      </c>
      <c r="D35">
        <v>1501024759</v>
      </c>
      <c r="E35">
        <v>151601001</v>
      </c>
      <c r="F35" t="s">
        <v>149</v>
      </c>
      <c r="G35" t="s">
        <v>242</v>
      </c>
      <c r="H35" s="1">
        <v>45324</v>
      </c>
      <c r="I35" t="s">
        <v>237</v>
      </c>
      <c r="J35" s="8">
        <v>45329</v>
      </c>
      <c r="K35" s="1" t="s">
        <v>33</v>
      </c>
      <c r="L35" t="s">
        <v>242</v>
      </c>
      <c r="M35" t="s">
        <v>243</v>
      </c>
      <c r="N35" s="2">
        <v>4996626.04</v>
      </c>
      <c r="O35" t="s">
        <v>239</v>
      </c>
      <c r="P35" s="6" t="s">
        <v>36</v>
      </c>
      <c r="Q35" t="s">
        <v>37</v>
      </c>
      <c r="R35" t="s">
        <v>240</v>
      </c>
      <c r="S35" s="9">
        <v>5998.84</v>
      </c>
      <c r="T35" s="9">
        <v>1</v>
      </c>
      <c r="U35" s="9">
        <v>5998.84</v>
      </c>
      <c r="V35" s="6" t="s">
        <v>39</v>
      </c>
      <c r="W35" t="s">
        <v>40</v>
      </c>
      <c r="X35">
        <v>7810687137</v>
      </c>
      <c r="Y35">
        <v>781401001</v>
      </c>
      <c r="Z35" s="3">
        <v>45386.665277777778</v>
      </c>
      <c r="AA35" s="6">
        <v>2024</v>
      </c>
      <c r="AB35" s="1">
        <v>45548</v>
      </c>
    </row>
    <row r="36" spans="1:28" x14ac:dyDescent="0.3">
      <c r="A36" t="s">
        <v>244</v>
      </c>
      <c r="B36" s="6" t="s">
        <v>245</v>
      </c>
      <c r="C36" s="6" t="s">
        <v>246</v>
      </c>
      <c r="D36">
        <v>7107006311</v>
      </c>
      <c r="E36">
        <v>710701001</v>
      </c>
      <c r="F36" t="s">
        <v>52</v>
      </c>
      <c r="G36" t="s">
        <v>247</v>
      </c>
      <c r="H36" s="1">
        <v>45315</v>
      </c>
      <c r="I36" t="s">
        <v>248</v>
      </c>
      <c r="J36" s="8">
        <v>45330</v>
      </c>
      <c r="K36" s="1" t="s">
        <v>33</v>
      </c>
      <c r="L36" t="s">
        <v>249</v>
      </c>
      <c r="M36" t="s">
        <v>250</v>
      </c>
      <c r="N36" s="2">
        <v>23800000</v>
      </c>
      <c r="O36" t="s">
        <v>127</v>
      </c>
      <c r="P36" s="6" t="s">
        <v>36</v>
      </c>
      <c r="Q36" t="s">
        <v>37</v>
      </c>
      <c r="R36" t="s">
        <v>57</v>
      </c>
      <c r="S36" s="9">
        <v>5950</v>
      </c>
      <c r="T36" s="9">
        <v>4000</v>
      </c>
      <c r="U36" s="9">
        <v>23800000</v>
      </c>
      <c r="V36" s="6" t="s">
        <v>251</v>
      </c>
      <c r="W36" t="s">
        <v>252</v>
      </c>
      <c r="X36">
        <v>5027262517</v>
      </c>
      <c r="Y36">
        <v>502701001</v>
      </c>
      <c r="Z36" s="3">
        <v>45518.501388888886</v>
      </c>
      <c r="AA36" s="6">
        <v>2024</v>
      </c>
      <c r="AB36" s="1">
        <v>45656</v>
      </c>
    </row>
    <row r="37" spans="1:28" x14ac:dyDescent="0.3">
      <c r="A37" t="s">
        <v>253</v>
      </c>
      <c r="B37" s="6" t="s">
        <v>220</v>
      </c>
      <c r="C37" s="6" t="s">
        <v>221</v>
      </c>
      <c r="D37">
        <v>5024068656</v>
      </c>
      <c r="E37">
        <v>502401001</v>
      </c>
      <c r="F37" t="s">
        <v>52</v>
      </c>
      <c r="G37" t="s">
        <v>254</v>
      </c>
      <c r="H37" s="1">
        <v>45322</v>
      </c>
      <c r="I37" t="s">
        <v>255</v>
      </c>
      <c r="J37" s="8">
        <v>45334</v>
      </c>
      <c r="K37" s="1" t="s">
        <v>33</v>
      </c>
      <c r="L37" t="s">
        <v>256</v>
      </c>
      <c r="M37" t="s">
        <v>257</v>
      </c>
      <c r="N37" s="2">
        <v>44919676</v>
      </c>
      <c r="O37" t="s">
        <v>239</v>
      </c>
      <c r="P37" s="6" t="s">
        <v>36</v>
      </c>
      <c r="Q37" t="s">
        <v>37</v>
      </c>
      <c r="R37" t="s">
        <v>48</v>
      </c>
      <c r="S37" s="9">
        <v>5878</v>
      </c>
      <c r="T37" s="9">
        <v>7642</v>
      </c>
      <c r="U37" s="9">
        <v>44919676</v>
      </c>
      <c r="V37" s="6" t="s">
        <v>128</v>
      </c>
      <c r="W37" t="s">
        <v>129</v>
      </c>
      <c r="X37">
        <v>274110679</v>
      </c>
      <c r="Y37">
        <v>500801001</v>
      </c>
      <c r="Z37" s="3">
        <v>45491.70208333333</v>
      </c>
      <c r="AA37" s="6">
        <v>2024</v>
      </c>
      <c r="AB37" s="1">
        <v>45388</v>
      </c>
    </row>
    <row r="38" spans="1:28" x14ac:dyDescent="0.3">
      <c r="A38" t="s">
        <v>253</v>
      </c>
      <c r="B38" s="6" t="s">
        <v>220</v>
      </c>
      <c r="C38" s="6" t="s">
        <v>221</v>
      </c>
      <c r="D38">
        <v>5024068656</v>
      </c>
      <c r="E38">
        <v>502401001</v>
      </c>
      <c r="F38" t="s">
        <v>52</v>
      </c>
      <c r="G38" t="s">
        <v>254</v>
      </c>
      <c r="H38" s="1">
        <v>45322</v>
      </c>
      <c r="I38" t="s">
        <v>255</v>
      </c>
      <c r="J38" s="8">
        <v>45334</v>
      </c>
      <c r="K38" s="1" t="s">
        <v>33</v>
      </c>
      <c r="L38" t="s">
        <v>256</v>
      </c>
      <c r="M38" t="s">
        <v>258</v>
      </c>
      <c r="N38" s="2">
        <v>44919676</v>
      </c>
      <c r="O38" t="s">
        <v>239</v>
      </c>
      <c r="P38" s="6" t="s">
        <v>36</v>
      </c>
      <c r="Q38" t="s">
        <v>37</v>
      </c>
      <c r="R38" t="s">
        <v>48</v>
      </c>
      <c r="S38" s="9">
        <v>5878</v>
      </c>
      <c r="T38" s="9">
        <v>7642</v>
      </c>
      <c r="U38" s="9">
        <v>44919676</v>
      </c>
      <c r="V38" s="6" t="s">
        <v>128</v>
      </c>
      <c r="W38" t="s">
        <v>129</v>
      </c>
      <c r="X38">
        <v>274110679</v>
      </c>
      <c r="Y38">
        <v>500801001</v>
      </c>
      <c r="Z38" s="3">
        <v>45369.445138888892</v>
      </c>
      <c r="AA38" s="6">
        <v>2024</v>
      </c>
      <c r="AB38" s="1">
        <v>45388</v>
      </c>
    </row>
    <row r="39" spans="1:28" x14ac:dyDescent="0.3">
      <c r="A39" t="s">
        <v>253</v>
      </c>
      <c r="B39" s="6" t="s">
        <v>220</v>
      </c>
      <c r="C39" s="6" t="s">
        <v>221</v>
      </c>
      <c r="D39">
        <v>5024068656</v>
      </c>
      <c r="E39">
        <v>502401001</v>
      </c>
      <c r="F39" t="s">
        <v>52</v>
      </c>
      <c r="G39" t="s">
        <v>254</v>
      </c>
      <c r="H39" s="1">
        <v>45322</v>
      </c>
      <c r="I39" t="s">
        <v>255</v>
      </c>
      <c r="J39" s="8">
        <v>45334</v>
      </c>
      <c r="K39" s="1" t="s">
        <v>33</v>
      </c>
      <c r="L39" t="s">
        <v>256</v>
      </c>
      <c r="M39" t="s">
        <v>259</v>
      </c>
      <c r="N39" s="2">
        <v>44919676</v>
      </c>
      <c r="O39" t="s">
        <v>239</v>
      </c>
      <c r="P39" s="6" t="s">
        <v>36</v>
      </c>
      <c r="Q39" t="s">
        <v>37</v>
      </c>
      <c r="R39" t="s">
        <v>48</v>
      </c>
      <c r="S39" s="9">
        <v>5878</v>
      </c>
      <c r="T39" s="9">
        <v>7642</v>
      </c>
      <c r="U39" s="9">
        <v>44919676</v>
      </c>
      <c r="V39" s="6" t="s">
        <v>128</v>
      </c>
      <c r="W39" t="s">
        <v>129</v>
      </c>
      <c r="X39">
        <v>274110679</v>
      </c>
      <c r="Y39">
        <v>500801001</v>
      </c>
      <c r="Z39" s="3">
        <v>45369.444444444445</v>
      </c>
      <c r="AA39" s="6">
        <v>2024</v>
      </c>
      <c r="AB39" s="1">
        <v>45388</v>
      </c>
    </row>
    <row r="40" spans="1:28" x14ac:dyDescent="0.3">
      <c r="A40" t="s">
        <v>253</v>
      </c>
      <c r="B40" s="6" t="s">
        <v>220</v>
      </c>
      <c r="C40" s="6" t="s">
        <v>221</v>
      </c>
      <c r="D40">
        <v>5024068656</v>
      </c>
      <c r="E40">
        <v>502401001</v>
      </c>
      <c r="F40" t="s">
        <v>52</v>
      </c>
      <c r="G40" t="s">
        <v>254</v>
      </c>
      <c r="H40" s="1">
        <v>45322</v>
      </c>
      <c r="I40" t="s">
        <v>255</v>
      </c>
      <c r="J40" s="8">
        <v>45334</v>
      </c>
      <c r="K40" s="1" t="s">
        <v>33</v>
      </c>
      <c r="L40" t="s">
        <v>256</v>
      </c>
      <c r="M40" t="s">
        <v>260</v>
      </c>
      <c r="N40" s="2">
        <v>44919676</v>
      </c>
      <c r="O40" t="s">
        <v>239</v>
      </c>
      <c r="P40" s="6" t="s">
        <v>36</v>
      </c>
      <c r="Q40" t="s">
        <v>37</v>
      </c>
      <c r="R40" t="s">
        <v>48</v>
      </c>
      <c r="S40" s="9">
        <v>5878</v>
      </c>
      <c r="T40" s="9">
        <v>7642</v>
      </c>
      <c r="U40" s="9">
        <v>44919676</v>
      </c>
      <c r="V40" s="6" t="s">
        <v>128</v>
      </c>
      <c r="W40" t="s">
        <v>129</v>
      </c>
      <c r="X40">
        <v>274110679</v>
      </c>
      <c r="Y40">
        <v>500801001</v>
      </c>
      <c r="Z40" s="3">
        <v>45369.443749999999</v>
      </c>
      <c r="AA40" s="6">
        <v>2024</v>
      </c>
      <c r="AB40" s="1">
        <v>45388</v>
      </c>
    </row>
    <row r="41" spans="1:28" x14ac:dyDescent="0.3">
      <c r="A41" t="s">
        <v>261</v>
      </c>
      <c r="B41" s="6" t="s">
        <v>220</v>
      </c>
      <c r="C41" s="6" t="s">
        <v>221</v>
      </c>
      <c r="D41">
        <v>5024068656</v>
      </c>
      <c r="E41">
        <v>502401001</v>
      </c>
      <c r="F41" t="s">
        <v>52</v>
      </c>
      <c r="G41" t="s">
        <v>262</v>
      </c>
      <c r="H41" s="1">
        <v>45322</v>
      </c>
      <c r="I41" t="s">
        <v>255</v>
      </c>
      <c r="J41" s="8">
        <v>45334</v>
      </c>
      <c r="K41" s="1" t="s">
        <v>33</v>
      </c>
      <c r="L41" t="s">
        <v>262</v>
      </c>
      <c r="M41" t="s">
        <v>263</v>
      </c>
      <c r="N41" s="2">
        <v>44943188</v>
      </c>
      <c r="O41" t="s">
        <v>239</v>
      </c>
      <c r="P41" s="6" t="s">
        <v>36</v>
      </c>
      <c r="Q41" t="s">
        <v>37</v>
      </c>
      <c r="R41" t="s">
        <v>48</v>
      </c>
      <c r="S41" s="9">
        <v>5878</v>
      </c>
      <c r="T41" s="9">
        <v>7646</v>
      </c>
      <c r="U41" s="9">
        <v>44943188</v>
      </c>
      <c r="V41" s="6" t="s">
        <v>128</v>
      </c>
      <c r="W41" t="s">
        <v>129</v>
      </c>
      <c r="X41">
        <v>274110679</v>
      </c>
      <c r="Y41">
        <v>500801001</v>
      </c>
      <c r="Z41" s="3">
        <v>45369.445833333331</v>
      </c>
      <c r="AA41" s="6">
        <v>2024</v>
      </c>
      <c r="AB41" s="1">
        <v>45388</v>
      </c>
    </row>
    <row r="42" spans="1:28" x14ac:dyDescent="0.3">
      <c r="A42" t="s">
        <v>264</v>
      </c>
      <c r="B42" s="6" t="s">
        <v>197</v>
      </c>
      <c r="C42" s="6" t="s">
        <v>198</v>
      </c>
      <c r="D42">
        <v>1001046786</v>
      </c>
      <c r="E42">
        <v>100101001</v>
      </c>
      <c r="F42" t="s">
        <v>52</v>
      </c>
      <c r="G42" t="s">
        <v>265</v>
      </c>
      <c r="H42" s="1">
        <v>45322</v>
      </c>
      <c r="I42" t="s">
        <v>266</v>
      </c>
      <c r="J42" s="8">
        <v>45334</v>
      </c>
      <c r="K42" s="1" t="s">
        <v>33</v>
      </c>
      <c r="L42" t="s">
        <v>265</v>
      </c>
      <c r="M42" t="s">
        <v>267</v>
      </c>
      <c r="N42" s="2">
        <v>19262466.5</v>
      </c>
      <c r="O42" t="s">
        <v>109</v>
      </c>
      <c r="P42" s="6" t="s">
        <v>36</v>
      </c>
      <c r="Q42" t="s">
        <v>37</v>
      </c>
      <c r="R42" t="s">
        <v>57</v>
      </c>
      <c r="S42" s="9">
        <v>5749.99</v>
      </c>
      <c r="T42" s="9">
        <v>3350</v>
      </c>
      <c r="U42" s="9">
        <v>19262466.5</v>
      </c>
      <c r="V42" s="6" t="s">
        <v>39</v>
      </c>
      <c r="W42" t="s">
        <v>40</v>
      </c>
      <c r="X42">
        <v>7810687137</v>
      </c>
      <c r="Y42">
        <v>781401001</v>
      </c>
      <c r="Z42" s="3">
        <v>45352.556250000001</v>
      </c>
      <c r="AA42" s="6">
        <v>2024</v>
      </c>
      <c r="AB42" s="1">
        <v>45657</v>
      </c>
    </row>
    <row r="43" spans="1:28" x14ac:dyDescent="0.3">
      <c r="A43" t="s">
        <v>268</v>
      </c>
      <c r="B43" s="6" t="s">
        <v>269</v>
      </c>
      <c r="C43" s="6" t="s">
        <v>270</v>
      </c>
      <c r="D43">
        <v>1835027727</v>
      </c>
      <c r="E43">
        <v>184001001</v>
      </c>
      <c r="F43" t="s">
        <v>44</v>
      </c>
      <c r="G43" t="s">
        <v>271</v>
      </c>
      <c r="J43" s="8">
        <v>45335</v>
      </c>
      <c r="K43" s="1" t="s">
        <v>33</v>
      </c>
      <c r="L43" t="s">
        <v>272</v>
      </c>
      <c r="M43" t="s">
        <v>273</v>
      </c>
      <c r="N43" s="2">
        <v>575700</v>
      </c>
      <c r="O43" t="s">
        <v>273</v>
      </c>
      <c r="P43" s="6" t="s">
        <v>36</v>
      </c>
      <c r="Q43" t="s">
        <v>37</v>
      </c>
      <c r="R43" t="s">
        <v>66</v>
      </c>
      <c r="S43" s="9">
        <v>5700</v>
      </c>
      <c r="T43" s="9">
        <v>101</v>
      </c>
      <c r="U43" s="9">
        <v>575700</v>
      </c>
      <c r="V43" s="6" t="s">
        <v>274</v>
      </c>
      <c r="W43" t="s">
        <v>40</v>
      </c>
      <c r="X43">
        <v>1833000350</v>
      </c>
      <c r="Y43">
        <v>184001001</v>
      </c>
      <c r="Z43" s="3">
        <v>45400.526388888888</v>
      </c>
      <c r="AA43" s="6">
        <v>2024</v>
      </c>
      <c r="AB43" s="1">
        <v>45657</v>
      </c>
    </row>
    <row r="44" spans="1:28" x14ac:dyDescent="0.3">
      <c r="A44" t="s">
        <v>275</v>
      </c>
      <c r="B44" s="6" t="s">
        <v>276</v>
      </c>
      <c r="C44" s="6" t="s">
        <v>277</v>
      </c>
      <c r="D44">
        <v>9102012869</v>
      </c>
      <c r="E44">
        <v>910201001</v>
      </c>
      <c r="F44" t="s">
        <v>52</v>
      </c>
      <c r="G44" t="s">
        <v>278</v>
      </c>
      <c r="H44" s="1">
        <v>45327</v>
      </c>
      <c r="I44" t="s">
        <v>279</v>
      </c>
      <c r="J44" s="8">
        <v>45338</v>
      </c>
      <c r="K44" s="1" t="s">
        <v>33</v>
      </c>
      <c r="L44" t="s">
        <v>278</v>
      </c>
      <c r="M44" t="s">
        <v>280</v>
      </c>
      <c r="N44" s="2">
        <v>23916400</v>
      </c>
      <c r="O44" t="s">
        <v>281</v>
      </c>
      <c r="P44" s="6" t="s">
        <v>36</v>
      </c>
      <c r="Q44" t="s">
        <v>37</v>
      </c>
      <c r="R44" t="s">
        <v>66</v>
      </c>
      <c r="S44" s="9">
        <v>5979.1</v>
      </c>
      <c r="T44" s="9">
        <v>4000</v>
      </c>
      <c r="U44" s="9">
        <v>23916400</v>
      </c>
      <c r="V44" s="6" t="s">
        <v>282</v>
      </c>
      <c r="W44" t="s">
        <v>40</v>
      </c>
      <c r="X44">
        <v>9721067569</v>
      </c>
      <c r="Y44">
        <v>772101001</v>
      </c>
      <c r="Z44" s="3">
        <v>45632.365277777775</v>
      </c>
      <c r="AA44" s="6">
        <v>2024</v>
      </c>
      <c r="AB44" s="1">
        <v>45656</v>
      </c>
    </row>
    <row r="45" spans="1:28" x14ac:dyDescent="0.3">
      <c r="A45" t="s">
        <v>283</v>
      </c>
      <c r="B45" s="6" t="s">
        <v>284</v>
      </c>
      <c r="C45" s="6" t="s">
        <v>285</v>
      </c>
      <c r="D45">
        <v>3302008570</v>
      </c>
      <c r="E45">
        <v>332901001</v>
      </c>
      <c r="F45" t="s">
        <v>52</v>
      </c>
      <c r="G45" t="s">
        <v>286</v>
      </c>
      <c r="H45" s="1">
        <v>45330</v>
      </c>
      <c r="I45" t="s">
        <v>287</v>
      </c>
      <c r="J45" s="8">
        <v>45342</v>
      </c>
      <c r="K45" s="1" t="s">
        <v>33</v>
      </c>
      <c r="L45" t="s">
        <v>286</v>
      </c>
      <c r="M45" t="s">
        <v>288</v>
      </c>
      <c r="N45" s="2">
        <v>132058.79999999999</v>
      </c>
      <c r="O45" t="s">
        <v>289</v>
      </c>
      <c r="P45" s="6" t="s">
        <v>36</v>
      </c>
      <c r="Q45" t="s">
        <v>37</v>
      </c>
      <c r="R45" t="s">
        <v>66</v>
      </c>
      <c r="S45" s="9">
        <v>6602.94</v>
      </c>
      <c r="T45" s="9">
        <v>15</v>
      </c>
      <c r="U45" s="9">
        <v>99044.1</v>
      </c>
      <c r="V45" s="6" t="s">
        <v>290</v>
      </c>
      <c r="W45" t="s">
        <v>59</v>
      </c>
      <c r="X45">
        <v>3302013594</v>
      </c>
      <c r="Y45">
        <v>332801001</v>
      </c>
      <c r="Z45" s="3">
        <v>45525.414583333331</v>
      </c>
      <c r="AA45" s="6">
        <v>2024</v>
      </c>
      <c r="AB45" s="1">
        <v>45435</v>
      </c>
    </row>
    <row r="46" spans="1:28" x14ac:dyDescent="0.3">
      <c r="A46" t="s">
        <v>283</v>
      </c>
      <c r="B46" s="6" t="s">
        <v>284</v>
      </c>
      <c r="C46" s="6" t="s">
        <v>285</v>
      </c>
      <c r="D46">
        <v>3302008570</v>
      </c>
      <c r="E46">
        <v>332901001</v>
      </c>
      <c r="F46" t="s">
        <v>52</v>
      </c>
      <c r="G46" t="s">
        <v>286</v>
      </c>
      <c r="H46" s="1">
        <v>45330</v>
      </c>
      <c r="I46" t="s">
        <v>287</v>
      </c>
      <c r="J46" s="8">
        <v>45342</v>
      </c>
      <c r="K46" s="1" t="s">
        <v>33</v>
      </c>
      <c r="L46" t="s">
        <v>286</v>
      </c>
      <c r="M46" t="s">
        <v>288</v>
      </c>
      <c r="N46" s="2">
        <v>132058.79999999999</v>
      </c>
      <c r="O46" t="s">
        <v>291</v>
      </c>
      <c r="P46" s="6" t="s">
        <v>36</v>
      </c>
      <c r="Q46" t="s">
        <v>37</v>
      </c>
      <c r="R46" t="s">
        <v>292</v>
      </c>
      <c r="S46" s="9">
        <v>6602.94</v>
      </c>
      <c r="T46" s="9">
        <v>5</v>
      </c>
      <c r="U46" s="9">
        <v>33014.699999999997</v>
      </c>
      <c r="V46" s="6" t="s">
        <v>290</v>
      </c>
      <c r="W46" t="s">
        <v>59</v>
      </c>
      <c r="X46">
        <v>3302013594</v>
      </c>
      <c r="Y46">
        <v>332801001</v>
      </c>
      <c r="Z46" s="3">
        <v>45525.414583333331</v>
      </c>
      <c r="AA46" s="6">
        <v>2024</v>
      </c>
      <c r="AB46" s="1">
        <v>45435</v>
      </c>
    </row>
    <row r="47" spans="1:28" x14ac:dyDescent="0.3">
      <c r="A47" t="s">
        <v>293</v>
      </c>
      <c r="B47" s="6" t="s">
        <v>294</v>
      </c>
      <c r="C47" s="6" t="s">
        <v>84</v>
      </c>
      <c r="D47">
        <v>3661006889</v>
      </c>
      <c r="E47">
        <v>366101001</v>
      </c>
      <c r="F47" t="s">
        <v>52</v>
      </c>
      <c r="G47" t="s">
        <v>295</v>
      </c>
      <c r="H47" s="1">
        <v>45331</v>
      </c>
      <c r="I47" t="s">
        <v>296</v>
      </c>
      <c r="J47" s="8">
        <v>45343</v>
      </c>
      <c r="K47" s="1" t="s">
        <v>33</v>
      </c>
      <c r="L47" t="s">
        <v>297</v>
      </c>
      <c r="M47" t="s">
        <v>298</v>
      </c>
      <c r="N47" s="2">
        <v>1380000</v>
      </c>
      <c r="O47" t="s">
        <v>299</v>
      </c>
      <c r="P47" s="6" t="s">
        <v>36</v>
      </c>
      <c r="Q47" t="s">
        <v>37</v>
      </c>
      <c r="R47" t="s">
        <v>66</v>
      </c>
      <c r="S47" s="9">
        <v>6000</v>
      </c>
      <c r="T47" s="9">
        <v>230</v>
      </c>
      <c r="U47" s="9">
        <v>1380000</v>
      </c>
      <c r="V47" s="6" t="s">
        <v>90</v>
      </c>
      <c r="W47" t="s">
        <v>59</v>
      </c>
      <c r="X47">
        <v>5259153331</v>
      </c>
      <c r="Y47">
        <v>525901001</v>
      </c>
      <c r="Z47" s="3">
        <v>45527.434027777781</v>
      </c>
      <c r="AA47" s="6">
        <v>2024</v>
      </c>
      <c r="AB47" s="1">
        <v>45596</v>
      </c>
    </row>
    <row r="48" spans="1:28" x14ac:dyDescent="0.3">
      <c r="A48" t="s">
        <v>300</v>
      </c>
      <c r="B48" s="6" t="s">
        <v>121</v>
      </c>
      <c r="C48" s="6" t="s">
        <v>122</v>
      </c>
      <c r="D48">
        <v>5402155123</v>
      </c>
      <c r="E48">
        <v>540201001</v>
      </c>
      <c r="F48" t="s">
        <v>94</v>
      </c>
      <c r="G48" t="s">
        <v>301</v>
      </c>
      <c r="H48" s="1">
        <v>45338</v>
      </c>
      <c r="I48" t="s">
        <v>302</v>
      </c>
      <c r="J48" s="8">
        <v>45343</v>
      </c>
      <c r="K48" s="1" t="s">
        <v>33</v>
      </c>
      <c r="L48" t="s">
        <v>303</v>
      </c>
      <c r="M48" t="s">
        <v>304</v>
      </c>
      <c r="N48" s="2">
        <v>65560</v>
      </c>
      <c r="O48" t="s">
        <v>305</v>
      </c>
      <c r="P48" s="6" t="s">
        <v>36</v>
      </c>
      <c r="Q48" t="s">
        <v>37</v>
      </c>
      <c r="R48" t="s">
        <v>306</v>
      </c>
      <c r="S48" s="9">
        <v>5960</v>
      </c>
      <c r="T48" s="9">
        <v>11</v>
      </c>
      <c r="U48" s="9">
        <v>65560</v>
      </c>
      <c r="V48" s="6" t="s">
        <v>128</v>
      </c>
      <c r="W48" t="s">
        <v>129</v>
      </c>
      <c r="X48">
        <v>274110679</v>
      </c>
      <c r="Y48">
        <v>500801001</v>
      </c>
      <c r="Z48" s="3">
        <v>45366.387499999997</v>
      </c>
      <c r="AA48" s="6">
        <v>2024</v>
      </c>
      <c r="AB48" s="1">
        <v>45626</v>
      </c>
    </row>
    <row r="49" spans="1:28" x14ac:dyDescent="0.3">
      <c r="A49" t="s">
        <v>307</v>
      </c>
      <c r="B49" s="6" t="s">
        <v>139</v>
      </c>
      <c r="C49" s="6" t="s">
        <v>140</v>
      </c>
      <c r="D49">
        <v>3444198220</v>
      </c>
      <c r="E49">
        <v>346001001</v>
      </c>
      <c r="F49" t="s">
        <v>94</v>
      </c>
      <c r="G49" t="s">
        <v>308</v>
      </c>
      <c r="H49" s="1">
        <v>45342</v>
      </c>
      <c r="I49" t="s">
        <v>309</v>
      </c>
      <c r="J49" s="8">
        <v>45348</v>
      </c>
      <c r="K49" s="1" t="s">
        <v>33</v>
      </c>
      <c r="L49" t="s">
        <v>310</v>
      </c>
      <c r="M49" t="s">
        <v>311</v>
      </c>
      <c r="N49" s="2">
        <v>153400</v>
      </c>
      <c r="O49" t="s">
        <v>312</v>
      </c>
      <c r="P49" s="6" t="s">
        <v>36</v>
      </c>
      <c r="Q49" t="s">
        <v>37</v>
      </c>
      <c r="R49" t="s">
        <v>240</v>
      </c>
      <c r="S49" s="9">
        <v>5900</v>
      </c>
      <c r="T49" s="9">
        <v>26</v>
      </c>
      <c r="U49" s="9">
        <v>153400</v>
      </c>
      <c r="V49" s="6" t="s">
        <v>39</v>
      </c>
      <c r="W49" t="s">
        <v>40</v>
      </c>
      <c r="X49">
        <v>7810687137</v>
      </c>
      <c r="Y49">
        <v>781401001</v>
      </c>
      <c r="Z49" s="3">
        <v>45384.67291666667</v>
      </c>
      <c r="AA49" s="6">
        <v>2024</v>
      </c>
      <c r="AB49" s="1">
        <v>45657</v>
      </c>
    </row>
    <row r="50" spans="1:28" x14ac:dyDescent="0.3">
      <c r="A50" t="s">
        <v>313</v>
      </c>
      <c r="B50" s="6" t="s">
        <v>314</v>
      </c>
      <c r="C50" s="6" t="s">
        <v>164</v>
      </c>
      <c r="D50">
        <v>7733046721</v>
      </c>
      <c r="E50">
        <v>773301001</v>
      </c>
      <c r="F50" t="s">
        <v>52</v>
      </c>
      <c r="G50" t="s">
        <v>315</v>
      </c>
      <c r="H50" s="1">
        <v>45334</v>
      </c>
      <c r="I50" t="s">
        <v>316</v>
      </c>
      <c r="J50" s="8">
        <v>45348</v>
      </c>
      <c r="K50" s="1" t="s">
        <v>33</v>
      </c>
      <c r="L50" t="s">
        <v>317</v>
      </c>
      <c r="M50" t="s">
        <v>318</v>
      </c>
      <c r="N50" s="2">
        <v>1200534</v>
      </c>
      <c r="O50" t="s">
        <v>319</v>
      </c>
      <c r="P50" s="6" t="s">
        <v>36</v>
      </c>
      <c r="Q50" t="s">
        <v>37</v>
      </c>
      <c r="R50" t="s">
        <v>240</v>
      </c>
      <c r="S50" s="9">
        <v>6002.67</v>
      </c>
      <c r="T50" s="9">
        <v>200</v>
      </c>
      <c r="U50" s="9">
        <v>1200534</v>
      </c>
      <c r="V50" s="6" t="s">
        <v>90</v>
      </c>
      <c r="W50" t="s">
        <v>59</v>
      </c>
      <c r="X50">
        <v>5259153331</v>
      </c>
      <c r="Y50">
        <v>525901001</v>
      </c>
      <c r="Z50" s="3">
        <v>45555.566666666666</v>
      </c>
      <c r="AA50" s="6">
        <v>2024</v>
      </c>
      <c r="AB50" s="1">
        <v>45657</v>
      </c>
    </row>
    <row r="51" spans="1:28" x14ac:dyDescent="0.3">
      <c r="A51" t="s">
        <v>320</v>
      </c>
      <c r="B51" s="6" t="s">
        <v>321</v>
      </c>
      <c r="C51" s="6" t="s">
        <v>322</v>
      </c>
      <c r="D51">
        <v>3917515253</v>
      </c>
      <c r="E51">
        <v>390601001</v>
      </c>
      <c r="F51" t="s">
        <v>52</v>
      </c>
      <c r="G51" t="s">
        <v>323</v>
      </c>
      <c r="H51" s="1">
        <v>45335</v>
      </c>
      <c r="I51" t="s">
        <v>324</v>
      </c>
      <c r="J51" s="8">
        <v>45348</v>
      </c>
      <c r="K51" s="1" t="s">
        <v>33</v>
      </c>
      <c r="L51" t="s">
        <v>323</v>
      </c>
      <c r="M51" t="s">
        <v>325</v>
      </c>
      <c r="N51" s="2">
        <v>32150241</v>
      </c>
      <c r="O51" t="s">
        <v>109</v>
      </c>
      <c r="P51" s="6" t="s">
        <v>36</v>
      </c>
      <c r="Q51" t="s">
        <v>37</v>
      </c>
      <c r="R51" t="s">
        <v>66</v>
      </c>
      <c r="S51" s="9">
        <v>5771</v>
      </c>
      <c r="T51" s="9">
        <v>5571</v>
      </c>
      <c r="U51" s="9">
        <v>32150241</v>
      </c>
      <c r="V51" s="6" t="s">
        <v>39</v>
      </c>
      <c r="W51" t="s">
        <v>40</v>
      </c>
      <c r="X51">
        <v>7810687137</v>
      </c>
      <c r="Y51">
        <v>781401001</v>
      </c>
      <c r="Z51" s="3">
        <v>45364.525000000001</v>
      </c>
      <c r="AA51" s="6">
        <v>2024</v>
      </c>
      <c r="AB51" s="1">
        <v>45657</v>
      </c>
    </row>
    <row r="52" spans="1:28" x14ac:dyDescent="0.3">
      <c r="A52" t="s">
        <v>326</v>
      </c>
      <c r="B52" s="6" t="s">
        <v>327</v>
      </c>
      <c r="C52" s="6" t="s">
        <v>213</v>
      </c>
      <c r="D52">
        <v>1659011711</v>
      </c>
      <c r="E52">
        <v>165901001</v>
      </c>
      <c r="F52" t="s">
        <v>52</v>
      </c>
      <c r="G52" t="s">
        <v>328</v>
      </c>
      <c r="H52" s="1">
        <v>45338</v>
      </c>
      <c r="I52" t="s">
        <v>329</v>
      </c>
      <c r="J52" s="8">
        <v>45349</v>
      </c>
      <c r="K52" s="1" t="s">
        <v>33</v>
      </c>
      <c r="L52" t="s">
        <v>330</v>
      </c>
      <c r="M52" t="s">
        <v>331</v>
      </c>
      <c r="N52" s="2">
        <v>742243.4</v>
      </c>
      <c r="O52" t="s">
        <v>332</v>
      </c>
      <c r="P52" s="6" t="s">
        <v>36</v>
      </c>
      <c r="Q52" t="s">
        <v>37</v>
      </c>
      <c r="R52" t="s">
        <v>240</v>
      </c>
      <c r="S52" s="9">
        <v>6709.67</v>
      </c>
      <c r="T52" s="9">
        <v>20</v>
      </c>
      <c r="U52" s="9">
        <v>134193.4</v>
      </c>
      <c r="V52" s="6" t="s">
        <v>333</v>
      </c>
      <c r="W52" t="s">
        <v>59</v>
      </c>
      <c r="X52">
        <v>1657084827</v>
      </c>
      <c r="Y52">
        <v>165601001</v>
      </c>
      <c r="Z52" s="3">
        <v>45429.474305555559</v>
      </c>
      <c r="AA52" s="6">
        <v>2024</v>
      </c>
      <c r="AB52" s="1">
        <v>45657</v>
      </c>
    </row>
    <row r="53" spans="1:28" x14ac:dyDescent="0.3">
      <c r="A53" t="s">
        <v>334</v>
      </c>
      <c r="B53" s="6" t="s">
        <v>335</v>
      </c>
      <c r="C53" s="6" t="s">
        <v>336</v>
      </c>
      <c r="D53">
        <v>5904101322</v>
      </c>
      <c r="E53">
        <v>590601001</v>
      </c>
      <c r="F53" t="s">
        <v>149</v>
      </c>
      <c r="G53" t="s">
        <v>337</v>
      </c>
      <c r="H53" s="1">
        <v>45343</v>
      </c>
      <c r="I53" t="s">
        <v>338</v>
      </c>
      <c r="J53" s="8">
        <v>45349</v>
      </c>
      <c r="K53" s="1" t="s">
        <v>33</v>
      </c>
      <c r="L53" t="s">
        <v>337</v>
      </c>
      <c r="M53" t="s">
        <v>339</v>
      </c>
      <c r="N53" s="2">
        <v>168000</v>
      </c>
      <c r="O53" t="s">
        <v>273</v>
      </c>
      <c r="P53" s="6" t="s">
        <v>36</v>
      </c>
      <c r="Q53" t="s">
        <v>37</v>
      </c>
      <c r="R53" t="s">
        <v>240</v>
      </c>
      <c r="S53" s="9">
        <v>6000</v>
      </c>
      <c r="T53" s="9">
        <v>28</v>
      </c>
      <c r="U53" s="9">
        <v>168000</v>
      </c>
      <c r="V53" s="6" t="s">
        <v>58</v>
      </c>
      <c r="W53" t="s">
        <v>59</v>
      </c>
      <c r="X53">
        <v>5262222144</v>
      </c>
      <c r="Y53">
        <v>526201001</v>
      </c>
      <c r="Z53" s="3">
        <v>45666.557638888888</v>
      </c>
      <c r="AA53" s="6">
        <v>2024</v>
      </c>
      <c r="AB53" s="1">
        <v>45685</v>
      </c>
    </row>
    <row r="54" spans="1:28" x14ac:dyDescent="0.3">
      <c r="A54" t="s">
        <v>340</v>
      </c>
      <c r="B54" s="6" t="s">
        <v>220</v>
      </c>
      <c r="C54" s="6" t="s">
        <v>221</v>
      </c>
      <c r="D54">
        <v>5024068656</v>
      </c>
      <c r="E54">
        <v>502401001</v>
      </c>
      <c r="F54" t="s">
        <v>52</v>
      </c>
      <c r="G54" t="s">
        <v>341</v>
      </c>
      <c r="H54" s="1">
        <v>45334</v>
      </c>
      <c r="I54" t="s">
        <v>342</v>
      </c>
      <c r="J54" s="8">
        <v>45349</v>
      </c>
      <c r="K54" s="1" t="s">
        <v>33</v>
      </c>
      <c r="L54" t="s">
        <v>341</v>
      </c>
      <c r="M54" t="s">
        <v>343</v>
      </c>
      <c r="N54" s="2">
        <v>7514499.4199999999</v>
      </c>
      <c r="O54" t="s">
        <v>239</v>
      </c>
      <c r="P54" s="6" t="s">
        <v>36</v>
      </c>
      <c r="Q54" t="s">
        <v>37</v>
      </c>
      <c r="R54" t="s">
        <v>66</v>
      </c>
      <c r="S54" s="9">
        <v>5879.89</v>
      </c>
      <c r="T54" s="9">
        <v>1278</v>
      </c>
      <c r="U54" s="9">
        <v>7514499.4199999999</v>
      </c>
      <c r="V54" s="6" t="s">
        <v>128</v>
      </c>
      <c r="W54" t="s">
        <v>129</v>
      </c>
      <c r="X54">
        <v>274110679</v>
      </c>
      <c r="Y54">
        <v>500801001</v>
      </c>
      <c r="Z54" s="3">
        <v>45384.419444444444</v>
      </c>
      <c r="AA54" s="6">
        <v>2024</v>
      </c>
      <c r="AB54" s="1">
        <v>45407</v>
      </c>
    </row>
    <row r="55" spans="1:28" x14ac:dyDescent="0.3">
      <c r="A55" t="s">
        <v>344</v>
      </c>
      <c r="B55" s="6" t="s">
        <v>345</v>
      </c>
      <c r="C55" s="6" t="s">
        <v>346</v>
      </c>
      <c r="D55">
        <v>1101487135</v>
      </c>
      <c r="E55">
        <v>110101001</v>
      </c>
      <c r="F55" t="s">
        <v>52</v>
      </c>
      <c r="G55" t="s">
        <v>347</v>
      </c>
      <c r="H55" s="1">
        <v>45336</v>
      </c>
      <c r="I55" t="s">
        <v>348</v>
      </c>
      <c r="J55" s="8">
        <v>45350</v>
      </c>
      <c r="K55" s="1" t="s">
        <v>33</v>
      </c>
      <c r="L55" t="s">
        <v>349</v>
      </c>
      <c r="M55" t="s">
        <v>350</v>
      </c>
      <c r="N55" s="2">
        <v>152100</v>
      </c>
      <c r="O55" t="s">
        <v>351</v>
      </c>
      <c r="P55" s="6" t="s">
        <v>36</v>
      </c>
      <c r="Q55" t="s">
        <v>37</v>
      </c>
      <c r="R55" t="s">
        <v>240</v>
      </c>
      <c r="S55" s="9">
        <v>5850</v>
      </c>
      <c r="T55" s="9">
        <v>26</v>
      </c>
      <c r="U55" s="9">
        <v>152100</v>
      </c>
      <c r="V55" s="6" t="s">
        <v>352</v>
      </c>
      <c r="W55" t="s">
        <v>40</v>
      </c>
      <c r="X55">
        <v>7843014747</v>
      </c>
      <c r="Y55">
        <v>781401001</v>
      </c>
      <c r="Z55" s="3">
        <v>45371.636805555558</v>
      </c>
      <c r="AA55" s="6">
        <v>2024</v>
      </c>
      <c r="AB55" s="1">
        <v>45657</v>
      </c>
    </row>
    <row r="56" spans="1:28" x14ac:dyDescent="0.3">
      <c r="A56" t="s">
        <v>353</v>
      </c>
      <c r="B56" s="6" t="s">
        <v>354</v>
      </c>
      <c r="C56" s="6" t="s">
        <v>355</v>
      </c>
      <c r="D56">
        <v>2465030876</v>
      </c>
      <c r="E56">
        <v>246501001</v>
      </c>
      <c r="F56" t="s">
        <v>94</v>
      </c>
      <c r="G56" t="s">
        <v>356</v>
      </c>
      <c r="H56" s="1">
        <v>45344</v>
      </c>
      <c r="I56" t="s">
        <v>357</v>
      </c>
      <c r="J56" s="8">
        <v>45350</v>
      </c>
      <c r="K56" s="1" t="s">
        <v>33</v>
      </c>
      <c r="L56" t="s">
        <v>358</v>
      </c>
      <c r="M56" t="s">
        <v>359</v>
      </c>
      <c r="N56" s="2">
        <v>360600</v>
      </c>
      <c r="O56" t="s">
        <v>239</v>
      </c>
      <c r="P56" s="6" t="s">
        <v>36</v>
      </c>
      <c r="Q56" t="s">
        <v>37</v>
      </c>
      <c r="R56" t="s">
        <v>240</v>
      </c>
      <c r="S56" s="9">
        <v>6010</v>
      </c>
      <c r="T56" s="9">
        <f>U56/S56</f>
        <v>60</v>
      </c>
      <c r="U56" s="9">
        <v>360600</v>
      </c>
      <c r="V56" s="6" t="s">
        <v>39</v>
      </c>
      <c r="W56" t="s">
        <v>40</v>
      </c>
      <c r="X56">
        <v>7810687137</v>
      </c>
      <c r="Y56">
        <v>781401001</v>
      </c>
      <c r="Z56" s="3">
        <v>45385.176388888889</v>
      </c>
      <c r="AA56" s="6">
        <v>2024</v>
      </c>
      <c r="AB56" s="1">
        <v>45657</v>
      </c>
    </row>
    <row r="57" spans="1:28" x14ac:dyDescent="0.3">
      <c r="A57" t="s">
        <v>360</v>
      </c>
      <c r="B57" s="6" t="s">
        <v>361</v>
      </c>
      <c r="C57" s="6" t="s">
        <v>164</v>
      </c>
      <c r="D57">
        <v>7714338609</v>
      </c>
      <c r="E57">
        <v>771401001</v>
      </c>
      <c r="F57" t="s">
        <v>52</v>
      </c>
      <c r="G57" t="s">
        <v>362</v>
      </c>
      <c r="H57" s="1">
        <v>45336</v>
      </c>
      <c r="I57" t="s">
        <v>363</v>
      </c>
      <c r="J57" s="8">
        <v>45350</v>
      </c>
      <c r="K57" s="1" t="s">
        <v>33</v>
      </c>
      <c r="L57" t="s">
        <v>364</v>
      </c>
      <c r="M57" t="s">
        <v>365</v>
      </c>
      <c r="N57" s="2">
        <v>416250000</v>
      </c>
      <c r="O57" t="s">
        <v>188</v>
      </c>
      <c r="P57" s="6" t="s">
        <v>36</v>
      </c>
      <c r="Q57" t="s">
        <v>37</v>
      </c>
      <c r="R57" t="s">
        <v>48</v>
      </c>
      <c r="S57" s="9">
        <v>5550</v>
      </c>
      <c r="T57" s="9">
        <f>U57/S57</f>
        <v>75000</v>
      </c>
      <c r="U57" s="9">
        <v>416250000</v>
      </c>
      <c r="V57" s="6" t="s">
        <v>128</v>
      </c>
      <c r="W57" t="s">
        <v>129</v>
      </c>
      <c r="X57">
        <v>274110679</v>
      </c>
      <c r="Y57">
        <v>500801001</v>
      </c>
      <c r="Z57" s="3">
        <v>45587.686111111114</v>
      </c>
      <c r="AA57" s="6">
        <v>2024</v>
      </c>
      <c r="AB57" s="1">
        <v>45657</v>
      </c>
    </row>
    <row r="58" spans="1:28" x14ac:dyDescent="0.3">
      <c r="A58" t="s">
        <v>366</v>
      </c>
      <c r="B58" s="6" t="s">
        <v>367</v>
      </c>
      <c r="C58" s="6" t="s">
        <v>368</v>
      </c>
      <c r="D58">
        <v>4825005110</v>
      </c>
      <c r="E58">
        <v>482501001</v>
      </c>
      <c r="F58" t="s">
        <v>52</v>
      </c>
      <c r="G58" t="s">
        <v>369</v>
      </c>
      <c r="H58" s="1">
        <v>45337</v>
      </c>
      <c r="I58" t="s">
        <v>370</v>
      </c>
      <c r="J58" s="8">
        <v>45351</v>
      </c>
      <c r="K58" s="1" t="s">
        <v>33</v>
      </c>
      <c r="L58" t="s">
        <v>371</v>
      </c>
      <c r="M58" t="s">
        <v>179</v>
      </c>
      <c r="N58" s="2">
        <v>61825.8</v>
      </c>
      <c r="O58" t="s">
        <v>372</v>
      </c>
      <c r="P58" s="6" t="s">
        <v>36</v>
      </c>
      <c r="Q58" t="s">
        <v>37</v>
      </c>
      <c r="R58" t="s">
        <v>66</v>
      </c>
      <c r="S58" s="9">
        <v>5152.1499999999996</v>
      </c>
      <c r="T58" s="9">
        <v>12</v>
      </c>
      <c r="U58" s="9">
        <v>61825.8</v>
      </c>
      <c r="V58" s="6" t="s">
        <v>352</v>
      </c>
      <c r="W58" t="s">
        <v>40</v>
      </c>
      <c r="X58">
        <v>7843014747</v>
      </c>
      <c r="Y58">
        <v>781401001</v>
      </c>
      <c r="Z58" s="3">
        <v>45415.438888888886</v>
      </c>
      <c r="AA58" s="6">
        <v>2024</v>
      </c>
      <c r="AB58" s="1">
        <v>45657</v>
      </c>
    </row>
    <row r="59" spans="1:28" x14ac:dyDescent="0.3">
      <c r="A59" t="s">
        <v>373</v>
      </c>
      <c r="B59" s="6" t="s">
        <v>113</v>
      </c>
      <c r="C59" s="6" t="s">
        <v>114</v>
      </c>
      <c r="D59">
        <v>8601035838</v>
      </c>
      <c r="E59">
        <v>860201001</v>
      </c>
      <c r="F59" t="s">
        <v>94</v>
      </c>
      <c r="G59" t="s">
        <v>374</v>
      </c>
      <c r="H59" s="1">
        <v>45348</v>
      </c>
      <c r="I59" t="s">
        <v>375</v>
      </c>
      <c r="J59" s="8">
        <v>45351</v>
      </c>
      <c r="K59" s="1" t="s">
        <v>33</v>
      </c>
      <c r="L59">
        <v>24000431</v>
      </c>
      <c r="M59" t="s">
        <v>376</v>
      </c>
      <c r="N59" s="2">
        <v>13371</v>
      </c>
      <c r="O59" t="s">
        <v>377</v>
      </c>
      <c r="P59" s="6" t="s">
        <v>36</v>
      </c>
      <c r="Q59" t="s">
        <v>37</v>
      </c>
      <c r="R59" t="s">
        <v>38</v>
      </c>
      <c r="S59" s="9">
        <v>6685.5</v>
      </c>
      <c r="T59" s="9">
        <v>2</v>
      </c>
      <c r="U59" s="9">
        <v>13371</v>
      </c>
      <c r="V59" s="6" t="s">
        <v>119</v>
      </c>
      <c r="W59" t="s">
        <v>59</v>
      </c>
      <c r="X59">
        <v>7810776309</v>
      </c>
      <c r="Y59">
        <v>780601001</v>
      </c>
      <c r="Z59" s="3">
        <v>45393.607638888891</v>
      </c>
      <c r="AA59" s="6">
        <v>2024</v>
      </c>
      <c r="AB59" s="1">
        <v>45646</v>
      </c>
    </row>
    <row r="60" spans="1:28" x14ac:dyDescent="0.3">
      <c r="A60" t="s">
        <v>378</v>
      </c>
      <c r="B60" s="6" t="s">
        <v>379</v>
      </c>
      <c r="C60" s="6" t="s">
        <v>380</v>
      </c>
      <c r="D60">
        <v>4700001254</v>
      </c>
      <c r="E60">
        <v>470601001</v>
      </c>
      <c r="F60" t="s">
        <v>52</v>
      </c>
      <c r="G60" t="s">
        <v>381</v>
      </c>
      <c r="H60" s="1">
        <v>45341</v>
      </c>
      <c r="I60" t="s">
        <v>382</v>
      </c>
      <c r="J60" s="8">
        <v>45352</v>
      </c>
      <c r="K60" s="1" t="s">
        <v>33</v>
      </c>
      <c r="L60" t="s">
        <v>383</v>
      </c>
      <c r="M60" t="s">
        <v>384</v>
      </c>
      <c r="N60" s="2">
        <v>708000</v>
      </c>
      <c r="O60" t="s">
        <v>385</v>
      </c>
      <c r="P60" s="6" t="s">
        <v>36</v>
      </c>
      <c r="Q60" t="s">
        <v>37</v>
      </c>
      <c r="R60" t="s">
        <v>66</v>
      </c>
      <c r="S60" s="9">
        <v>5900</v>
      </c>
      <c r="T60" s="9">
        <v>120</v>
      </c>
      <c r="U60" s="9">
        <v>708000</v>
      </c>
      <c r="V60" s="6" t="s">
        <v>39</v>
      </c>
      <c r="W60" t="s">
        <v>40</v>
      </c>
      <c r="X60">
        <v>7810687137</v>
      </c>
      <c r="Y60">
        <v>781401001</v>
      </c>
      <c r="Z60" s="3">
        <v>45616.71875</v>
      </c>
      <c r="AA60" s="6">
        <v>2024</v>
      </c>
      <c r="AB60" s="1">
        <v>46022</v>
      </c>
    </row>
    <row r="61" spans="1:28" x14ac:dyDescent="0.3">
      <c r="A61" t="s">
        <v>386</v>
      </c>
      <c r="B61" s="6" t="s">
        <v>387</v>
      </c>
      <c r="C61" s="6" t="s">
        <v>388</v>
      </c>
      <c r="D61">
        <v>3811022096</v>
      </c>
      <c r="E61">
        <v>381101001</v>
      </c>
      <c r="F61" t="s">
        <v>149</v>
      </c>
      <c r="G61" t="s">
        <v>389</v>
      </c>
      <c r="H61" s="1">
        <v>45349</v>
      </c>
      <c r="I61" t="s">
        <v>390</v>
      </c>
      <c r="J61" s="8">
        <v>45352</v>
      </c>
      <c r="K61" s="1" t="s">
        <v>33</v>
      </c>
      <c r="L61" t="s">
        <v>391</v>
      </c>
      <c r="M61" t="s">
        <v>273</v>
      </c>
      <c r="N61" s="2">
        <v>216000</v>
      </c>
      <c r="O61" t="s">
        <v>392</v>
      </c>
      <c r="P61" s="6" t="s">
        <v>36</v>
      </c>
      <c r="Q61" t="s">
        <v>37</v>
      </c>
      <c r="R61" t="s">
        <v>240</v>
      </c>
      <c r="S61" s="9">
        <v>6000</v>
      </c>
      <c r="T61" s="9">
        <v>36</v>
      </c>
      <c r="U61" s="9">
        <v>216000</v>
      </c>
      <c r="V61" s="6" t="s">
        <v>58</v>
      </c>
      <c r="W61" t="s">
        <v>59</v>
      </c>
      <c r="X61">
        <v>5262222144</v>
      </c>
      <c r="Y61">
        <v>526201001</v>
      </c>
      <c r="Z61" s="3">
        <v>45450.147222222222</v>
      </c>
      <c r="AA61" s="6">
        <v>2024</v>
      </c>
      <c r="AB61" s="1">
        <v>45655</v>
      </c>
    </row>
    <row r="62" spans="1:28" x14ac:dyDescent="0.3">
      <c r="A62" t="s">
        <v>393</v>
      </c>
      <c r="B62" s="6" t="s">
        <v>394</v>
      </c>
      <c r="C62" s="6" t="s">
        <v>395</v>
      </c>
      <c r="D62">
        <v>7203000249</v>
      </c>
      <c r="E62">
        <v>720301001</v>
      </c>
      <c r="F62" t="s">
        <v>52</v>
      </c>
      <c r="G62" t="s">
        <v>396</v>
      </c>
      <c r="H62" s="1">
        <v>45342</v>
      </c>
      <c r="I62" t="s">
        <v>397</v>
      </c>
      <c r="J62" s="8">
        <v>45355</v>
      </c>
      <c r="K62" s="1" t="s">
        <v>33</v>
      </c>
      <c r="L62" t="s">
        <v>398</v>
      </c>
      <c r="M62" t="s">
        <v>399</v>
      </c>
      <c r="N62" s="2">
        <v>18113500</v>
      </c>
      <c r="O62" t="s">
        <v>400</v>
      </c>
      <c r="P62" s="6" t="s">
        <v>36</v>
      </c>
      <c r="Q62" t="s">
        <v>37</v>
      </c>
      <c r="R62" t="s">
        <v>66</v>
      </c>
      <c r="S62" s="9">
        <v>6500</v>
      </c>
      <c r="T62" s="9">
        <v>2279</v>
      </c>
      <c r="U62" s="9">
        <v>14813500</v>
      </c>
      <c r="V62" s="6" t="s">
        <v>401</v>
      </c>
      <c r="W62" t="s">
        <v>402</v>
      </c>
      <c r="X62">
        <v>720208302235</v>
      </c>
      <c r="Z62" s="3">
        <v>45506.262499999997</v>
      </c>
      <c r="AA62" s="6">
        <v>2024</v>
      </c>
      <c r="AB62" s="1">
        <v>45657</v>
      </c>
    </row>
    <row r="63" spans="1:28" x14ac:dyDescent="0.3">
      <c r="A63" t="s">
        <v>403</v>
      </c>
      <c r="B63" s="6" t="s">
        <v>404</v>
      </c>
      <c r="C63" s="6" t="s">
        <v>405</v>
      </c>
      <c r="D63">
        <v>560020779</v>
      </c>
      <c r="E63">
        <v>57301001</v>
      </c>
      <c r="F63" t="s">
        <v>52</v>
      </c>
      <c r="G63" t="s">
        <v>406</v>
      </c>
      <c r="H63" s="1">
        <v>45344</v>
      </c>
      <c r="I63" t="s">
        <v>407</v>
      </c>
      <c r="J63" s="8">
        <v>45355</v>
      </c>
      <c r="K63" s="1" t="s">
        <v>33</v>
      </c>
      <c r="L63" t="s">
        <v>408</v>
      </c>
      <c r="M63" t="s">
        <v>409</v>
      </c>
      <c r="N63" s="2">
        <v>408898.7</v>
      </c>
      <c r="O63" t="s">
        <v>410</v>
      </c>
      <c r="P63" s="6" t="s">
        <v>36</v>
      </c>
      <c r="Q63" t="s">
        <v>37</v>
      </c>
      <c r="R63" t="s">
        <v>240</v>
      </c>
      <c r="S63" s="9">
        <v>5841.41</v>
      </c>
      <c r="T63" s="9">
        <v>70</v>
      </c>
      <c r="U63" s="9">
        <v>408898.7</v>
      </c>
      <c r="V63" s="6" t="s">
        <v>39</v>
      </c>
      <c r="W63" t="s">
        <v>40</v>
      </c>
      <c r="X63">
        <v>7810687137</v>
      </c>
      <c r="Y63">
        <v>781401001</v>
      </c>
      <c r="Z63" s="3">
        <v>45562.355555555558</v>
      </c>
      <c r="AA63" s="6">
        <v>2024</v>
      </c>
      <c r="AB63" s="1">
        <v>45625</v>
      </c>
    </row>
    <row r="64" spans="1:28" x14ac:dyDescent="0.3">
      <c r="A64" t="s">
        <v>411</v>
      </c>
      <c r="B64" s="6" t="s">
        <v>412</v>
      </c>
      <c r="C64" s="6" t="s">
        <v>285</v>
      </c>
      <c r="D64">
        <v>3329025565</v>
      </c>
      <c r="E64">
        <v>332901001</v>
      </c>
      <c r="F64" t="s">
        <v>52</v>
      </c>
      <c r="G64" t="s">
        <v>413</v>
      </c>
      <c r="H64" s="1">
        <v>45343</v>
      </c>
      <c r="I64" t="s">
        <v>414</v>
      </c>
      <c r="J64" s="8">
        <v>45357</v>
      </c>
      <c r="K64" s="1" t="s">
        <v>33</v>
      </c>
      <c r="L64" t="s">
        <v>415</v>
      </c>
      <c r="M64" t="s">
        <v>416</v>
      </c>
      <c r="N64" s="2">
        <v>50966.65</v>
      </c>
      <c r="O64" t="s">
        <v>73</v>
      </c>
      <c r="P64" s="6" t="s">
        <v>36</v>
      </c>
      <c r="Q64" t="s">
        <v>37</v>
      </c>
      <c r="R64" t="s">
        <v>240</v>
      </c>
      <c r="S64" s="9">
        <v>10193.33</v>
      </c>
      <c r="T64" s="9">
        <v>5</v>
      </c>
      <c r="U64" s="9">
        <v>50966.65</v>
      </c>
      <c r="V64" s="6" t="s">
        <v>128</v>
      </c>
      <c r="W64" t="s">
        <v>129</v>
      </c>
      <c r="X64">
        <v>274110679</v>
      </c>
      <c r="Y64">
        <v>500801001</v>
      </c>
      <c r="Z64" s="3">
        <v>45390.540277777778</v>
      </c>
      <c r="AA64" s="6">
        <v>2024</v>
      </c>
      <c r="AB64" s="1">
        <v>45688</v>
      </c>
    </row>
    <row r="65" spans="1:28" x14ac:dyDescent="0.3">
      <c r="A65" t="s">
        <v>417</v>
      </c>
      <c r="B65" s="6" t="s">
        <v>418</v>
      </c>
      <c r="C65" s="6" t="s">
        <v>148</v>
      </c>
      <c r="D65">
        <v>274157821</v>
      </c>
      <c r="E65">
        <v>27401001</v>
      </c>
      <c r="F65" t="s">
        <v>52</v>
      </c>
      <c r="G65" t="s">
        <v>419</v>
      </c>
      <c r="H65" s="1">
        <v>45343</v>
      </c>
      <c r="I65" t="s">
        <v>420</v>
      </c>
      <c r="J65" s="8">
        <v>45357</v>
      </c>
      <c r="K65" s="1" t="s">
        <v>33</v>
      </c>
      <c r="L65" t="s">
        <v>421</v>
      </c>
      <c r="M65" t="s">
        <v>422</v>
      </c>
      <c r="N65" s="2">
        <v>124331560</v>
      </c>
      <c r="O65" t="s">
        <v>423</v>
      </c>
      <c r="P65" s="6" t="s">
        <v>36</v>
      </c>
      <c r="Q65" t="s">
        <v>37</v>
      </c>
      <c r="R65" t="s">
        <v>240</v>
      </c>
      <c r="S65" s="9">
        <v>5960</v>
      </c>
      <c r="T65" s="9">
        <v>20281</v>
      </c>
      <c r="U65" s="9">
        <v>120874760</v>
      </c>
      <c r="V65" s="6" t="s">
        <v>128</v>
      </c>
      <c r="W65" t="s">
        <v>129</v>
      </c>
      <c r="X65">
        <v>274110679</v>
      </c>
      <c r="Y65">
        <v>500801001</v>
      </c>
      <c r="Z65" s="3">
        <v>45637.535416666666</v>
      </c>
      <c r="AA65" s="6">
        <v>2024</v>
      </c>
      <c r="AB65" s="1">
        <v>45657</v>
      </c>
    </row>
    <row r="66" spans="1:28" x14ac:dyDescent="0.3">
      <c r="A66" t="s">
        <v>417</v>
      </c>
      <c r="B66" s="6" t="s">
        <v>418</v>
      </c>
      <c r="C66" s="6" t="s">
        <v>148</v>
      </c>
      <c r="D66">
        <v>274157821</v>
      </c>
      <c r="E66">
        <v>27401001</v>
      </c>
      <c r="F66" t="s">
        <v>52</v>
      </c>
      <c r="G66" t="s">
        <v>419</v>
      </c>
      <c r="H66" s="1">
        <v>45343</v>
      </c>
      <c r="I66" t="s">
        <v>420</v>
      </c>
      <c r="J66" s="8">
        <v>45357</v>
      </c>
      <c r="K66" s="1" t="s">
        <v>33</v>
      </c>
      <c r="L66" t="s">
        <v>421</v>
      </c>
      <c r="M66" t="s">
        <v>422</v>
      </c>
      <c r="N66" s="2">
        <v>124331560</v>
      </c>
      <c r="O66" t="s">
        <v>424</v>
      </c>
      <c r="P66" s="6" t="s">
        <v>36</v>
      </c>
      <c r="Q66" t="s">
        <v>37</v>
      </c>
      <c r="R66" t="s">
        <v>240</v>
      </c>
      <c r="S66" s="9">
        <v>5960</v>
      </c>
      <c r="T66" s="9">
        <v>580</v>
      </c>
      <c r="U66" s="9">
        <v>3456800</v>
      </c>
      <c r="V66" s="6" t="s">
        <v>128</v>
      </c>
      <c r="W66" t="s">
        <v>129</v>
      </c>
      <c r="X66">
        <v>274110679</v>
      </c>
      <c r="Y66">
        <v>500801001</v>
      </c>
      <c r="Z66" s="3">
        <v>45637.535416666666</v>
      </c>
      <c r="AA66" s="6">
        <v>2024</v>
      </c>
      <c r="AB66" s="1">
        <v>45657</v>
      </c>
    </row>
    <row r="67" spans="1:28" x14ac:dyDescent="0.3">
      <c r="A67" t="s">
        <v>425</v>
      </c>
      <c r="B67" s="6" t="s">
        <v>426</v>
      </c>
      <c r="C67" s="6" t="s">
        <v>427</v>
      </c>
      <c r="D67">
        <v>5192150013</v>
      </c>
      <c r="E67">
        <v>519001001</v>
      </c>
      <c r="F67" t="s">
        <v>94</v>
      </c>
      <c r="G67" t="s">
        <v>428</v>
      </c>
      <c r="H67" s="1">
        <v>45355</v>
      </c>
      <c r="I67" t="s">
        <v>429</v>
      </c>
      <c r="J67" s="8">
        <v>45358</v>
      </c>
      <c r="K67" s="1" t="s">
        <v>33</v>
      </c>
      <c r="L67" t="s">
        <v>430</v>
      </c>
      <c r="M67" t="s">
        <v>431</v>
      </c>
      <c r="N67" s="2">
        <v>104247</v>
      </c>
      <c r="O67" t="s">
        <v>432</v>
      </c>
      <c r="P67" s="6" t="s">
        <v>36</v>
      </c>
      <c r="Q67" t="s">
        <v>37</v>
      </c>
      <c r="R67" t="s">
        <v>66</v>
      </c>
      <c r="S67" s="9">
        <v>5791.5</v>
      </c>
      <c r="T67" s="9">
        <v>18</v>
      </c>
      <c r="U67" s="9">
        <v>104247</v>
      </c>
      <c r="V67" s="6" t="s">
        <v>433</v>
      </c>
      <c r="W67" t="s">
        <v>40</v>
      </c>
      <c r="X67">
        <v>5190190638</v>
      </c>
      <c r="Y67">
        <v>519001001</v>
      </c>
      <c r="Z67" s="3">
        <v>45407.526388888888</v>
      </c>
      <c r="AA67" s="6">
        <v>2024</v>
      </c>
      <c r="AB67" s="1">
        <v>45657</v>
      </c>
    </row>
    <row r="68" spans="1:28" x14ac:dyDescent="0.3">
      <c r="A68" t="s">
        <v>434</v>
      </c>
      <c r="B68" s="6" t="s">
        <v>435</v>
      </c>
      <c r="C68" s="6" t="s">
        <v>436</v>
      </c>
      <c r="D68">
        <v>7604044726</v>
      </c>
      <c r="E68">
        <v>760401001</v>
      </c>
      <c r="F68" t="s">
        <v>52</v>
      </c>
      <c r="G68" t="s">
        <v>437</v>
      </c>
      <c r="H68" s="1">
        <v>45349</v>
      </c>
      <c r="J68" s="8">
        <v>45362</v>
      </c>
      <c r="K68" s="1" t="s">
        <v>33</v>
      </c>
      <c r="L68" t="s">
        <v>438</v>
      </c>
      <c r="M68" t="s">
        <v>439</v>
      </c>
      <c r="N68" s="2">
        <v>39545088</v>
      </c>
      <c r="O68" t="s">
        <v>440</v>
      </c>
      <c r="P68" s="6" t="s">
        <v>36</v>
      </c>
      <c r="Q68" t="s">
        <v>37</v>
      </c>
      <c r="R68" t="s">
        <v>240</v>
      </c>
      <c r="S68" s="9">
        <v>5952</v>
      </c>
      <c r="T68" s="9">
        <v>6644</v>
      </c>
      <c r="U68" s="9">
        <v>39545088</v>
      </c>
      <c r="V68" s="6" t="s">
        <v>441</v>
      </c>
      <c r="W68" t="s">
        <v>40</v>
      </c>
      <c r="X68">
        <v>7725285067</v>
      </c>
      <c r="Y68">
        <v>772501001</v>
      </c>
      <c r="Z68" s="3">
        <v>45434.563194444447</v>
      </c>
      <c r="AA68" s="6">
        <v>2024</v>
      </c>
      <c r="AB68" s="1">
        <v>45443</v>
      </c>
    </row>
    <row r="69" spans="1:28" x14ac:dyDescent="0.3">
      <c r="A69" t="s">
        <v>442</v>
      </c>
      <c r="B69" s="6" t="s">
        <v>435</v>
      </c>
      <c r="C69" s="6" t="s">
        <v>436</v>
      </c>
      <c r="D69">
        <v>7604044726</v>
      </c>
      <c r="E69">
        <v>760401001</v>
      </c>
      <c r="F69" t="s">
        <v>52</v>
      </c>
      <c r="G69" t="s">
        <v>443</v>
      </c>
      <c r="H69" s="1">
        <v>45349</v>
      </c>
      <c r="J69" s="8">
        <v>45362</v>
      </c>
      <c r="K69" s="1" t="s">
        <v>33</v>
      </c>
      <c r="L69" t="s">
        <v>444</v>
      </c>
      <c r="M69" t="s">
        <v>439</v>
      </c>
      <c r="N69" s="2">
        <v>11904000</v>
      </c>
      <c r="O69" t="s">
        <v>440</v>
      </c>
      <c r="P69" s="6" t="s">
        <v>36</v>
      </c>
      <c r="Q69" t="s">
        <v>37</v>
      </c>
      <c r="R69" t="s">
        <v>240</v>
      </c>
      <c r="S69" s="9">
        <v>5952</v>
      </c>
      <c r="T69" s="9">
        <v>2000</v>
      </c>
      <c r="U69" s="9">
        <v>11904000</v>
      </c>
      <c r="V69" s="6" t="s">
        <v>441</v>
      </c>
      <c r="W69" t="s">
        <v>40</v>
      </c>
      <c r="X69">
        <v>7725285067</v>
      </c>
      <c r="Y69">
        <v>772501001</v>
      </c>
      <c r="Z69" s="3">
        <v>45380.563194444447</v>
      </c>
      <c r="AA69" s="6">
        <v>2024</v>
      </c>
      <c r="AB69" s="1">
        <v>45443</v>
      </c>
    </row>
    <row r="70" spans="1:28" x14ac:dyDescent="0.3">
      <c r="A70" t="s">
        <v>445</v>
      </c>
      <c r="B70" s="6" t="s">
        <v>446</v>
      </c>
      <c r="C70" s="6" t="s">
        <v>205</v>
      </c>
      <c r="D70">
        <v>4101039153</v>
      </c>
      <c r="E70">
        <v>410101001</v>
      </c>
      <c r="F70" t="s">
        <v>52</v>
      </c>
      <c r="G70" t="s">
        <v>447</v>
      </c>
      <c r="H70" s="1">
        <v>45344</v>
      </c>
      <c r="I70" t="s">
        <v>448</v>
      </c>
      <c r="J70" s="8">
        <v>45362</v>
      </c>
      <c r="K70" s="1" t="s">
        <v>33</v>
      </c>
      <c r="L70" t="s">
        <v>449</v>
      </c>
      <c r="M70" t="s">
        <v>450</v>
      </c>
      <c r="N70" s="2">
        <v>241600</v>
      </c>
      <c r="O70" t="s">
        <v>225</v>
      </c>
      <c r="P70" s="6" t="s">
        <v>36</v>
      </c>
      <c r="Q70" t="s">
        <v>37</v>
      </c>
      <c r="R70" t="s">
        <v>240</v>
      </c>
      <c r="S70" s="9">
        <v>6040</v>
      </c>
      <c r="T70" s="9">
        <v>40</v>
      </c>
      <c r="U70" s="9">
        <v>241600</v>
      </c>
      <c r="V70" s="6" t="s">
        <v>90</v>
      </c>
      <c r="W70" t="s">
        <v>59</v>
      </c>
      <c r="X70">
        <v>5259153331</v>
      </c>
      <c r="Y70">
        <v>525901001</v>
      </c>
      <c r="Z70" s="3">
        <v>45565.290972222225</v>
      </c>
      <c r="AA70" s="6">
        <v>2024</v>
      </c>
      <c r="AB70" s="1">
        <v>45426</v>
      </c>
    </row>
    <row r="71" spans="1:28" x14ac:dyDescent="0.3">
      <c r="A71" t="s">
        <v>451</v>
      </c>
      <c r="B71" s="6" t="s">
        <v>452</v>
      </c>
      <c r="C71" s="6" t="s">
        <v>453</v>
      </c>
      <c r="D71">
        <v>2209011865</v>
      </c>
      <c r="E71">
        <v>220901001</v>
      </c>
      <c r="F71" t="s">
        <v>52</v>
      </c>
      <c r="G71" t="s">
        <v>454</v>
      </c>
      <c r="H71" s="1">
        <v>45348</v>
      </c>
      <c r="I71" t="s">
        <v>455</v>
      </c>
      <c r="J71" s="8">
        <v>45362</v>
      </c>
      <c r="K71" s="1" t="s">
        <v>33</v>
      </c>
      <c r="L71" t="s">
        <v>456</v>
      </c>
      <c r="M71" t="s">
        <v>457</v>
      </c>
      <c r="N71" s="2">
        <v>1466910</v>
      </c>
      <c r="O71" t="s">
        <v>400</v>
      </c>
      <c r="P71" s="6" t="s">
        <v>36</v>
      </c>
      <c r="Q71" t="s">
        <v>37</v>
      </c>
      <c r="R71" t="s">
        <v>66</v>
      </c>
      <c r="S71" s="9">
        <v>5650</v>
      </c>
      <c r="T71" s="9">
        <v>15</v>
      </c>
      <c r="U71" s="9">
        <v>84750</v>
      </c>
      <c r="V71" s="6" t="s">
        <v>401</v>
      </c>
      <c r="W71" t="s">
        <v>402</v>
      </c>
      <c r="X71">
        <v>720208302235</v>
      </c>
      <c r="Z71" s="3">
        <v>45378.388194444444</v>
      </c>
      <c r="AA71" s="6">
        <v>2024</v>
      </c>
      <c r="AB71" s="1">
        <v>45576</v>
      </c>
    </row>
    <row r="72" spans="1:28" x14ac:dyDescent="0.3">
      <c r="A72" t="s">
        <v>458</v>
      </c>
      <c r="B72" s="6" t="s">
        <v>459</v>
      </c>
      <c r="C72" s="6" t="s">
        <v>460</v>
      </c>
      <c r="D72">
        <v>4629019420</v>
      </c>
      <c r="E72">
        <v>463201001</v>
      </c>
      <c r="F72" t="s">
        <v>52</v>
      </c>
      <c r="G72" t="s">
        <v>461</v>
      </c>
      <c r="H72" s="1">
        <v>45348</v>
      </c>
      <c r="I72" t="s">
        <v>462</v>
      </c>
      <c r="J72" s="8">
        <v>45362</v>
      </c>
      <c r="K72" s="1" t="s">
        <v>33</v>
      </c>
      <c r="L72" t="s">
        <v>461</v>
      </c>
      <c r="M72" t="s">
        <v>463</v>
      </c>
      <c r="N72" s="2">
        <v>11886630.380000001</v>
      </c>
      <c r="O72" t="s">
        <v>377</v>
      </c>
      <c r="P72" s="6" t="s">
        <v>464</v>
      </c>
      <c r="Q72" t="s">
        <v>37</v>
      </c>
      <c r="R72" t="s">
        <v>38</v>
      </c>
      <c r="S72" s="9">
        <v>5557.1</v>
      </c>
      <c r="T72" s="9">
        <v>2139</v>
      </c>
      <c r="U72" s="9">
        <v>11886630.380000001</v>
      </c>
      <c r="V72" s="6" t="s">
        <v>465</v>
      </c>
      <c r="W72" t="s">
        <v>466</v>
      </c>
      <c r="X72">
        <v>7715921852</v>
      </c>
      <c r="Y72">
        <v>770401001</v>
      </c>
      <c r="Z72" s="3">
        <v>45373.67291666667</v>
      </c>
      <c r="AA72" s="6">
        <v>2024</v>
      </c>
      <c r="AB72" s="1">
        <v>45415</v>
      </c>
    </row>
    <row r="73" spans="1:28" x14ac:dyDescent="0.3">
      <c r="A73" t="s">
        <v>467</v>
      </c>
      <c r="B73" s="6" t="s">
        <v>468</v>
      </c>
      <c r="C73" s="6" t="s">
        <v>277</v>
      </c>
      <c r="D73">
        <v>9102064384</v>
      </c>
      <c r="E73">
        <v>910201001</v>
      </c>
      <c r="F73" t="s">
        <v>52</v>
      </c>
      <c r="G73" t="s">
        <v>469</v>
      </c>
      <c r="H73" s="1">
        <v>45348</v>
      </c>
      <c r="I73" t="s">
        <v>455</v>
      </c>
      <c r="J73" s="8">
        <v>45362</v>
      </c>
      <c r="K73" s="1" t="s">
        <v>33</v>
      </c>
      <c r="L73" t="s">
        <v>469</v>
      </c>
      <c r="M73" t="s">
        <v>470</v>
      </c>
      <c r="N73" s="2">
        <v>16603072.199999999</v>
      </c>
      <c r="O73" t="s">
        <v>73</v>
      </c>
      <c r="P73" s="6" t="s">
        <v>36</v>
      </c>
      <c r="Q73" t="s">
        <v>37</v>
      </c>
      <c r="R73" t="s">
        <v>66</v>
      </c>
      <c r="S73" s="9">
        <v>5805.27</v>
      </c>
      <c r="T73" s="9">
        <v>2860</v>
      </c>
      <c r="U73" s="9">
        <v>16603072.199999999</v>
      </c>
      <c r="V73" s="6" t="s">
        <v>282</v>
      </c>
      <c r="W73" t="s">
        <v>40</v>
      </c>
      <c r="X73">
        <v>9721067569</v>
      </c>
      <c r="Y73">
        <v>772101001</v>
      </c>
      <c r="Z73" s="3">
        <v>45534.463194444441</v>
      </c>
      <c r="AA73" s="6">
        <v>2024</v>
      </c>
      <c r="AB73" s="1">
        <v>45657</v>
      </c>
    </row>
    <row r="74" spans="1:28" x14ac:dyDescent="0.3">
      <c r="A74" t="s">
        <v>471</v>
      </c>
      <c r="B74" s="6" t="s">
        <v>472</v>
      </c>
      <c r="C74" s="6" t="s">
        <v>473</v>
      </c>
      <c r="D74">
        <v>3729010595</v>
      </c>
      <c r="E74">
        <v>370201001</v>
      </c>
      <c r="F74" t="s">
        <v>52</v>
      </c>
      <c r="G74" t="s">
        <v>474</v>
      </c>
      <c r="H74" s="1">
        <v>45348</v>
      </c>
      <c r="I74" t="s">
        <v>475</v>
      </c>
      <c r="J74" s="8">
        <v>45362</v>
      </c>
      <c r="K74" s="1" t="s">
        <v>33</v>
      </c>
      <c r="L74" t="s">
        <v>474</v>
      </c>
      <c r="M74" t="s">
        <v>476</v>
      </c>
      <c r="N74" s="2">
        <v>28812816</v>
      </c>
      <c r="O74" t="s">
        <v>73</v>
      </c>
      <c r="P74" s="6" t="s">
        <v>36</v>
      </c>
      <c r="Q74" t="s">
        <v>37</v>
      </c>
      <c r="R74" t="s">
        <v>240</v>
      </c>
      <c r="S74" s="9">
        <v>6002.67</v>
      </c>
      <c r="T74" s="9">
        <v>4800</v>
      </c>
      <c r="U74" s="9">
        <v>28812816</v>
      </c>
      <c r="V74" s="6" t="s">
        <v>58</v>
      </c>
      <c r="W74" t="s">
        <v>59</v>
      </c>
      <c r="X74">
        <v>5262222144</v>
      </c>
      <c r="Y74">
        <v>526201001</v>
      </c>
      <c r="Z74" s="3">
        <v>45471.439583333333</v>
      </c>
      <c r="AA74" s="6">
        <v>2024</v>
      </c>
      <c r="AB74" s="1">
        <v>45653</v>
      </c>
    </row>
    <row r="75" spans="1:28" x14ac:dyDescent="0.3">
      <c r="A75" t="s">
        <v>477</v>
      </c>
      <c r="B75" s="6" t="s">
        <v>478</v>
      </c>
      <c r="C75" s="6" t="s">
        <v>479</v>
      </c>
      <c r="D75">
        <v>5503053520</v>
      </c>
      <c r="E75">
        <v>550301001</v>
      </c>
      <c r="F75" t="s">
        <v>149</v>
      </c>
      <c r="G75" t="s">
        <v>480</v>
      </c>
      <c r="H75" s="1">
        <v>45357</v>
      </c>
      <c r="I75" t="s">
        <v>481</v>
      </c>
      <c r="J75" s="8">
        <v>45363</v>
      </c>
      <c r="K75" s="1" t="s">
        <v>33</v>
      </c>
      <c r="L75" t="s">
        <v>482</v>
      </c>
      <c r="M75" t="s">
        <v>483</v>
      </c>
      <c r="N75" s="2">
        <v>1462500</v>
      </c>
      <c r="O75" t="s">
        <v>273</v>
      </c>
      <c r="P75" s="6" t="s">
        <v>36</v>
      </c>
      <c r="Q75" t="s">
        <v>37</v>
      </c>
      <c r="R75" t="s">
        <v>240</v>
      </c>
      <c r="S75" s="9">
        <v>5850</v>
      </c>
      <c r="T75" s="9">
        <v>250</v>
      </c>
      <c r="U75" s="9">
        <v>1462500</v>
      </c>
      <c r="V75" s="6" t="s">
        <v>58</v>
      </c>
      <c r="W75" t="s">
        <v>59</v>
      </c>
      <c r="X75">
        <v>5262222144</v>
      </c>
      <c r="Y75">
        <v>526201001</v>
      </c>
      <c r="Z75" s="3">
        <v>45497.379166666666</v>
      </c>
      <c r="AA75" s="6">
        <v>2024</v>
      </c>
      <c r="AB75" s="1">
        <v>45657</v>
      </c>
    </row>
    <row r="76" spans="1:28" x14ac:dyDescent="0.3">
      <c r="A76" t="s">
        <v>484</v>
      </c>
      <c r="B76" s="6" t="s">
        <v>485</v>
      </c>
      <c r="C76" s="6" t="s">
        <v>164</v>
      </c>
      <c r="D76">
        <v>7723084936</v>
      </c>
      <c r="E76">
        <v>772301001</v>
      </c>
      <c r="F76" t="s">
        <v>52</v>
      </c>
      <c r="G76" t="s">
        <v>486</v>
      </c>
      <c r="H76" s="1">
        <v>45352</v>
      </c>
      <c r="I76" t="s">
        <v>487</v>
      </c>
      <c r="J76" s="8">
        <v>45363</v>
      </c>
      <c r="K76" s="1" t="s">
        <v>33</v>
      </c>
      <c r="L76" t="s">
        <v>486</v>
      </c>
      <c r="M76" t="s">
        <v>488</v>
      </c>
      <c r="N76" s="2">
        <v>572160</v>
      </c>
      <c r="O76" t="s">
        <v>273</v>
      </c>
      <c r="P76" s="6" t="s">
        <v>36</v>
      </c>
      <c r="Q76" t="s">
        <v>37</v>
      </c>
      <c r="R76" t="s">
        <v>240</v>
      </c>
      <c r="S76" s="9">
        <v>9536</v>
      </c>
      <c r="T76" s="9">
        <v>60</v>
      </c>
      <c r="U76" s="9">
        <v>572160</v>
      </c>
      <c r="V76" s="6" t="s">
        <v>489</v>
      </c>
      <c r="W76" t="s">
        <v>129</v>
      </c>
      <c r="X76">
        <v>9725075031</v>
      </c>
      <c r="Y76">
        <v>771901001</v>
      </c>
      <c r="Z76" s="3">
        <v>45631.51666666667</v>
      </c>
      <c r="AA76" s="6">
        <v>2024</v>
      </c>
      <c r="AB76" s="1">
        <v>45614</v>
      </c>
    </row>
    <row r="77" spans="1:28" x14ac:dyDescent="0.3">
      <c r="A77" t="s">
        <v>490</v>
      </c>
      <c r="B77" s="6" t="s">
        <v>491</v>
      </c>
      <c r="C77" s="6" t="s">
        <v>492</v>
      </c>
      <c r="D77">
        <v>2724041260</v>
      </c>
      <c r="E77">
        <v>272101001</v>
      </c>
      <c r="F77" t="s">
        <v>149</v>
      </c>
      <c r="G77" t="s">
        <v>493</v>
      </c>
      <c r="H77" s="1">
        <v>45358</v>
      </c>
      <c r="J77" s="8">
        <v>45364</v>
      </c>
      <c r="K77" s="1" t="s">
        <v>33</v>
      </c>
      <c r="L77" t="s">
        <v>493</v>
      </c>
      <c r="M77" t="s">
        <v>377</v>
      </c>
      <c r="N77" s="2">
        <v>2807200</v>
      </c>
      <c r="O77" t="s">
        <v>494</v>
      </c>
      <c r="P77" s="6" t="s">
        <v>36</v>
      </c>
      <c r="Q77" t="s">
        <v>37</v>
      </c>
      <c r="R77" t="s">
        <v>38</v>
      </c>
      <c r="S77" s="9">
        <v>5800</v>
      </c>
      <c r="T77" s="9">
        <v>484</v>
      </c>
      <c r="U77" s="9">
        <v>2807200</v>
      </c>
      <c r="V77" s="6" t="s">
        <v>39</v>
      </c>
      <c r="W77" t="s">
        <v>40</v>
      </c>
      <c r="X77">
        <v>7810687137</v>
      </c>
      <c r="Y77">
        <v>781401001</v>
      </c>
      <c r="Z77" s="3">
        <v>45562.194444444445</v>
      </c>
      <c r="AA77" s="6">
        <v>2024</v>
      </c>
      <c r="AB77" s="1">
        <v>45427</v>
      </c>
    </row>
    <row r="78" spans="1:28" x14ac:dyDescent="0.3">
      <c r="A78" t="s">
        <v>495</v>
      </c>
      <c r="B78" s="6" t="s">
        <v>491</v>
      </c>
      <c r="C78" s="6" t="s">
        <v>492</v>
      </c>
      <c r="D78">
        <v>2724041260</v>
      </c>
      <c r="E78">
        <v>272101001</v>
      </c>
      <c r="F78" t="s">
        <v>149</v>
      </c>
      <c r="G78" t="s">
        <v>496</v>
      </c>
      <c r="H78" s="1">
        <v>45358</v>
      </c>
      <c r="I78" t="s">
        <v>497</v>
      </c>
      <c r="J78" s="8">
        <v>45364</v>
      </c>
      <c r="K78" s="1" t="s">
        <v>33</v>
      </c>
      <c r="L78" t="s">
        <v>496</v>
      </c>
      <c r="M78" t="s">
        <v>498</v>
      </c>
      <c r="N78" s="2">
        <v>2207520</v>
      </c>
      <c r="O78" t="s">
        <v>377</v>
      </c>
      <c r="P78" s="6" t="s">
        <v>36</v>
      </c>
      <c r="Q78" t="s">
        <v>37</v>
      </c>
      <c r="R78" t="s">
        <v>38</v>
      </c>
      <c r="S78" s="9">
        <v>5840</v>
      </c>
      <c r="T78" s="9">
        <v>378</v>
      </c>
      <c r="U78" s="9">
        <v>2207520</v>
      </c>
      <c r="V78" s="6" t="s">
        <v>499</v>
      </c>
      <c r="W78" t="s">
        <v>40</v>
      </c>
      <c r="X78">
        <v>246213424486</v>
      </c>
      <c r="Z78" s="3">
        <v>45461.425694444442</v>
      </c>
      <c r="AA78" s="6">
        <v>2024</v>
      </c>
      <c r="AB78" s="1">
        <v>45407</v>
      </c>
    </row>
    <row r="79" spans="1:28" x14ac:dyDescent="0.3">
      <c r="A79" t="s">
        <v>500</v>
      </c>
      <c r="B79" s="6" t="s">
        <v>501</v>
      </c>
      <c r="C79" s="6" t="s">
        <v>502</v>
      </c>
      <c r="D79">
        <v>6318197367</v>
      </c>
      <c r="E79">
        <v>631801001</v>
      </c>
      <c r="F79" t="s">
        <v>52</v>
      </c>
      <c r="G79" t="s">
        <v>503</v>
      </c>
      <c r="H79" s="1">
        <v>45355</v>
      </c>
      <c r="I79" t="s">
        <v>504</v>
      </c>
      <c r="J79" s="8">
        <v>45366</v>
      </c>
      <c r="K79" s="1" t="s">
        <v>33</v>
      </c>
      <c r="L79" t="s">
        <v>505</v>
      </c>
      <c r="M79" t="s">
        <v>506</v>
      </c>
      <c r="N79" s="2">
        <v>49776028.5</v>
      </c>
      <c r="O79" t="s">
        <v>273</v>
      </c>
      <c r="P79" s="6" t="s">
        <v>36</v>
      </c>
      <c r="Q79" t="s">
        <v>37</v>
      </c>
      <c r="R79" t="s">
        <v>240</v>
      </c>
      <c r="S79" s="9">
        <v>5624.41</v>
      </c>
      <c r="T79" s="9">
        <v>8850</v>
      </c>
      <c r="U79" s="9">
        <v>49776028.5</v>
      </c>
      <c r="V79" s="6" t="s">
        <v>507</v>
      </c>
      <c r="W79" t="s">
        <v>59</v>
      </c>
      <c r="X79">
        <v>6950229110</v>
      </c>
      <c r="Y79">
        <v>695001001</v>
      </c>
      <c r="Z79" s="3">
        <v>45414.587500000001</v>
      </c>
      <c r="AA79" s="6">
        <v>2024</v>
      </c>
      <c r="AB79" s="1">
        <v>45657</v>
      </c>
    </row>
    <row r="80" spans="1:28" x14ac:dyDescent="0.3">
      <c r="A80" t="s">
        <v>508</v>
      </c>
      <c r="B80" s="6" t="s">
        <v>509</v>
      </c>
      <c r="C80" s="6" t="s">
        <v>395</v>
      </c>
      <c r="D80">
        <v>7202161807</v>
      </c>
      <c r="E80">
        <v>720301001</v>
      </c>
      <c r="F80" t="s">
        <v>52</v>
      </c>
      <c r="G80" t="s">
        <v>510</v>
      </c>
      <c r="H80" s="1">
        <v>45355</v>
      </c>
      <c r="I80" t="s">
        <v>511</v>
      </c>
      <c r="J80" s="8">
        <v>45366</v>
      </c>
      <c r="K80" s="1" t="s">
        <v>33</v>
      </c>
      <c r="L80" t="s">
        <v>512</v>
      </c>
      <c r="M80" t="s">
        <v>513</v>
      </c>
      <c r="N80" s="2">
        <v>43655625</v>
      </c>
      <c r="O80" t="s">
        <v>514</v>
      </c>
      <c r="P80" s="6" t="s">
        <v>36</v>
      </c>
      <c r="Q80" t="s">
        <v>37</v>
      </c>
      <c r="R80" t="s">
        <v>240</v>
      </c>
      <c r="S80" s="9">
        <v>6467.5</v>
      </c>
      <c r="T80" s="9">
        <v>6750</v>
      </c>
      <c r="U80" s="9">
        <v>43655625</v>
      </c>
      <c r="V80" s="6" t="s">
        <v>401</v>
      </c>
      <c r="W80" t="s">
        <v>402</v>
      </c>
      <c r="X80">
        <v>720208302235</v>
      </c>
      <c r="Z80" s="3">
        <v>45384.323611111111</v>
      </c>
      <c r="AA80" s="6">
        <v>2024</v>
      </c>
      <c r="AB80" s="1">
        <v>45654</v>
      </c>
    </row>
    <row r="81" spans="1:28" x14ac:dyDescent="0.3">
      <c r="A81" t="s">
        <v>515</v>
      </c>
      <c r="B81" s="6" t="s">
        <v>516</v>
      </c>
      <c r="C81" s="6" t="s">
        <v>517</v>
      </c>
      <c r="D81">
        <v>9204023281</v>
      </c>
      <c r="E81">
        <v>920401001</v>
      </c>
      <c r="F81" t="s">
        <v>52</v>
      </c>
      <c r="G81" t="s">
        <v>518</v>
      </c>
      <c r="H81" s="1">
        <v>45355</v>
      </c>
      <c r="I81" t="s">
        <v>519</v>
      </c>
      <c r="J81" s="8">
        <v>45366</v>
      </c>
      <c r="K81" s="1" t="s">
        <v>33</v>
      </c>
      <c r="L81" t="s">
        <v>520</v>
      </c>
      <c r="M81" t="s">
        <v>521</v>
      </c>
      <c r="N81" s="2">
        <v>15384500</v>
      </c>
      <c r="O81" t="s">
        <v>522</v>
      </c>
      <c r="P81" s="6" t="s">
        <v>36</v>
      </c>
      <c r="Q81" t="s">
        <v>37</v>
      </c>
      <c r="R81" t="s">
        <v>240</v>
      </c>
      <c r="S81" s="9">
        <v>5900</v>
      </c>
      <c r="T81" s="9">
        <v>1718</v>
      </c>
      <c r="U81" s="9">
        <v>10136200</v>
      </c>
      <c r="V81" s="6" t="s">
        <v>282</v>
      </c>
      <c r="W81" t="s">
        <v>40</v>
      </c>
      <c r="X81">
        <v>9721067569</v>
      </c>
      <c r="Y81">
        <v>772101001</v>
      </c>
      <c r="Z81" s="3">
        <v>45653.381249999999</v>
      </c>
      <c r="AA81" s="6">
        <v>2024</v>
      </c>
      <c r="AB81" s="1">
        <v>45565</v>
      </c>
    </row>
    <row r="82" spans="1:28" x14ac:dyDescent="0.3">
      <c r="A82" t="s">
        <v>515</v>
      </c>
      <c r="B82" s="6" t="s">
        <v>516</v>
      </c>
      <c r="C82" s="6" t="s">
        <v>517</v>
      </c>
      <c r="D82">
        <v>9204023281</v>
      </c>
      <c r="E82">
        <v>920401001</v>
      </c>
      <c r="F82" t="s">
        <v>52</v>
      </c>
      <c r="G82" t="s">
        <v>518</v>
      </c>
      <c r="H82" s="1">
        <v>45355</v>
      </c>
      <c r="I82" t="s">
        <v>519</v>
      </c>
      <c r="J82" s="8">
        <v>45366</v>
      </c>
      <c r="K82" s="1" t="s">
        <v>33</v>
      </c>
      <c r="L82" t="s">
        <v>520</v>
      </c>
      <c r="M82" t="s">
        <v>521</v>
      </c>
      <c r="N82" s="2">
        <v>15384500</v>
      </c>
      <c r="O82" t="s">
        <v>522</v>
      </c>
      <c r="P82" s="6" t="s">
        <v>36</v>
      </c>
      <c r="Q82" t="s">
        <v>37</v>
      </c>
      <c r="R82" t="s">
        <v>240</v>
      </c>
      <c r="S82" s="9">
        <v>5850</v>
      </c>
      <c r="T82" s="9">
        <v>538</v>
      </c>
      <c r="U82" s="9">
        <v>3147300</v>
      </c>
      <c r="V82" s="6" t="s">
        <v>282</v>
      </c>
      <c r="W82" t="s">
        <v>40</v>
      </c>
      <c r="X82">
        <v>9721067569</v>
      </c>
      <c r="Y82">
        <v>772101001</v>
      </c>
      <c r="Z82" s="3">
        <v>45653.381249999999</v>
      </c>
      <c r="AA82" s="6">
        <v>2024</v>
      </c>
      <c r="AB82" s="1">
        <v>45565</v>
      </c>
    </row>
    <row r="83" spans="1:28" x14ac:dyDescent="0.3">
      <c r="A83" t="s">
        <v>515</v>
      </c>
      <c r="B83" s="6" t="s">
        <v>516</v>
      </c>
      <c r="C83" s="6" t="s">
        <v>517</v>
      </c>
      <c r="D83">
        <v>9204023281</v>
      </c>
      <c r="E83">
        <v>920401001</v>
      </c>
      <c r="F83" t="s">
        <v>52</v>
      </c>
      <c r="G83" t="s">
        <v>518</v>
      </c>
      <c r="H83" s="1">
        <v>45355</v>
      </c>
      <c r="I83" t="s">
        <v>519</v>
      </c>
      <c r="J83" s="8">
        <v>45366</v>
      </c>
      <c r="K83" s="1" t="s">
        <v>33</v>
      </c>
      <c r="L83" t="s">
        <v>520</v>
      </c>
      <c r="M83" t="s">
        <v>521</v>
      </c>
      <c r="N83" s="2">
        <v>15384500</v>
      </c>
      <c r="O83" t="s">
        <v>522</v>
      </c>
      <c r="P83" s="6" t="s">
        <v>36</v>
      </c>
      <c r="Q83" t="s">
        <v>37</v>
      </c>
      <c r="R83" t="s">
        <v>240</v>
      </c>
      <c r="S83" s="9">
        <v>5850</v>
      </c>
      <c r="T83" s="9">
        <v>310</v>
      </c>
      <c r="U83" s="9">
        <v>1813500</v>
      </c>
      <c r="V83" s="6" t="s">
        <v>282</v>
      </c>
      <c r="W83" t="s">
        <v>40</v>
      </c>
      <c r="X83">
        <v>9721067569</v>
      </c>
      <c r="Y83">
        <v>772101001</v>
      </c>
      <c r="Z83" s="3">
        <v>45653.381249999999</v>
      </c>
      <c r="AA83" s="6">
        <v>2024</v>
      </c>
      <c r="AB83" s="1">
        <v>45565</v>
      </c>
    </row>
    <row r="84" spans="1:28" x14ac:dyDescent="0.3">
      <c r="A84" t="s">
        <v>515</v>
      </c>
      <c r="B84" s="6" t="s">
        <v>516</v>
      </c>
      <c r="C84" s="6" t="s">
        <v>517</v>
      </c>
      <c r="D84">
        <v>9204023281</v>
      </c>
      <c r="E84">
        <v>920401001</v>
      </c>
      <c r="F84" t="s">
        <v>52</v>
      </c>
      <c r="G84" t="s">
        <v>518</v>
      </c>
      <c r="H84" s="1">
        <v>45355</v>
      </c>
      <c r="I84" t="s">
        <v>519</v>
      </c>
      <c r="J84" s="8">
        <v>45366</v>
      </c>
      <c r="K84" s="1" t="s">
        <v>33</v>
      </c>
      <c r="L84" t="s">
        <v>520</v>
      </c>
      <c r="M84" t="s">
        <v>521</v>
      </c>
      <c r="N84" s="2">
        <v>15384500</v>
      </c>
      <c r="O84" t="s">
        <v>522</v>
      </c>
      <c r="P84" s="6" t="s">
        <v>36</v>
      </c>
      <c r="Q84" t="s">
        <v>37</v>
      </c>
      <c r="R84" t="s">
        <v>240</v>
      </c>
      <c r="S84" s="9">
        <v>5750</v>
      </c>
      <c r="T84" s="9">
        <v>50</v>
      </c>
      <c r="U84" s="9">
        <v>287500</v>
      </c>
      <c r="V84" s="6" t="s">
        <v>282</v>
      </c>
      <c r="W84" t="s">
        <v>40</v>
      </c>
      <c r="X84">
        <v>9721067569</v>
      </c>
      <c r="Y84">
        <v>772101001</v>
      </c>
      <c r="Z84" s="3">
        <v>45653.381249999999</v>
      </c>
      <c r="AA84" s="6">
        <v>2024</v>
      </c>
      <c r="AB84" s="1">
        <v>45565</v>
      </c>
    </row>
    <row r="85" spans="1:28" x14ac:dyDescent="0.3">
      <c r="A85" t="s">
        <v>523</v>
      </c>
      <c r="B85" s="6" t="s">
        <v>524</v>
      </c>
      <c r="C85" s="6" t="s">
        <v>525</v>
      </c>
      <c r="D85">
        <v>721060278</v>
      </c>
      <c r="E85">
        <v>72501001</v>
      </c>
      <c r="F85" t="s">
        <v>52</v>
      </c>
      <c r="G85" t="s">
        <v>526</v>
      </c>
      <c r="H85" s="1">
        <v>45352</v>
      </c>
      <c r="I85" t="s">
        <v>527</v>
      </c>
      <c r="J85" s="8">
        <v>45369</v>
      </c>
      <c r="K85" s="1" t="s">
        <v>33</v>
      </c>
      <c r="L85" t="s">
        <v>528</v>
      </c>
      <c r="M85" t="s">
        <v>416</v>
      </c>
      <c r="N85" s="2">
        <v>11189053.34</v>
      </c>
      <c r="O85" t="s">
        <v>273</v>
      </c>
      <c r="P85" s="6" t="s">
        <v>36</v>
      </c>
      <c r="Q85" t="s">
        <v>37</v>
      </c>
      <c r="R85" t="s">
        <v>240</v>
      </c>
      <c r="S85" s="9">
        <v>5932.69</v>
      </c>
      <c r="T85" s="9">
        <v>1886</v>
      </c>
      <c r="U85" s="9">
        <v>11189053.34</v>
      </c>
      <c r="V85" s="6" t="s">
        <v>352</v>
      </c>
      <c r="W85" t="s">
        <v>40</v>
      </c>
      <c r="X85">
        <v>7843014747</v>
      </c>
      <c r="Y85">
        <v>781401001</v>
      </c>
      <c r="Z85" s="3">
        <v>45499.413888888892</v>
      </c>
      <c r="AA85" s="6">
        <v>2024</v>
      </c>
      <c r="AB85" s="1">
        <v>45392</v>
      </c>
    </row>
    <row r="86" spans="1:28" x14ac:dyDescent="0.3">
      <c r="A86" t="s">
        <v>529</v>
      </c>
      <c r="B86" s="6" t="s">
        <v>530</v>
      </c>
      <c r="C86" s="6" t="s">
        <v>453</v>
      </c>
      <c r="D86">
        <v>2221007858</v>
      </c>
      <c r="E86">
        <v>222101001</v>
      </c>
      <c r="F86" t="s">
        <v>52</v>
      </c>
      <c r="G86" t="s">
        <v>531</v>
      </c>
      <c r="H86" s="1">
        <v>45358</v>
      </c>
      <c r="I86" t="s">
        <v>532</v>
      </c>
      <c r="J86" s="8">
        <v>45369</v>
      </c>
      <c r="K86" s="1" t="s">
        <v>33</v>
      </c>
      <c r="L86" t="s">
        <v>533</v>
      </c>
      <c r="M86" t="s">
        <v>534</v>
      </c>
      <c r="N86" s="2">
        <v>60000000</v>
      </c>
      <c r="O86" t="s">
        <v>535</v>
      </c>
      <c r="P86" s="6" t="s">
        <v>36</v>
      </c>
      <c r="Q86" t="s">
        <v>37</v>
      </c>
      <c r="R86" t="s">
        <v>240</v>
      </c>
      <c r="S86" s="9">
        <v>6000</v>
      </c>
      <c r="T86" s="9">
        <v>10000</v>
      </c>
      <c r="U86" s="9">
        <v>60000000</v>
      </c>
      <c r="V86" s="6" t="s">
        <v>536</v>
      </c>
      <c r="W86" t="s">
        <v>59</v>
      </c>
      <c r="X86">
        <v>2222874211</v>
      </c>
      <c r="Y86">
        <v>222201001</v>
      </c>
      <c r="Z86" s="3">
        <v>45432.464583333334</v>
      </c>
      <c r="AA86" s="6">
        <v>2024</v>
      </c>
      <c r="AB86" s="1">
        <v>45492</v>
      </c>
    </row>
    <row r="87" spans="1:28" x14ac:dyDescent="0.3">
      <c r="A87" t="s">
        <v>537</v>
      </c>
      <c r="B87" s="6" t="s">
        <v>538</v>
      </c>
      <c r="C87" s="6" t="s">
        <v>539</v>
      </c>
      <c r="D87">
        <v>7808043833</v>
      </c>
      <c r="E87">
        <v>784101001</v>
      </c>
      <c r="F87" t="s">
        <v>94</v>
      </c>
      <c r="G87" t="s">
        <v>540</v>
      </c>
      <c r="H87" s="1">
        <v>45364</v>
      </c>
      <c r="I87" t="s">
        <v>541</v>
      </c>
      <c r="J87" s="8">
        <v>45369</v>
      </c>
      <c r="K87" s="1" t="s">
        <v>33</v>
      </c>
      <c r="L87" t="s">
        <v>540</v>
      </c>
      <c r="M87" t="s">
        <v>542</v>
      </c>
      <c r="N87" s="2">
        <v>29645000</v>
      </c>
      <c r="O87" t="s">
        <v>543</v>
      </c>
      <c r="P87" s="6" t="s">
        <v>544</v>
      </c>
      <c r="Q87" t="s">
        <v>37</v>
      </c>
      <c r="R87" t="s">
        <v>66</v>
      </c>
      <c r="S87" s="9">
        <v>4235</v>
      </c>
      <c r="T87" s="9">
        <v>7000</v>
      </c>
      <c r="U87" s="9">
        <v>29645000</v>
      </c>
      <c r="V87" s="6" t="s">
        <v>545</v>
      </c>
      <c r="W87" t="s">
        <v>40</v>
      </c>
      <c r="X87">
        <v>7713655588</v>
      </c>
      <c r="Y87">
        <v>773001001</v>
      </c>
      <c r="Z87" s="3">
        <v>45426.731249999997</v>
      </c>
      <c r="AA87" s="6">
        <v>2024</v>
      </c>
      <c r="AB87" s="1">
        <v>45657</v>
      </c>
    </row>
    <row r="88" spans="1:28" x14ac:dyDescent="0.3">
      <c r="A88" t="s">
        <v>546</v>
      </c>
      <c r="B88" s="6" t="s">
        <v>547</v>
      </c>
      <c r="C88" s="6" t="s">
        <v>548</v>
      </c>
      <c r="D88">
        <v>1901005310</v>
      </c>
      <c r="E88">
        <v>190101001</v>
      </c>
      <c r="F88" t="s">
        <v>52</v>
      </c>
      <c r="G88" t="s">
        <v>549</v>
      </c>
      <c r="H88" s="1">
        <v>45357</v>
      </c>
      <c r="I88" t="s">
        <v>550</v>
      </c>
      <c r="J88" s="8">
        <v>45370</v>
      </c>
      <c r="K88" s="1" t="s">
        <v>33</v>
      </c>
      <c r="L88" t="s">
        <v>551</v>
      </c>
      <c r="M88" t="s">
        <v>552</v>
      </c>
      <c r="N88" s="2">
        <v>360199.8</v>
      </c>
      <c r="O88" t="s">
        <v>410</v>
      </c>
      <c r="P88" s="6" t="s">
        <v>36</v>
      </c>
      <c r="Q88" t="s">
        <v>37</v>
      </c>
      <c r="R88" t="s">
        <v>66</v>
      </c>
      <c r="S88" s="9">
        <v>6003.33</v>
      </c>
      <c r="T88" s="9">
        <v>60</v>
      </c>
      <c r="U88" s="9">
        <v>360199.8</v>
      </c>
      <c r="V88" s="6" t="s">
        <v>39</v>
      </c>
      <c r="W88" t="s">
        <v>40</v>
      </c>
      <c r="X88">
        <v>7810687137</v>
      </c>
      <c r="Y88">
        <v>781401001</v>
      </c>
      <c r="Z88" s="3">
        <v>45441.294444444444</v>
      </c>
      <c r="AA88" s="6">
        <v>2024</v>
      </c>
      <c r="AB88" s="1">
        <v>45443</v>
      </c>
    </row>
    <row r="89" spans="1:28" x14ac:dyDescent="0.3">
      <c r="A89" t="s">
        <v>553</v>
      </c>
      <c r="B89" s="6" t="s">
        <v>554</v>
      </c>
      <c r="C89" s="6" t="s">
        <v>555</v>
      </c>
      <c r="D89">
        <v>7453135827</v>
      </c>
      <c r="E89">
        <v>745301001</v>
      </c>
      <c r="F89" t="s">
        <v>52</v>
      </c>
      <c r="G89" t="s">
        <v>556</v>
      </c>
      <c r="H89" s="1">
        <v>45358</v>
      </c>
      <c r="J89" s="8">
        <v>45370</v>
      </c>
      <c r="K89" s="1" t="s">
        <v>33</v>
      </c>
      <c r="L89" t="s">
        <v>557</v>
      </c>
      <c r="M89" t="s">
        <v>558</v>
      </c>
      <c r="N89" s="2">
        <v>1466440</v>
      </c>
      <c r="O89" t="s">
        <v>440</v>
      </c>
      <c r="P89" s="6" t="s">
        <v>36</v>
      </c>
      <c r="Q89" t="s">
        <v>37</v>
      </c>
      <c r="R89" t="s">
        <v>240</v>
      </c>
      <c r="S89" s="9">
        <v>6010</v>
      </c>
      <c r="T89" s="9">
        <v>244</v>
      </c>
      <c r="U89" s="9">
        <v>1466440</v>
      </c>
      <c r="V89" s="6" t="s">
        <v>58</v>
      </c>
      <c r="W89" t="s">
        <v>59</v>
      </c>
      <c r="X89">
        <v>5262222144</v>
      </c>
      <c r="Y89">
        <v>526201001</v>
      </c>
      <c r="Z89" s="3">
        <v>45519.375694444447</v>
      </c>
      <c r="AA89" s="6">
        <v>2024</v>
      </c>
      <c r="AB89" s="1">
        <v>45575</v>
      </c>
    </row>
    <row r="90" spans="1:28" x14ac:dyDescent="0.3">
      <c r="A90" t="s">
        <v>559</v>
      </c>
      <c r="B90" s="6" t="s">
        <v>554</v>
      </c>
      <c r="C90" s="6" t="s">
        <v>555</v>
      </c>
      <c r="D90">
        <v>7453135827</v>
      </c>
      <c r="E90">
        <v>745301001</v>
      </c>
      <c r="F90" t="s">
        <v>52</v>
      </c>
      <c r="G90" t="s">
        <v>560</v>
      </c>
      <c r="H90" s="1">
        <v>45357</v>
      </c>
      <c r="I90" t="s">
        <v>561</v>
      </c>
      <c r="J90" s="8">
        <v>45370</v>
      </c>
      <c r="K90" s="1" t="s">
        <v>33</v>
      </c>
      <c r="L90" t="s">
        <v>562</v>
      </c>
      <c r="M90" t="s">
        <v>563</v>
      </c>
      <c r="N90" s="2">
        <v>126231375</v>
      </c>
      <c r="O90" t="s">
        <v>564</v>
      </c>
      <c r="P90" s="6" t="s">
        <v>36</v>
      </c>
      <c r="Q90" t="s">
        <v>37</v>
      </c>
      <c r="R90" t="s">
        <v>240</v>
      </c>
      <c r="S90" s="9">
        <v>5940.3</v>
      </c>
      <c r="T90" s="9">
        <v>10625</v>
      </c>
      <c r="U90" s="9">
        <v>63115687.5</v>
      </c>
      <c r="V90" s="6" t="s">
        <v>58</v>
      </c>
      <c r="W90" t="s">
        <v>59</v>
      </c>
      <c r="X90">
        <v>5262222144</v>
      </c>
      <c r="Y90">
        <v>526201001</v>
      </c>
      <c r="Z90" s="3">
        <v>45478.477777777778</v>
      </c>
      <c r="AA90" s="6">
        <v>2024</v>
      </c>
      <c r="AB90" s="1">
        <v>45657</v>
      </c>
    </row>
    <row r="91" spans="1:28" x14ac:dyDescent="0.3">
      <c r="A91" t="s">
        <v>559</v>
      </c>
      <c r="B91" s="6" t="s">
        <v>554</v>
      </c>
      <c r="C91" s="6" t="s">
        <v>555</v>
      </c>
      <c r="D91">
        <v>7453135827</v>
      </c>
      <c r="E91">
        <v>745301001</v>
      </c>
      <c r="F91" t="s">
        <v>52</v>
      </c>
      <c r="G91" t="s">
        <v>560</v>
      </c>
      <c r="H91" s="1">
        <v>45357</v>
      </c>
      <c r="I91" t="s">
        <v>561</v>
      </c>
      <c r="J91" s="8">
        <v>45370</v>
      </c>
      <c r="K91" s="1" t="s">
        <v>33</v>
      </c>
      <c r="L91" t="s">
        <v>562</v>
      </c>
      <c r="M91" t="s">
        <v>563</v>
      </c>
      <c r="N91" s="2">
        <v>126231375</v>
      </c>
      <c r="O91" t="s">
        <v>565</v>
      </c>
      <c r="P91" s="6" t="s">
        <v>36</v>
      </c>
      <c r="Q91" t="s">
        <v>37</v>
      </c>
      <c r="R91" t="s">
        <v>240</v>
      </c>
      <c r="S91" s="9">
        <v>5940.3</v>
      </c>
      <c r="T91" s="9">
        <v>10625</v>
      </c>
      <c r="U91" s="9">
        <v>63115687.5</v>
      </c>
      <c r="V91" s="6" t="s">
        <v>58</v>
      </c>
      <c r="W91" t="s">
        <v>59</v>
      </c>
      <c r="X91">
        <v>5262222144</v>
      </c>
      <c r="Y91">
        <v>526201001</v>
      </c>
      <c r="Z91" s="3">
        <v>45478.477777777778</v>
      </c>
      <c r="AA91" s="6">
        <v>2024</v>
      </c>
      <c r="AB91" s="1">
        <v>45657</v>
      </c>
    </row>
    <row r="92" spans="1:28" x14ac:dyDescent="0.3">
      <c r="A92" t="s">
        <v>566</v>
      </c>
      <c r="B92" s="6" t="s">
        <v>567</v>
      </c>
      <c r="C92" s="6" t="s">
        <v>568</v>
      </c>
      <c r="D92">
        <v>4909085785</v>
      </c>
      <c r="E92">
        <v>490901001</v>
      </c>
      <c r="F92" t="s">
        <v>52</v>
      </c>
      <c r="G92" t="s">
        <v>569</v>
      </c>
      <c r="H92" s="1">
        <v>45357</v>
      </c>
      <c r="I92" t="s">
        <v>570</v>
      </c>
      <c r="J92" s="8">
        <v>45371</v>
      </c>
      <c r="K92" s="1" t="s">
        <v>33</v>
      </c>
      <c r="L92" t="s">
        <v>569</v>
      </c>
      <c r="M92" t="s">
        <v>571</v>
      </c>
      <c r="N92" s="2">
        <v>6031530</v>
      </c>
      <c r="O92" t="s">
        <v>273</v>
      </c>
      <c r="P92" s="6" t="s">
        <v>36</v>
      </c>
      <c r="Q92" t="s">
        <v>37</v>
      </c>
      <c r="R92" t="s">
        <v>240</v>
      </c>
      <c r="S92" s="9">
        <v>6007.5</v>
      </c>
      <c r="T92" s="9">
        <v>1004</v>
      </c>
      <c r="U92" s="9">
        <v>6031530</v>
      </c>
      <c r="V92" s="6" t="s">
        <v>39</v>
      </c>
      <c r="W92" t="s">
        <v>40</v>
      </c>
      <c r="X92">
        <v>7810687137</v>
      </c>
      <c r="Y92">
        <v>781401001</v>
      </c>
      <c r="Z92" s="3">
        <v>45545.379861111112</v>
      </c>
      <c r="AA92" s="6">
        <v>2024</v>
      </c>
      <c r="AB92" s="1">
        <v>45657</v>
      </c>
    </row>
    <row r="93" spans="1:28" x14ac:dyDescent="0.3">
      <c r="A93" t="s">
        <v>572</v>
      </c>
      <c r="B93" s="6" t="s">
        <v>573</v>
      </c>
      <c r="C93" s="6" t="s">
        <v>405</v>
      </c>
      <c r="D93">
        <v>562044550</v>
      </c>
      <c r="E93">
        <v>57201001</v>
      </c>
      <c r="F93" t="s">
        <v>52</v>
      </c>
      <c r="G93" t="s">
        <v>574</v>
      </c>
      <c r="H93" s="1">
        <v>45358</v>
      </c>
      <c r="I93" t="s">
        <v>575</v>
      </c>
      <c r="J93" s="8">
        <v>45371</v>
      </c>
      <c r="K93" s="1" t="s">
        <v>33</v>
      </c>
      <c r="L93" t="s">
        <v>574</v>
      </c>
      <c r="M93" t="s">
        <v>576</v>
      </c>
      <c r="N93" s="2">
        <v>27000000</v>
      </c>
      <c r="O93" t="s">
        <v>577</v>
      </c>
      <c r="P93" s="6" t="s">
        <v>36</v>
      </c>
      <c r="Q93" t="s">
        <v>37</v>
      </c>
      <c r="R93" t="s">
        <v>48</v>
      </c>
      <c r="S93" s="9">
        <v>5400</v>
      </c>
      <c r="T93" s="9">
        <v>5000</v>
      </c>
      <c r="U93" s="9">
        <v>27000000</v>
      </c>
      <c r="V93" s="6" t="s">
        <v>39</v>
      </c>
      <c r="W93" t="s">
        <v>40</v>
      </c>
      <c r="X93">
        <v>7810687137</v>
      </c>
      <c r="Y93">
        <v>781401001</v>
      </c>
      <c r="Z93" s="3">
        <v>45678.722916666666</v>
      </c>
      <c r="AA93" s="6">
        <v>2024</v>
      </c>
      <c r="AB93" s="1">
        <v>45657</v>
      </c>
    </row>
    <row r="94" spans="1:28" x14ac:dyDescent="0.3">
      <c r="A94" t="s">
        <v>578</v>
      </c>
      <c r="B94" s="6" t="s">
        <v>573</v>
      </c>
      <c r="C94" s="6" t="s">
        <v>405</v>
      </c>
      <c r="D94">
        <v>562044550</v>
      </c>
      <c r="E94">
        <v>57201001</v>
      </c>
      <c r="F94" t="s">
        <v>52</v>
      </c>
      <c r="G94" t="s">
        <v>579</v>
      </c>
      <c r="H94" s="1">
        <v>45358</v>
      </c>
      <c r="I94" t="s">
        <v>580</v>
      </c>
      <c r="J94" s="8">
        <v>45371</v>
      </c>
      <c r="K94" s="1" t="s">
        <v>33</v>
      </c>
      <c r="L94" t="s">
        <v>579</v>
      </c>
      <c r="M94" t="s">
        <v>581</v>
      </c>
      <c r="N94" s="2">
        <v>12501000</v>
      </c>
      <c r="O94" t="s">
        <v>582</v>
      </c>
      <c r="P94" s="6" t="s">
        <v>36</v>
      </c>
      <c r="Q94" t="s">
        <v>37</v>
      </c>
      <c r="R94" t="s">
        <v>48</v>
      </c>
      <c r="S94" s="9">
        <v>5400</v>
      </c>
      <c r="T94" s="9">
        <v>2315</v>
      </c>
      <c r="U94" s="9">
        <v>12501000</v>
      </c>
      <c r="V94" s="6" t="s">
        <v>39</v>
      </c>
      <c r="W94" t="s">
        <v>40</v>
      </c>
      <c r="X94">
        <v>7810687137</v>
      </c>
      <c r="Y94">
        <v>781401001</v>
      </c>
      <c r="Z94" s="3">
        <v>45420.4</v>
      </c>
      <c r="AA94" s="6">
        <v>2024</v>
      </c>
      <c r="AB94" s="1">
        <v>45657</v>
      </c>
    </row>
    <row r="95" spans="1:28" x14ac:dyDescent="0.3">
      <c r="A95" t="s">
        <v>583</v>
      </c>
      <c r="B95" s="6" t="s">
        <v>234</v>
      </c>
      <c r="C95" s="6" t="s">
        <v>235</v>
      </c>
      <c r="D95">
        <v>1501024759</v>
      </c>
      <c r="E95">
        <v>151601001</v>
      </c>
      <c r="F95" t="s">
        <v>52</v>
      </c>
      <c r="G95" t="s">
        <v>584</v>
      </c>
      <c r="H95" s="1">
        <v>45358</v>
      </c>
      <c r="I95" t="s">
        <v>532</v>
      </c>
      <c r="J95" s="8">
        <v>45372</v>
      </c>
      <c r="K95" s="1" t="s">
        <v>33</v>
      </c>
      <c r="L95" t="s">
        <v>584</v>
      </c>
      <c r="M95" t="s">
        <v>585</v>
      </c>
      <c r="N95" s="2">
        <v>30327553</v>
      </c>
      <c r="O95" t="s">
        <v>239</v>
      </c>
      <c r="P95" s="6" t="s">
        <v>36</v>
      </c>
      <c r="Q95" t="s">
        <v>37</v>
      </c>
      <c r="R95" t="s">
        <v>240</v>
      </c>
      <c r="S95" s="9">
        <v>5998.32</v>
      </c>
      <c r="T95" s="9">
        <v>5055</v>
      </c>
      <c r="U95" s="9">
        <v>30321507.600000001</v>
      </c>
      <c r="V95" s="6" t="s">
        <v>586</v>
      </c>
      <c r="W95" t="s">
        <v>40</v>
      </c>
      <c r="X95">
        <v>1513008247</v>
      </c>
      <c r="Y95">
        <v>151301001</v>
      </c>
      <c r="Z95" s="3">
        <v>45439.645138888889</v>
      </c>
      <c r="AA95" s="6">
        <v>2024</v>
      </c>
      <c r="AB95" s="1">
        <v>45705</v>
      </c>
    </row>
    <row r="96" spans="1:28" x14ac:dyDescent="0.3">
      <c r="A96" t="s">
        <v>583</v>
      </c>
      <c r="B96" s="6" t="s">
        <v>234</v>
      </c>
      <c r="C96" s="6" t="s">
        <v>235</v>
      </c>
      <c r="D96">
        <v>1501024759</v>
      </c>
      <c r="E96">
        <v>151601001</v>
      </c>
      <c r="F96" t="s">
        <v>52</v>
      </c>
      <c r="G96" t="s">
        <v>584</v>
      </c>
      <c r="H96" s="1">
        <v>45358</v>
      </c>
      <c r="I96" t="s">
        <v>532</v>
      </c>
      <c r="J96" s="8">
        <v>45372</v>
      </c>
      <c r="K96" s="1" t="s">
        <v>33</v>
      </c>
      <c r="L96" t="s">
        <v>584</v>
      </c>
      <c r="M96" t="s">
        <v>585</v>
      </c>
      <c r="N96" s="2">
        <v>30327553</v>
      </c>
      <c r="O96" t="s">
        <v>239</v>
      </c>
      <c r="P96" s="6" t="s">
        <v>36</v>
      </c>
      <c r="Q96" t="s">
        <v>37</v>
      </c>
      <c r="R96" t="s">
        <v>240</v>
      </c>
      <c r="S96" s="9">
        <v>6045.4</v>
      </c>
      <c r="T96" s="9">
        <v>1</v>
      </c>
      <c r="U96" s="9">
        <v>6045.4</v>
      </c>
      <c r="V96" s="6" t="s">
        <v>586</v>
      </c>
      <c r="W96" t="s">
        <v>40</v>
      </c>
      <c r="X96">
        <v>1513008247</v>
      </c>
      <c r="Y96">
        <v>151301001</v>
      </c>
      <c r="Z96" s="3">
        <v>45439.645138888889</v>
      </c>
      <c r="AA96" s="6">
        <v>2024</v>
      </c>
      <c r="AB96" s="1">
        <v>45705</v>
      </c>
    </row>
    <row r="97" spans="1:28" x14ac:dyDescent="0.3">
      <c r="A97" t="s">
        <v>587</v>
      </c>
      <c r="B97" s="6" t="s">
        <v>524</v>
      </c>
      <c r="C97" s="6" t="s">
        <v>525</v>
      </c>
      <c r="D97">
        <v>721060278</v>
      </c>
      <c r="E97">
        <v>72501001</v>
      </c>
      <c r="F97" t="s">
        <v>52</v>
      </c>
      <c r="G97" t="s">
        <v>588</v>
      </c>
      <c r="H97" s="1">
        <v>45362</v>
      </c>
      <c r="I97" t="s">
        <v>589</v>
      </c>
      <c r="J97" s="8">
        <v>45373</v>
      </c>
      <c r="K97" s="1" t="s">
        <v>33</v>
      </c>
      <c r="L97" t="s">
        <v>590</v>
      </c>
      <c r="M97" t="s">
        <v>416</v>
      </c>
      <c r="N97" s="2">
        <v>29550728.890000001</v>
      </c>
      <c r="O97" t="s">
        <v>273</v>
      </c>
      <c r="P97" s="6" t="s">
        <v>36</v>
      </c>
      <c r="Q97" t="s">
        <v>37</v>
      </c>
      <c r="R97" t="s">
        <v>240</v>
      </c>
      <c r="S97" s="9">
        <v>5932.69</v>
      </c>
      <c r="T97" s="9">
        <v>4981</v>
      </c>
      <c r="U97" s="9">
        <v>29550728.890000001</v>
      </c>
      <c r="V97" s="6" t="s">
        <v>39</v>
      </c>
      <c r="W97" t="s">
        <v>40</v>
      </c>
      <c r="X97">
        <v>7810687137</v>
      </c>
      <c r="Y97">
        <v>781401001</v>
      </c>
      <c r="Z97" s="3">
        <v>45498.650694444441</v>
      </c>
      <c r="AA97" s="6">
        <v>2024</v>
      </c>
      <c r="AB97" s="1">
        <v>45657</v>
      </c>
    </row>
    <row r="98" spans="1:28" x14ac:dyDescent="0.3">
      <c r="A98" t="s">
        <v>591</v>
      </c>
      <c r="B98" s="6" t="s">
        <v>83</v>
      </c>
      <c r="C98" s="6" t="s">
        <v>84</v>
      </c>
      <c r="D98">
        <v>3666031335</v>
      </c>
      <c r="E98">
        <v>366601001</v>
      </c>
      <c r="F98" t="s">
        <v>52</v>
      </c>
      <c r="G98" t="s">
        <v>592</v>
      </c>
      <c r="H98" s="1">
        <v>45362</v>
      </c>
      <c r="I98" t="s">
        <v>593</v>
      </c>
      <c r="J98" s="8">
        <v>45373</v>
      </c>
      <c r="K98" s="1" t="s">
        <v>33</v>
      </c>
      <c r="L98" t="s">
        <v>594</v>
      </c>
      <c r="M98" t="s">
        <v>595</v>
      </c>
      <c r="N98" s="2">
        <v>85170000</v>
      </c>
      <c r="O98" t="s">
        <v>225</v>
      </c>
      <c r="P98" s="6" t="s">
        <v>36</v>
      </c>
      <c r="Q98" t="s">
        <v>37</v>
      </c>
      <c r="R98" t="s">
        <v>240</v>
      </c>
      <c r="S98" s="9">
        <v>6000</v>
      </c>
      <c r="T98" s="9">
        <v>14195</v>
      </c>
      <c r="U98" s="9">
        <v>85170000</v>
      </c>
      <c r="V98" s="6" t="s">
        <v>58</v>
      </c>
      <c r="W98" t="s">
        <v>59</v>
      </c>
      <c r="X98">
        <v>5262222144</v>
      </c>
      <c r="Y98">
        <v>526201001</v>
      </c>
      <c r="Z98" s="3">
        <v>45384.543749999997</v>
      </c>
      <c r="AA98" s="6">
        <v>2024</v>
      </c>
      <c r="AB98" s="1">
        <v>45657</v>
      </c>
    </row>
    <row r="99" spans="1:28" x14ac:dyDescent="0.3">
      <c r="A99" t="s">
        <v>596</v>
      </c>
      <c r="B99" s="6" t="s">
        <v>597</v>
      </c>
      <c r="C99" s="6" t="s">
        <v>388</v>
      </c>
      <c r="D99">
        <v>3811029091</v>
      </c>
      <c r="E99">
        <v>381101001</v>
      </c>
      <c r="F99" t="s">
        <v>52</v>
      </c>
      <c r="G99" t="s">
        <v>598</v>
      </c>
      <c r="H99" s="1">
        <v>45362</v>
      </c>
      <c r="I99" t="s">
        <v>599</v>
      </c>
      <c r="J99" s="8">
        <v>45373</v>
      </c>
      <c r="K99" s="1" t="s">
        <v>33</v>
      </c>
      <c r="L99" t="s">
        <v>600</v>
      </c>
      <c r="M99" t="s">
        <v>72</v>
      </c>
      <c r="N99" s="2">
        <v>181200</v>
      </c>
      <c r="O99" t="s">
        <v>273</v>
      </c>
      <c r="P99" s="6" t="s">
        <v>36</v>
      </c>
      <c r="Q99" t="s">
        <v>37</v>
      </c>
      <c r="R99" t="s">
        <v>240</v>
      </c>
      <c r="S99" s="9">
        <v>6040</v>
      </c>
      <c r="T99" s="9">
        <v>30</v>
      </c>
      <c r="U99" s="9">
        <v>181200</v>
      </c>
      <c r="V99" s="6" t="s">
        <v>90</v>
      </c>
      <c r="W99" t="s">
        <v>59</v>
      </c>
      <c r="X99">
        <v>5259153331</v>
      </c>
      <c r="Y99">
        <v>525901001</v>
      </c>
      <c r="Z99" s="3">
        <v>45463.380555555559</v>
      </c>
      <c r="AA99" s="6">
        <v>2024</v>
      </c>
      <c r="AB99" s="1">
        <v>45673</v>
      </c>
    </row>
    <row r="100" spans="1:28" x14ac:dyDescent="0.3">
      <c r="A100" t="s">
        <v>601</v>
      </c>
      <c r="B100" s="6" t="s">
        <v>602</v>
      </c>
      <c r="C100" s="6" t="s">
        <v>548</v>
      </c>
      <c r="D100">
        <v>1901130110</v>
      </c>
      <c r="E100">
        <v>190101001</v>
      </c>
      <c r="F100" t="s">
        <v>52</v>
      </c>
      <c r="G100" t="s">
        <v>603</v>
      </c>
      <c r="H100" s="1">
        <v>45358</v>
      </c>
      <c r="I100" t="s">
        <v>604</v>
      </c>
      <c r="J100" s="8">
        <v>45373</v>
      </c>
      <c r="K100" s="1" t="s">
        <v>33</v>
      </c>
      <c r="L100" t="s">
        <v>605</v>
      </c>
      <c r="M100" t="s">
        <v>606</v>
      </c>
      <c r="N100" s="2">
        <v>2348932.5</v>
      </c>
      <c r="O100" t="s">
        <v>607</v>
      </c>
      <c r="P100" s="6" t="s">
        <v>36</v>
      </c>
      <c r="Q100" t="s">
        <v>37</v>
      </c>
      <c r="R100" t="s">
        <v>240</v>
      </c>
      <c r="S100" s="9">
        <v>6007.5</v>
      </c>
      <c r="T100" s="9">
        <v>391</v>
      </c>
      <c r="U100" s="9">
        <v>2348932.5</v>
      </c>
      <c r="V100" s="6" t="s">
        <v>352</v>
      </c>
      <c r="W100" t="s">
        <v>40</v>
      </c>
      <c r="X100">
        <v>7843014747</v>
      </c>
      <c r="Y100">
        <v>781401001</v>
      </c>
      <c r="Z100" s="3">
        <v>45399.418749999997</v>
      </c>
      <c r="AA100" s="6">
        <v>2024</v>
      </c>
      <c r="AB100" s="1">
        <v>45412</v>
      </c>
    </row>
    <row r="101" spans="1:28" x14ac:dyDescent="0.3">
      <c r="A101" t="s">
        <v>608</v>
      </c>
      <c r="B101" s="6" t="s">
        <v>609</v>
      </c>
      <c r="C101" s="6" t="s">
        <v>270</v>
      </c>
      <c r="D101">
        <v>1833002854</v>
      </c>
      <c r="E101">
        <v>184001001</v>
      </c>
      <c r="F101" t="s">
        <v>52</v>
      </c>
      <c r="G101" t="s">
        <v>610</v>
      </c>
      <c r="H101" s="1">
        <v>45362</v>
      </c>
      <c r="J101" s="8">
        <v>45373</v>
      </c>
      <c r="K101" s="1" t="s">
        <v>33</v>
      </c>
      <c r="L101" t="s">
        <v>610</v>
      </c>
      <c r="M101" t="s">
        <v>611</v>
      </c>
      <c r="N101" s="2">
        <v>59750</v>
      </c>
      <c r="O101" t="s">
        <v>612</v>
      </c>
      <c r="P101" s="6" t="s">
        <v>36</v>
      </c>
      <c r="Q101" t="s">
        <v>37</v>
      </c>
      <c r="R101" t="s">
        <v>66</v>
      </c>
      <c r="S101" s="9">
        <v>5975</v>
      </c>
      <c r="T101" s="9">
        <v>10</v>
      </c>
      <c r="U101" s="9">
        <v>59750</v>
      </c>
      <c r="V101" s="6" t="s">
        <v>613</v>
      </c>
      <c r="W101" t="s">
        <v>40</v>
      </c>
      <c r="X101">
        <v>1831169946</v>
      </c>
      <c r="Y101">
        <v>183101001</v>
      </c>
      <c r="Z101" s="3">
        <v>45449.45208333333</v>
      </c>
      <c r="AA101" s="6">
        <v>2024</v>
      </c>
      <c r="AB101" s="1">
        <v>45657</v>
      </c>
    </row>
    <row r="102" spans="1:28" x14ac:dyDescent="0.3">
      <c r="A102" t="s">
        <v>614</v>
      </c>
      <c r="B102" s="6" t="s">
        <v>276</v>
      </c>
      <c r="C102" s="6" t="s">
        <v>277</v>
      </c>
      <c r="D102">
        <v>9102012869</v>
      </c>
      <c r="E102">
        <v>910201001</v>
      </c>
      <c r="F102" t="s">
        <v>52</v>
      </c>
      <c r="G102" t="s">
        <v>615</v>
      </c>
      <c r="H102" s="1">
        <v>45362</v>
      </c>
      <c r="I102" t="s">
        <v>589</v>
      </c>
      <c r="J102" s="8">
        <v>45373</v>
      </c>
      <c r="K102" s="1" t="s">
        <v>33</v>
      </c>
      <c r="L102" t="s">
        <v>615</v>
      </c>
      <c r="M102" t="s">
        <v>280</v>
      </c>
      <c r="N102" s="2">
        <v>35874600</v>
      </c>
      <c r="O102" t="s">
        <v>281</v>
      </c>
      <c r="P102" s="6" t="s">
        <v>36</v>
      </c>
      <c r="Q102" t="s">
        <v>37</v>
      </c>
      <c r="R102" t="s">
        <v>66</v>
      </c>
      <c r="S102" s="9">
        <v>5979.1</v>
      </c>
      <c r="T102" s="9">
        <v>6000</v>
      </c>
      <c r="U102" s="9">
        <v>35874600</v>
      </c>
      <c r="V102" s="6" t="s">
        <v>282</v>
      </c>
      <c r="W102" t="s">
        <v>40</v>
      </c>
      <c r="X102">
        <v>9721067569</v>
      </c>
      <c r="Y102">
        <v>772101001</v>
      </c>
      <c r="Z102" s="3">
        <v>45653.801388888889</v>
      </c>
      <c r="AA102" s="6">
        <v>2024</v>
      </c>
      <c r="AB102" s="1">
        <v>45656</v>
      </c>
    </row>
    <row r="103" spans="1:28" x14ac:dyDescent="0.3">
      <c r="A103" t="s">
        <v>616</v>
      </c>
      <c r="B103" s="6" t="s">
        <v>617</v>
      </c>
      <c r="C103" s="6" t="s">
        <v>618</v>
      </c>
      <c r="D103">
        <v>323111068</v>
      </c>
      <c r="E103">
        <v>32301001</v>
      </c>
      <c r="F103" t="s">
        <v>619</v>
      </c>
      <c r="G103" t="s">
        <v>620</v>
      </c>
      <c r="H103" s="1">
        <v>45364</v>
      </c>
      <c r="J103" s="8">
        <v>45376</v>
      </c>
      <c r="K103" s="1" t="s">
        <v>33</v>
      </c>
      <c r="L103" t="s">
        <v>621</v>
      </c>
      <c r="M103" t="s">
        <v>72</v>
      </c>
      <c r="N103" s="2">
        <v>23504504.370000001</v>
      </c>
      <c r="P103" s="6" t="s">
        <v>36</v>
      </c>
      <c r="Q103" t="s">
        <v>37</v>
      </c>
      <c r="R103" t="s">
        <v>48</v>
      </c>
      <c r="S103" s="9">
        <v>5892.33</v>
      </c>
      <c r="T103" s="9">
        <v>3989</v>
      </c>
      <c r="U103" s="9">
        <v>23504504.370000001</v>
      </c>
      <c r="V103" s="6" t="s">
        <v>39</v>
      </c>
      <c r="W103" t="s">
        <v>40</v>
      </c>
      <c r="AA103" s="6">
        <v>2024</v>
      </c>
      <c r="AB103" s="1">
        <v>45657</v>
      </c>
    </row>
    <row r="104" spans="1:28" x14ac:dyDescent="0.3">
      <c r="A104" t="s">
        <v>622</v>
      </c>
      <c r="B104" s="6" t="s">
        <v>623</v>
      </c>
      <c r="C104" s="6" t="s">
        <v>164</v>
      </c>
      <c r="D104">
        <v>7734115329</v>
      </c>
      <c r="E104">
        <v>773401001</v>
      </c>
      <c r="F104" t="s">
        <v>94</v>
      </c>
      <c r="G104" t="s">
        <v>624</v>
      </c>
      <c r="H104" s="1">
        <v>45371</v>
      </c>
      <c r="I104" t="s">
        <v>625</v>
      </c>
      <c r="J104" s="8">
        <v>45376</v>
      </c>
      <c r="K104" s="1" t="s">
        <v>33</v>
      </c>
      <c r="L104" t="s">
        <v>626</v>
      </c>
      <c r="M104" t="s">
        <v>627</v>
      </c>
      <c r="N104" s="2">
        <v>199500</v>
      </c>
      <c r="O104" t="s">
        <v>273</v>
      </c>
      <c r="P104" s="6" t="s">
        <v>36</v>
      </c>
      <c r="Q104" t="s">
        <v>37</v>
      </c>
      <c r="R104" t="s">
        <v>240</v>
      </c>
      <c r="S104" s="9">
        <v>5700</v>
      </c>
      <c r="T104" s="9">
        <v>35</v>
      </c>
      <c r="U104" s="9">
        <v>199500</v>
      </c>
      <c r="V104" s="6" t="s">
        <v>90</v>
      </c>
      <c r="W104" t="s">
        <v>59</v>
      </c>
      <c r="X104">
        <v>5259153331</v>
      </c>
      <c r="Y104">
        <v>525901001</v>
      </c>
      <c r="Z104" s="3">
        <v>45569.263888888891</v>
      </c>
      <c r="AA104" s="6">
        <v>2024</v>
      </c>
      <c r="AB104" s="1">
        <v>45838</v>
      </c>
    </row>
    <row r="105" spans="1:28" x14ac:dyDescent="0.3">
      <c r="A105" t="s">
        <v>628</v>
      </c>
      <c r="B105" s="6" t="s">
        <v>220</v>
      </c>
      <c r="C105" s="6" t="s">
        <v>221</v>
      </c>
      <c r="D105">
        <v>5024068656</v>
      </c>
      <c r="E105">
        <v>502401001</v>
      </c>
      <c r="F105" t="s">
        <v>52</v>
      </c>
      <c r="G105" t="s">
        <v>629</v>
      </c>
      <c r="H105" s="1">
        <v>45363</v>
      </c>
      <c r="I105" t="s">
        <v>630</v>
      </c>
      <c r="J105" s="8">
        <v>45376</v>
      </c>
      <c r="K105" s="1" t="s">
        <v>33</v>
      </c>
      <c r="L105" t="s">
        <v>629</v>
      </c>
      <c r="M105" t="s">
        <v>631</v>
      </c>
      <c r="N105" s="2">
        <v>46798307.399999999</v>
      </c>
      <c r="O105" t="s">
        <v>73</v>
      </c>
      <c r="P105" s="6" t="s">
        <v>36</v>
      </c>
      <c r="Q105" t="s">
        <v>37</v>
      </c>
      <c r="R105" t="s">
        <v>240</v>
      </c>
      <c r="S105" s="9">
        <v>5989.8</v>
      </c>
      <c r="T105" s="9">
        <v>7813</v>
      </c>
      <c r="U105" s="9">
        <v>46798307.399999999</v>
      </c>
      <c r="V105" s="6" t="s">
        <v>128</v>
      </c>
      <c r="W105" t="s">
        <v>129</v>
      </c>
      <c r="X105">
        <v>274110679</v>
      </c>
      <c r="Y105">
        <v>500801001</v>
      </c>
      <c r="Z105" s="3">
        <v>45398.439583333333</v>
      </c>
      <c r="AA105" s="6">
        <v>2024</v>
      </c>
      <c r="AB105" s="1">
        <v>45439</v>
      </c>
    </row>
    <row r="106" spans="1:28" x14ac:dyDescent="0.3">
      <c r="A106" t="s">
        <v>632</v>
      </c>
      <c r="B106" s="6" t="s">
        <v>633</v>
      </c>
      <c r="C106" s="6" t="s">
        <v>634</v>
      </c>
      <c r="D106">
        <v>5321028960</v>
      </c>
      <c r="E106">
        <v>532101001</v>
      </c>
      <c r="F106" t="s">
        <v>52</v>
      </c>
      <c r="G106" t="s">
        <v>635</v>
      </c>
      <c r="H106" s="1">
        <v>45364</v>
      </c>
      <c r="I106" t="s">
        <v>636</v>
      </c>
      <c r="J106" s="8">
        <v>45376</v>
      </c>
      <c r="K106" s="1" t="s">
        <v>33</v>
      </c>
      <c r="L106" t="s">
        <v>635</v>
      </c>
      <c r="M106" t="s">
        <v>637</v>
      </c>
      <c r="N106" s="2">
        <v>2380000</v>
      </c>
      <c r="O106" t="s">
        <v>73</v>
      </c>
      <c r="P106" s="6" t="s">
        <v>36</v>
      </c>
      <c r="Q106" t="s">
        <v>37</v>
      </c>
      <c r="R106" t="s">
        <v>66</v>
      </c>
      <c r="S106" s="9">
        <v>5950</v>
      </c>
      <c r="T106" s="9">
        <v>400</v>
      </c>
      <c r="U106" s="9">
        <v>2380000</v>
      </c>
      <c r="V106" s="6" t="s">
        <v>39</v>
      </c>
      <c r="W106" t="s">
        <v>40</v>
      </c>
      <c r="X106">
        <v>7810687137</v>
      </c>
      <c r="Y106">
        <v>781401001</v>
      </c>
      <c r="Z106" s="3">
        <v>45484.594444444447</v>
      </c>
      <c r="AA106" s="6">
        <v>2024</v>
      </c>
      <c r="AB106" s="1">
        <v>45401</v>
      </c>
    </row>
    <row r="107" spans="1:28" x14ac:dyDescent="0.3">
      <c r="A107" t="s">
        <v>638</v>
      </c>
      <c r="B107" s="6" t="s">
        <v>639</v>
      </c>
      <c r="C107" s="6" t="s">
        <v>640</v>
      </c>
      <c r="D107">
        <v>6905044950</v>
      </c>
      <c r="E107">
        <v>695001001</v>
      </c>
      <c r="F107" t="s">
        <v>52</v>
      </c>
      <c r="G107" t="s">
        <v>641</v>
      </c>
      <c r="H107" s="1">
        <v>45364</v>
      </c>
      <c r="I107" t="s">
        <v>642</v>
      </c>
      <c r="J107" s="8">
        <v>45376</v>
      </c>
      <c r="K107" s="1" t="s">
        <v>33</v>
      </c>
      <c r="L107" t="s">
        <v>643</v>
      </c>
      <c r="M107" t="s">
        <v>644</v>
      </c>
      <c r="N107" s="2">
        <v>81810000</v>
      </c>
      <c r="O107" t="s">
        <v>273</v>
      </c>
      <c r="P107" s="6" t="s">
        <v>36</v>
      </c>
      <c r="Q107" t="s">
        <v>37</v>
      </c>
      <c r="R107" t="s">
        <v>240</v>
      </c>
      <c r="S107" s="9">
        <v>6000</v>
      </c>
      <c r="T107" s="9">
        <v>13635</v>
      </c>
      <c r="U107" s="9">
        <v>81810000</v>
      </c>
      <c r="V107" s="6" t="s">
        <v>58</v>
      </c>
      <c r="W107" t="s">
        <v>59</v>
      </c>
      <c r="X107">
        <v>5262222144</v>
      </c>
      <c r="Y107">
        <v>526201001</v>
      </c>
      <c r="Z107" s="3">
        <v>45433.715277777781</v>
      </c>
      <c r="AA107" s="6">
        <v>2024</v>
      </c>
      <c r="AB107" s="1">
        <v>45474</v>
      </c>
    </row>
    <row r="108" spans="1:28" x14ac:dyDescent="0.3">
      <c r="A108" t="s">
        <v>645</v>
      </c>
      <c r="B108" s="6" t="s">
        <v>139</v>
      </c>
      <c r="C108" s="6" t="s">
        <v>140</v>
      </c>
      <c r="D108">
        <v>3444198220</v>
      </c>
      <c r="E108">
        <v>346001001</v>
      </c>
      <c r="F108" t="s">
        <v>52</v>
      </c>
      <c r="G108" t="s">
        <v>646</v>
      </c>
      <c r="H108" s="1">
        <v>45363</v>
      </c>
      <c r="I108" t="s">
        <v>647</v>
      </c>
      <c r="J108" s="8">
        <v>45376</v>
      </c>
      <c r="K108" s="1" t="s">
        <v>33</v>
      </c>
      <c r="L108">
        <v>240266</v>
      </c>
      <c r="M108" t="s">
        <v>648</v>
      </c>
      <c r="N108" s="2">
        <v>70924010</v>
      </c>
      <c r="O108" t="s">
        <v>649</v>
      </c>
      <c r="P108" s="6" t="s">
        <v>36</v>
      </c>
      <c r="Q108" t="s">
        <v>37</v>
      </c>
      <c r="R108" t="s">
        <v>240</v>
      </c>
      <c r="S108" s="9">
        <v>6010</v>
      </c>
      <c r="T108" s="9">
        <v>11801</v>
      </c>
      <c r="U108" s="9">
        <v>70924010</v>
      </c>
      <c r="V108" s="6" t="s">
        <v>145</v>
      </c>
      <c r="W108" t="s">
        <v>40</v>
      </c>
      <c r="X108">
        <v>5321132777</v>
      </c>
      <c r="Y108">
        <v>532101001</v>
      </c>
      <c r="Z108" s="3">
        <v>45393.686805555553</v>
      </c>
      <c r="AA108" s="6">
        <v>2024</v>
      </c>
      <c r="AB108" s="1">
        <v>45657</v>
      </c>
    </row>
    <row r="109" spans="1:28" x14ac:dyDescent="0.3">
      <c r="A109" t="s">
        <v>650</v>
      </c>
      <c r="B109" s="6" t="s">
        <v>651</v>
      </c>
      <c r="C109" s="6" t="s">
        <v>30</v>
      </c>
      <c r="D109">
        <v>3234014269</v>
      </c>
      <c r="E109">
        <v>325701001</v>
      </c>
      <c r="F109" t="s">
        <v>52</v>
      </c>
      <c r="G109" t="s">
        <v>652</v>
      </c>
      <c r="H109" s="1">
        <v>45364</v>
      </c>
      <c r="I109" t="s">
        <v>653</v>
      </c>
      <c r="J109" s="8">
        <v>45376</v>
      </c>
      <c r="K109" s="1" t="s">
        <v>33</v>
      </c>
      <c r="L109">
        <v>88</v>
      </c>
      <c r="M109" t="s">
        <v>654</v>
      </c>
      <c r="N109" s="2">
        <v>12856702.130000001</v>
      </c>
      <c r="O109" t="s">
        <v>655</v>
      </c>
      <c r="P109" s="6" t="s">
        <v>36</v>
      </c>
      <c r="Q109" t="s">
        <v>37</v>
      </c>
      <c r="R109" t="s">
        <v>48</v>
      </c>
      <c r="S109" s="9">
        <v>5979.86</v>
      </c>
      <c r="T109" s="9">
        <v>2149</v>
      </c>
      <c r="U109" s="9">
        <v>12850719.140000001</v>
      </c>
      <c r="V109" s="6" t="s">
        <v>39</v>
      </c>
      <c r="W109" t="s">
        <v>40</v>
      </c>
      <c r="X109">
        <v>7810687137</v>
      </c>
      <c r="Y109">
        <v>781401001</v>
      </c>
      <c r="Z109" s="3">
        <v>45393.569444444445</v>
      </c>
      <c r="AA109" s="6">
        <v>2024</v>
      </c>
      <c r="AB109" s="1">
        <v>45443</v>
      </c>
    </row>
    <row r="110" spans="1:28" x14ac:dyDescent="0.3">
      <c r="A110" t="s">
        <v>650</v>
      </c>
      <c r="B110" s="6" t="s">
        <v>651</v>
      </c>
      <c r="C110" s="6" t="s">
        <v>30</v>
      </c>
      <c r="D110">
        <v>3234014269</v>
      </c>
      <c r="E110">
        <v>325701001</v>
      </c>
      <c r="F110" t="s">
        <v>52</v>
      </c>
      <c r="G110" t="s">
        <v>652</v>
      </c>
      <c r="H110" s="1">
        <v>45364</v>
      </c>
      <c r="I110" t="s">
        <v>653</v>
      </c>
      <c r="J110" s="8">
        <v>45376</v>
      </c>
      <c r="K110" s="1" t="s">
        <v>33</v>
      </c>
      <c r="L110">
        <v>88</v>
      </c>
      <c r="M110" t="s">
        <v>654</v>
      </c>
      <c r="N110" s="2">
        <v>12856702.130000001</v>
      </c>
      <c r="O110" t="s">
        <v>655</v>
      </c>
      <c r="P110" s="6" t="s">
        <v>36</v>
      </c>
      <c r="Q110" t="s">
        <v>37</v>
      </c>
      <c r="R110" t="s">
        <v>48</v>
      </c>
      <c r="S110" s="9">
        <v>5982.99</v>
      </c>
      <c r="T110" s="9">
        <v>1</v>
      </c>
      <c r="U110" s="9">
        <v>5982.99</v>
      </c>
      <c r="V110" s="6" t="s">
        <v>39</v>
      </c>
      <c r="W110" t="s">
        <v>40</v>
      </c>
      <c r="X110">
        <v>7810687137</v>
      </c>
      <c r="Y110">
        <v>781401001</v>
      </c>
      <c r="Z110" s="3">
        <v>45393.569444444445</v>
      </c>
      <c r="AA110" s="6">
        <v>2024</v>
      </c>
      <c r="AB110" s="1">
        <v>45443</v>
      </c>
    </row>
    <row r="111" spans="1:28" x14ac:dyDescent="0.3">
      <c r="A111" t="s">
        <v>656</v>
      </c>
      <c r="B111" s="6" t="s">
        <v>657</v>
      </c>
      <c r="C111" s="6" t="s">
        <v>658</v>
      </c>
      <c r="D111">
        <v>3015068159</v>
      </c>
      <c r="E111">
        <v>301601001</v>
      </c>
      <c r="F111" t="s">
        <v>52</v>
      </c>
      <c r="G111" t="s">
        <v>659</v>
      </c>
      <c r="H111" s="1">
        <v>45366</v>
      </c>
      <c r="I111" t="s">
        <v>660</v>
      </c>
      <c r="J111" s="8">
        <v>45377</v>
      </c>
      <c r="K111" s="1" t="s">
        <v>33</v>
      </c>
      <c r="L111" t="s">
        <v>661</v>
      </c>
      <c r="M111" t="s">
        <v>662</v>
      </c>
      <c r="N111" s="2">
        <v>18420000</v>
      </c>
      <c r="O111" t="s">
        <v>663</v>
      </c>
      <c r="P111" s="6" t="s">
        <v>36</v>
      </c>
      <c r="Q111" t="s">
        <v>37</v>
      </c>
      <c r="R111" t="s">
        <v>66</v>
      </c>
      <c r="S111" s="9">
        <v>6140</v>
      </c>
      <c r="T111" s="9">
        <v>3000</v>
      </c>
      <c r="U111" s="9">
        <v>18420000</v>
      </c>
      <c r="V111" s="6" t="s">
        <v>39</v>
      </c>
      <c r="W111" t="s">
        <v>40</v>
      </c>
      <c r="X111">
        <v>7810687137</v>
      </c>
      <c r="Y111">
        <v>781401001</v>
      </c>
      <c r="Z111" s="3">
        <v>45400.93472222222</v>
      </c>
      <c r="AA111" s="6">
        <v>2024</v>
      </c>
      <c r="AB111" s="1">
        <v>45443</v>
      </c>
    </row>
    <row r="112" spans="1:28" x14ac:dyDescent="0.3">
      <c r="A112" t="s">
        <v>664</v>
      </c>
      <c r="B112" s="6" t="s">
        <v>665</v>
      </c>
      <c r="C112" s="6" t="s">
        <v>666</v>
      </c>
      <c r="D112">
        <v>5753061308</v>
      </c>
      <c r="E112">
        <v>575301001</v>
      </c>
      <c r="F112" t="s">
        <v>52</v>
      </c>
      <c r="G112" t="s">
        <v>667</v>
      </c>
      <c r="H112" s="1">
        <v>45366</v>
      </c>
      <c r="I112" t="s">
        <v>668</v>
      </c>
      <c r="J112" s="8">
        <v>45377</v>
      </c>
      <c r="K112" s="1" t="s">
        <v>33</v>
      </c>
      <c r="L112" t="s">
        <v>669</v>
      </c>
      <c r="M112" t="s">
        <v>670</v>
      </c>
      <c r="N112" s="2">
        <v>35952000</v>
      </c>
      <c r="O112" t="s">
        <v>273</v>
      </c>
      <c r="P112" s="6" t="s">
        <v>36</v>
      </c>
      <c r="Q112" t="s">
        <v>37</v>
      </c>
      <c r="R112" t="s">
        <v>240</v>
      </c>
      <c r="S112" s="9">
        <v>6000</v>
      </c>
      <c r="T112" s="9">
        <v>5992</v>
      </c>
      <c r="U112" s="9">
        <v>35952000</v>
      </c>
      <c r="V112" s="6" t="s">
        <v>58</v>
      </c>
      <c r="W112" t="s">
        <v>59</v>
      </c>
      <c r="X112">
        <v>5262222144</v>
      </c>
      <c r="Y112">
        <v>526201001</v>
      </c>
      <c r="Z112" s="3">
        <v>45394.499305555553</v>
      </c>
      <c r="AA112" s="6">
        <v>2024</v>
      </c>
      <c r="AB112" s="1">
        <v>45427</v>
      </c>
    </row>
    <row r="113" spans="1:28" x14ac:dyDescent="0.3">
      <c r="A113" t="s">
        <v>671</v>
      </c>
      <c r="B113" s="6" t="s">
        <v>672</v>
      </c>
      <c r="C113" s="6" t="s">
        <v>673</v>
      </c>
      <c r="D113">
        <v>6455046666</v>
      </c>
      <c r="E113">
        <v>645501001</v>
      </c>
      <c r="F113" t="s">
        <v>52</v>
      </c>
      <c r="G113" t="s">
        <v>674</v>
      </c>
      <c r="H113" s="1">
        <v>45362</v>
      </c>
      <c r="I113" t="s">
        <v>675</v>
      </c>
      <c r="J113" s="8">
        <v>45377</v>
      </c>
      <c r="K113" s="1" t="s">
        <v>33</v>
      </c>
      <c r="L113" t="s">
        <v>674</v>
      </c>
      <c r="M113" t="s">
        <v>676</v>
      </c>
      <c r="N113" s="2">
        <v>56986098.030000001</v>
      </c>
      <c r="O113" t="s">
        <v>677</v>
      </c>
      <c r="P113" s="6" t="s">
        <v>464</v>
      </c>
      <c r="Q113" t="s">
        <v>37</v>
      </c>
      <c r="R113" t="s">
        <v>66</v>
      </c>
      <c r="S113" s="9">
        <v>4298.57</v>
      </c>
      <c r="T113" s="9">
        <v>8140</v>
      </c>
      <c r="U113" s="9">
        <v>34990359.799999997</v>
      </c>
      <c r="V113" s="6" t="s">
        <v>678</v>
      </c>
      <c r="W113" t="s">
        <v>679</v>
      </c>
      <c r="X113">
        <v>6454070874</v>
      </c>
      <c r="Y113">
        <v>645001001</v>
      </c>
      <c r="Z113" s="3">
        <v>45573.486111111109</v>
      </c>
      <c r="AA113" s="6">
        <v>2024</v>
      </c>
      <c r="AB113" s="1">
        <v>45594</v>
      </c>
    </row>
    <row r="114" spans="1:28" x14ac:dyDescent="0.3">
      <c r="A114" t="s">
        <v>671</v>
      </c>
      <c r="B114" s="6" t="s">
        <v>672</v>
      </c>
      <c r="C114" s="6" t="s">
        <v>673</v>
      </c>
      <c r="D114">
        <v>6455046666</v>
      </c>
      <c r="E114">
        <v>645501001</v>
      </c>
      <c r="F114" t="s">
        <v>52</v>
      </c>
      <c r="G114" t="s">
        <v>674</v>
      </c>
      <c r="H114" s="1">
        <v>45362</v>
      </c>
      <c r="I114" t="s">
        <v>675</v>
      </c>
      <c r="J114" s="8">
        <v>45377</v>
      </c>
      <c r="K114" s="1" t="s">
        <v>33</v>
      </c>
      <c r="L114" t="s">
        <v>674</v>
      </c>
      <c r="M114" t="s">
        <v>676</v>
      </c>
      <c r="N114" s="2">
        <v>56986098.030000001</v>
      </c>
      <c r="O114" t="s">
        <v>677</v>
      </c>
      <c r="P114" s="6" t="s">
        <v>464</v>
      </c>
      <c r="Q114" t="s">
        <v>37</v>
      </c>
      <c r="R114" t="s">
        <v>66</v>
      </c>
      <c r="S114" s="9">
        <v>4298.57</v>
      </c>
      <c r="T114" s="9">
        <v>5116</v>
      </c>
      <c r="U114" s="9">
        <v>21991484.120000001</v>
      </c>
      <c r="V114" s="6" t="s">
        <v>678</v>
      </c>
      <c r="W114" t="s">
        <v>679</v>
      </c>
      <c r="X114">
        <v>6454070874</v>
      </c>
      <c r="Y114">
        <v>645001001</v>
      </c>
      <c r="Z114" s="3">
        <v>45573.486111111109</v>
      </c>
      <c r="AA114" s="6">
        <v>2024</v>
      </c>
      <c r="AB114" s="1">
        <v>45594</v>
      </c>
    </row>
    <row r="115" spans="1:28" x14ac:dyDescent="0.3">
      <c r="A115" t="s">
        <v>671</v>
      </c>
      <c r="B115" s="6" t="s">
        <v>672</v>
      </c>
      <c r="C115" s="6" t="s">
        <v>673</v>
      </c>
      <c r="D115">
        <v>6455046666</v>
      </c>
      <c r="E115">
        <v>645501001</v>
      </c>
      <c r="F115" t="s">
        <v>52</v>
      </c>
      <c r="G115" t="s">
        <v>674</v>
      </c>
      <c r="H115" s="1">
        <v>45362</v>
      </c>
      <c r="I115" t="s">
        <v>675</v>
      </c>
      <c r="J115" s="8">
        <v>45377</v>
      </c>
      <c r="K115" s="1" t="s">
        <v>33</v>
      </c>
      <c r="L115" t="s">
        <v>674</v>
      </c>
      <c r="M115" t="s">
        <v>676</v>
      </c>
      <c r="N115" s="2">
        <v>56986098.030000001</v>
      </c>
      <c r="O115" t="s">
        <v>677</v>
      </c>
      <c r="P115" s="6" t="s">
        <v>464</v>
      </c>
      <c r="Q115" t="s">
        <v>37</v>
      </c>
      <c r="R115" t="s">
        <v>66</v>
      </c>
      <c r="S115" s="9">
        <v>4254.1099999999997</v>
      </c>
      <c r="T115" s="9">
        <v>1</v>
      </c>
      <c r="U115" s="9">
        <v>4254.1099999999997</v>
      </c>
      <c r="V115" s="6" t="s">
        <v>678</v>
      </c>
      <c r="W115" t="s">
        <v>679</v>
      </c>
      <c r="X115">
        <v>6454070874</v>
      </c>
      <c r="Y115">
        <v>645001001</v>
      </c>
      <c r="Z115" s="3">
        <v>45573.486111111109</v>
      </c>
      <c r="AA115" s="6">
        <v>2024</v>
      </c>
      <c r="AB115" s="1">
        <v>45594</v>
      </c>
    </row>
    <row r="116" spans="1:28" x14ac:dyDescent="0.3">
      <c r="A116" t="s">
        <v>680</v>
      </c>
      <c r="B116" s="6" t="s">
        <v>633</v>
      </c>
      <c r="C116" s="6" t="s">
        <v>634</v>
      </c>
      <c r="D116">
        <v>5321028960</v>
      </c>
      <c r="E116">
        <v>532101001</v>
      </c>
      <c r="F116" t="s">
        <v>52</v>
      </c>
      <c r="G116" t="s">
        <v>681</v>
      </c>
      <c r="H116" s="1">
        <v>45366</v>
      </c>
      <c r="I116" t="s">
        <v>682</v>
      </c>
      <c r="J116" s="8">
        <v>45377</v>
      </c>
      <c r="K116" s="1" t="s">
        <v>33</v>
      </c>
      <c r="L116" t="s">
        <v>681</v>
      </c>
      <c r="M116" t="s">
        <v>637</v>
      </c>
      <c r="N116" s="2">
        <v>16362500</v>
      </c>
      <c r="O116" t="s">
        <v>683</v>
      </c>
      <c r="P116" s="6" t="s">
        <v>36</v>
      </c>
      <c r="Q116" t="s">
        <v>37</v>
      </c>
      <c r="R116" t="s">
        <v>66</v>
      </c>
      <c r="S116" s="9">
        <v>5950</v>
      </c>
      <c r="T116" s="9">
        <v>2750</v>
      </c>
      <c r="U116" s="9">
        <v>16362500</v>
      </c>
      <c r="V116" s="6" t="s">
        <v>39</v>
      </c>
      <c r="W116" t="s">
        <v>40</v>
      </c>
      <c r="X116">
        <v>7810687137</v>
      </c>
      <c r="Y116">
        <v>781401001</v>
      </c>
      <c r="Z116" s="3">
        <v>45666.625694444447</v>
      </c>
      <c r="AA116" s="6">
        <v>2024</v>
      </c>
      <c r="AB116" s="1">
        <v>45616</v>
      </c>
    </row>
    <row r="117" spans="1:28" x14ac:dyDescent="0.3">
      <c r="A117" t="s">
        <v>684</v>
      </c>
      <c r="B117" s="6" t="s">
        <v>651</v>
      </c>
      <c r="C117" s="6" t="s">
        <v>30</v>
      </c>
      <c r="D117">
        <v>3234014269</v>
      </c>
      <c r="E117">
        <v>325701001</v>
      </c>
      <c r="F117" t="s">
        <v>94</v>
      </c>
      <c r="G117" t="s">
        <v>685</v>
      </c>
      <c r="H117" s="1">
        <v>45372</v>
      </c>
      <c r="I117" t="s">
        <v>686</v>
      </c>
      <c r="J117" s="8">
        <v>45377</v>
      </c>
      <c r="K117" s="1" t="s">
        <v>33</v>
      </c>
      <c r="L117">
        <v>85</v>
      </c>
      <c r="M117" t="s">
        <v>687</v>
      </c>
      <c r="N117" s="2">
        <v>286382.98</v>
      </c>
      <c r="O117" t="s">
        <v>688</v>
      </c>
      <c r="P117" s="6" t="s">
        <v>36</v>
      </c>
      <c r="Q117" t="s">
        <v>37</v>
      </c>
      <c r="R117" t="s">
        <v>48</v>
      </c>
      <c r="S117" s="9">
        <v>5968</v>
      </c>
      <c r="T117" s="9">
        <v>47</v>
      </c>
      <c r="U117" s="9">
        <v>280496</v>
      </c>
      <c r="V117" s="6" t="s">
        <v>39</v>
      </c>
      <c r="W117" t="s">
        <v>40</v>
      </c>
      <c r="X117">
        <v>7810687137</v>
      </c>
      <c r="Y117">
        <v>781401001</v>
      </c>
      <c r="Z117" s="3">
        <v>45408.518750000003</v>
      </c>
      <c r="AA117" s="6">
        <v>2024</v>
      </c>
      <c r="AB117" s="1">
        <v>45443</v>
      </c>
    </row>
    <row r="118" spans="1:28" x14ac:dyDescent="0.3">
      <c r="A118" t="s">
        <v>684</v>
      </c>
      <c r="B118" s="6" t="s">
        <v>651</v>
      </c>
      <c r="C118" s="6" t="s">
        <v>30</v>
      </c>
      <c r="D118">
        <v>3234014269</v>
      </c>
      <c r="E118">
        <v>325701001</v>
      </c>
      <c r="F118" t="s">
        <v>94</v>
      </c>
      <c r="G118" t="s">
        <v>685</v>
      </c>
      <c r="H118" s="1">
        <v>45372</v>
      </c>
      <c r="I118" t="s">
        <v>686</v>
      </c>
      <c r="J118" s="8">
        <v>45377</v>
      </c>
      <c r="K118" s="1" t="s">
        <v>33</v>
      </c>
      <c r="L118">
        <v>85</v>
      </c>
      <c r="M118" t="s">
        <v>687</v>
      </c>
      <c r="N118" s="2">
        <v>286382.98</v>
      </c>
      <c r="O118" t="s">
        <v>688</v>
      </c>
      <c r="P118" s="6" t="s">
        <v>36</v>
      </c>
      <c r="Q118" t="s">
        <v>37</v>
      </c>
      <c r="R118" t="s">
        <v>48</v>
      </c>
      <c r="S118" s="9">
        <v>5886.98</v>
      </c>
      <c r="T118" s="9">
        <v>1</v>
      </c>
      <c r="U118" s="9">
        <v>5886.98</v>
      </c>
      <c r="V118" s="6" t="s">
        <v>39</v>
      </c>
      <c r="W118" t="s">
        <v>40</v>
      </c>
      <c r="X118">
        <v>7810687137</v>
      </c>
      <c r="Y118">
        <v>781401001</v>
      </c>
      <c r="Z118" s="3">
        <v>45408.518750000003</v>
      </c>
      <c r="AA118" s="6">
        <v>2024</v>
      </c>
      <c r="AB118" s="1">
        <v>45443</v>
      </c>
    </row>
    <row r="119" spans="1:28" x14ac:dyDescent="0.3">
      <c r="A119" t="s">
        <v>689</v>
      </c>
      <c r="B119" s="6" t="s">
        <v>690</v>
      </c>
      <c r="C119" s="6" t="s">
        <v>285</v>
      </c>
      <c r="D119">
        <v>3301003064</v>
      </c>
      <c r="E119">
        <v>330101001</v>
      </c>
      <c r="F119" t="s">
        <v>94</v>
      </c>
      <c r="G119" t="s">
        <v>691</v>
      </c>
      <c r="H119" s="1">
        <v>45372</v>
      </c>
      <c r="I119" t="s">
        <v>692</v>
      </c>
      <c r="J119" s="8">
        <v>45377</v>
      </c>
      <c r="K119" s="1" t="s">
        <v>33</v>
      </c>
      <c r="L119">
        <v>57</v>
      </c>
      <c r="M119" t="s">
        <v>693</v>
      </c>
      <c r="N119" s="2">
        <v>10728000</v>
      </c>
      <c r="O119" t="s">
        <v>694</v>
      </c>
      <c r="P119" s="6" t="s">
        <v>36</v>
      </c>
      <c r="Q119" t="s">
        <v>37</v>
      </c>
      <c r="R119" t="s">
        <v>240</v>
      </c>
      <c r="S119" s="9">
        <v>5960</v>
      </c>
      <c r="T119" s="9">
        <v>1790</v>
      </c>
      <c r="U119" s="9">
        <v>10668400</v>
      </c>
      <c r="V119" s="6" t="s">
        <v>128</v>
      </c>
      <c r="W119" t="s">
        <v>129</v>
      </c>
      <c r="X119">
        <v>274110679</v>
      </c>
      <c r="Y119">
        <v>500801001</v>
      </c>
      <c r="Z119" s="3">
        <v>45463.425694444442</v>
      </c>
      <c r="AA119" s="6">
        <v>2024</v>
      </c>
      <c r="AB119" s="1">
        <v>45473</v>
      </c>
    </row>
    <row r="120" spans="1:28" x14ac:dyDescent="0.3">
      <c r="A120" t="s">
        <v>689</v>
      </c>
      <c r="B120" s="6" t="s">
        <v>690</v>
      </c>
      <c r="C120" s="6" t="s">
        <v>285</v>
      </c>
      <c r="D120">
        <v>3301003064</v>
      </c>
      <c r="E120">
        <v>330101001</v>
      </c>
      <c r="F120" t="s">
        <v>94</v>
      </c>
      <c r="G120" t="s">
        <v>691</v>
      </c>
      <c r="H120" s="1">
        <v>45372</v>
      </c>
      <c r="I120" t="s">
        <v>692</v>
      </c>
      <c r="J120" s="8">
        <v>45377</v>
      </c>
      <c r="K120" s="1" t="s">
        <v>33</v>
      </c>
      <c r="L120">
        <v>57</v>
      </c>
      <c r="M120" t="s">
        <v>693</v>
      </c>
      <c r="N120" s="2">
        <v>10728000</v>
      </c>
      <c r="O120" t="s">
        <v>695</v>
      </c>
      <c r="P120" s="6" t="s">
        <v>36</v>
      </c>
      <c r="Q120" t="s">
        <v>37</v>
      </c>
      <c r="R120" t="s">
        <v>66</v>
      </c>
      <c r="S120" s="9">
        <v>5960</v>
      </c>
      <c r="T120" s="9">
        <v>10</v>
      </c>
      <c r="U120" s="9">
        <v>59600</v>
      </c>
      <c r="V120" s="6" t="s">
        <v>128</v>
      </c>
      <c r="W120" t="s">
        <v>129</v>
      </c>
      <c r="X120">
        <v>274110679</v>
      </c>
      <c r="Y120">
        <v>500801001</v>
      </c>
      <c r="Z120" s="3">
        <v>45463.425694444442</v>
      </c>
      <c r="AA120" s="6">
        <v>2024</v>
      </c>
      <c r="AB120" s="1">
        <v>45473</v>
      </c>
    </row>
    <row r="121" spans="1:28" x14ac:dyDescent="0.3">
      <c r="A121" t="s">
        <v>696</v>
      </c>
      <c r="B121" s="6" t="s">
        <v>697</v>
      </c>
      <c r="C121" s="6" t="s">
        <v>502</v>
      </c>
      <c r="D121">
        <v>6330019628</v>
      </c>
      <c r="E121">
        <v>633001001</v>
      </c>
      <c r="F121" t="s">
        <v>149</v>
      </c>
      <c r="G121" t="s">
        <v>698</v>
      </c>
      <c r="H121" s="1">
        <v>45373</v>
      </c>
      <c r="I121" t="s">
        <v>699</v>
      </c>
      <c r="J121" s="8">
        <v>45378</v>
      </c>
      <c r="K121" s="1" t="s">
        <v>33</v>
      </c>
      <c r="L121" t="s">
        <v>700</v>
      </c>
      <c r="M121" t="s">
        <v>273</v>
      </c>
      <c r="N121" s="2">
        <v>504000</v>
      </c>
      <c r="O121" t="s">
        <v>701</v>
      </c>
      <c r="P121" s="6" t="s">
        <v>36</v>
      </c>
      <c r="Q121" t="s">
        <v>37</v>
      </c>
      <c r="R121" t="s">
        <v>240</v>
      </c>
      <c r="S121" s="9">
        <v>6000</v>
      </c>
      <c r="T121" s="9">
        <v>84</v>
      </c>
      <c r="U121" s="9">
        <v>504000</v>
      </c>
      <c r="V121" s="6" t="s">
        <v>58</v>
      </c>
      <c r="W121" t="s">
        <v>59</v>
      </c>
      <c r="X121">
        <v>5262222144</v>
      </c>
      <c r="Y121">
        <v>526201001</v>
      </c>
      <c r="Z121" s="3">
        <v>45400.540972222225</v>
      </c>
      <c r="AA121" s="6">
        <v>2024</v>
      </c>
      <c r="AB121" s="1">
        <v>45473</v>
      </c>
    </row>
    <row r="122" spans="1:28" x14ac:dyDescent="0.3">
      <c r="A122" t="s">
        <v>702</v>
      </c>
      <c r="B122" s="6" t="s">
        <v>703</v>
      </c>
      <c r="C122" s="6" t="s">
        <v>704</v>
      </c>
      <c r="D122">
        <v>8709908140</v>
      </c>
      <c r="E122">
        <v>870901001</v>
      </c>
      <c r="F122" t="s">
        <v>52</v>
      </c>
      <c r="G122" t="s">
        <v>705</v>
      </c>
      <c r="H122" s="1">
        <v>45363</v>
      </c>
      <c r="I122" t="s">
        <v>706</v>
      </c>
      <c r="J122" s="8">
        <v>45378</v>
      </c>
      <c r="K122" s="1" t="s">
        <v>33</v>
      </c>
      <c r="L122" t="s">
        <v>705</v>
      </c>
      <c r="M122" t="s">
        <v>416</v>
      </c>
      <c r="N122" s="2">
        <v>2760000</v>
      </c>
      <c r="O122" t="s">
        <v>707</v>
      </c>
      <c r="P122" s="6" t="s">
        <v>36</v>
      </c>
      <c r="Q122" t="s">
        <v>37</v>
      </c>
      <c r="R122" t="s">
        <v>48</v>
      </c>
      <c r="S122" s="9">
        <v>6000</v>
      </c>
      <c r="T122" s="9">
        <v>342</v>
      </c>
      <c r="U122" s="9">
        <v>2052000</v>
      </c>
      <c r="V122" s="6" t="s">
        <v>39</v>
      </c>
      <c r="W122" t="s">
        <v>40</v>
      </c>
      <c r="X122">
        <v>7810687137</v>
      </c>
      <c r="Y122">
        <v>781401001</v>
      </c>
      <c r="Z122" s="3">
        <v>45643.068055555559</v>
      </c>
      <c r="AA122" s="6">
        <v>2024</v>
      </c>
      <c r="AB122" s="1">
        <v>45469</v>
      </c>
    </row>
    <row r="123" spans="1:28" x14ac:dyDescent="0.3">
      <c r="A123" t="s">
        <v>702</v>
      </c>
      <c r="B123" s="6" t="s">
        <v>703</v>
      </c>
      <c r="C123" s="6" t="s">
        <v>704</v>
      </c>
      <c r="D123">
        <v>8709908140</v>
      </c>
      <c r="E123">
        <v>870901001</v>
      </c>
      <c r="F123" t="s">
        <v>52</v>
      </c>
      <c r="G123" t="s">
        <v>705</v>
      </c>
      <c r="H123" s="1">
        <v>45363</v>
      </c>
      <c r="I123" t="s">
        <v>706</v>
      </c>
      <c r="J123" s="8">
        <v>45378</v>
      </c>
      <c r="K123" s="1" t="s">
        <v>33</v>
      </c>
      <c r="L123" t="s">
        <v>705</v>
      </c>
      <c r="M123" t="s">
        <v>416</v>
      </c>
      <c r="N123" s="2">
        <v>2760000</v>
      </c>
      <c r="O123" t="s">
        <v>707</v>
      </c>
      <c r="P123" s="6" t="s">
        <v>36</v>
      </c>
      <c r="Q123" t="s">
        <v>37</v>
      </c>
      <c r="R123" t="s">
        <v>48</v>
      </c>
      <c r="S123" s="9">
        <v>6000</v>
      </c>
      <c r="T123" s="9">
        <v>118</v>
      </c>
      <c r="U123" s="9">
        <v>708000</v>
      </c>
      <c r="V123" s="6" t="s">
        <v>39</v>
      </c>
      <c r="W123" t="s">
        <v>40</v>
      </c>
      <c r="X123">
        <v>7810687137</v>
      </c>
      <c r="Y123">
        <v>781401001</v>
      </c>
      <c r="Z123" s="3">
        <v>45643.068055555559</v>
      </c>
      <c r="AA123" s="6">
        <v>2024</v>
      </c>
      <c r="AB123" s="1">
        <v>45469</v>
      </c>
    </row>
    <row r="124" spans="1:28" x14ac:dyDescent="0.3">
      <c r="A124" t="s">
        <v>708</v>
      </c>
      <c r="B124" s="6" t="s">
        <v>709</v>
      </c>
      <c r="C124" s="6" t="s">
        <v>453</v>
      </c>
      <c r="D124">
        <v>2225171626</v>
      </c>
      <c r="E124">
        <v>222501001</v>
      </c>
      <c r="F124" t="s">
        <v>52</v>
      </c>
      <c r="G124" t="s">
        <v>710</v>
      </c>
      <c r="H124" s="1">
        <v>45369</v>
      </c>
      <c r="I124" t="s">
        <v>711</v>
      </c>
      <c r="J124" s="8">
        <v>45380</v>
      </c>
      <c r="K124" s="1" t="s">
        <v>33</v>
      </c>
      <c r="L124" t="s">
        <v>712</v>
      </c>
      <c r="M124" t="s">
        <v>457</v>
      </c>
      <c r="N124" s="2">
        <v>240000</v>
      </c>
      <c r="O124" t="s">
        <v>713</v>
      </c>
      <c r="P124" s="6" t="s">
        <v>36</v>
      </c>
      <c r="Q124" t="s">
        <v>37</v>
      </c>
      <c r="R124" t="s">
        <v>240</v>
      </c>
      <c r="S124" s="9">
        <v>6000</v>
      </c>
      <c r="T124" s="9">
        <v>40</v>
      </c>
      <c r="U124" s="9">
        <v>240000</v>
      </c>
      <c r="V124" s="6" t="s">
        <v>90</v>
      </c>
      <c r="W124" t="s">
        <v>59</v>
      </c>
      <c r="X124">
        <v>5259153331</v>
      </c>
      <c r="Y124">
        <v>525901001</v>
      </c>
      <c r="Z124" s="3">
        <v>45621.526388888888</v>
      </c>
      <c r="AA124" s="6">
        <v>2024</v>
      </c>
      <c r="AB124" s="1">
        <v>45716</v>
      </c>
    </row>
    <row r="125" spans="1:28" x14ac:dyDescent="0.3">
      <c r="A125" t="s">
        <v>714</v>
      </c>
      <c r="B125" s="6" t="s">
        <v>361</v>
      </c>
      <c r="C125" s="6" t="s">
        <v>164</v>
      </c>
      <c r="D125">
        <v>7714338609</v>
      </c>
      <c r="E125">
        <v>771401001</v>
      </c>
      <c r="F125" t="s">
        <v>94</v>
      </c>
      <c r="G125" t="s">
        <v>715</v>
      </c>
      <c r="H125" s="1">
        <v>45377</v>
      </c>
      <c r="I125" t="s">
        <v>716</v>
      </c>
      <c r="J125" s="8">
        <v>45380</v>
      </c>
      <c r="K125" s="1" t="s">
        <v>33</v>
      </c>
      <c r="L125" t="s">
        <v>717</v>
      </c>
      <c r="M125" t="s">
        <v>718</v>
      </c>
      <c r="N125" s="2">
        <v>5550</v>
      </c>
      <c r="O125" t="s">
        <v>719</v>
      </c>
      <c r="P125" s="6" t="s">
        <v>36</v>
      </c>
      <c r="Q125" t="s">
        <v>37</v>
      </c>
      <c r="R125" t="s">
        <v>66</v>
      </c>
      <c r="S125" s="9">
        <v>5550</v>
      </c>
      <c r="T125" s="9">
        <v>1</v>
      </c>
      <c r="U125" s="9">
        <v>5550</v>
      </c>
      <c r="V125" s="6" t="s">
        <v>128</v>
      </c>
      <c r="W125" t="s">
        <v>129</v>
      </c>
      <c r="X125">
        <v>274110679</v>
      </c>
      <c r="Y125">
        <v>500801001</v>
      </c>
      <c r="Z125" s="3">
        <v>45439.699305555558</v>
      </c>
      <c r="AA125" s="6">
        <v>2024</v>
      </c>
      <c r="AB125" s="1">
        <v>45657</v>
      </c>
    </row>
    <row r="126" spans="1:28" x14ac:dyDescent="0.3">
      <c r="A126" t="s">
        <v>720</v>
      </c>
      <c r="B126" s="6" t="s">
        <v>394</v>
      </c>
      <c r="C126" s="6" t="s">
        <v>395</v>
      </c>
      <c r="D126">
        <v>7203000249</v>
      </c>
      <c r="E126">
        <v>720301001</v>
      </c>
      <c r="F126" t="s">
        <v>52</v>
      </c>
      <c r="G126" t="s">
        <v>721</v>
      </c>
      <c r="H126" s="1">
        <v>45369</v>
      </c>
      <c r="I126" t="s">
        <v>711</v>
      </c>
      <c r="J126" s="8">
        <v>45380</v>
      </c>
      <c r="K126" s="1" t="s">
        <v>33</v>
      </c>
      <c r="L126" t="s">
        <v>722</v>
      </c>
      <c r="M126" t="s">
        <v>399</v>
      </c>
      <c r="N126" s="2">
        <v>325000</v>
      </c>
      <c r="O126" t="s">
        <v>400</v>
      </c>
      <c r="P126" s="6" t="s">
        <v>36</v>
      </c>
      <c r="Q126" t="s">
        <v>37</v>
      </c>
      <c r="R126" t="s">
        <v>66</v>
      </c>
      <c r="S126" s="9">
        <v>6500</v>
      </c>
      <c r="T126" s="9">
        <v>50</v>
      </c>
      <c r="U126" s="9">
        <v>325000</v>
      </c>
      <c r="V126" s="6" t="s">
        <v>723</v>
      </c>
      <c r="W126" t="s">
        <v>402</v>
      </c>
      <c r="X126">
        <v>890507752198</v>
      </c>
      <c r="Z126" s="3">
        <v>45414.456250000003</v>
      </c>
      <c r="AA126" s="6">
        <v>2024</v>
      </c>
      <c r="AB126" s="1">
        <v>45657</v>
      </c>
    </row>
    <row r="127" spans="1:28" x14ac:dyDescent="0.3">
      <c r="A127" t="s">
        <v>724</v>
      </c>
      <c r="B127" s="6" t="s">
        <v>725</v>
      </c>
      <c r="C127" s="6" t="s">
        <v>164</v>
      </c>
      <c r="D127">
        <v>7731038690</v>
      </c>
      <c r="E127">
        <v>773101001</v>
      </c>
      <c r="F127" t="s">
        <v>52</v>
      </c>
      <c r="G127" t="s">
        <v>726</v>
      </c>
      <c r="H127" s="1">
        <v>45370</v>
      </c>
      <c r="I127" t="s">
        <v>727</v>
      </c>
      <c r="J127" s="8">
        <v>45383</v>
      </c>
      <c r="K127" s="1" t="s">
        <v>33</v>
      </c>
      <c r="L127" t="s">
        <v>728</v>
      </c>
      <c r="M127" t="s">
        <v>729</v>
      </c>
      <c r="N127" s="2">
        <v>408000</v>
      </c>
      <c r="O127" t="s">
        <v>188</v>
      </c>
      <c r="P127" s="6" t="s">
        <v>36</v>
      </c>
      <c r="Q127" t="s">
        <v>37</v>
      </c>
      <c r="R127" t="s">
        <v>48</v>
      </c>
      <c r="S127" s="9">
        <v>6800</v>
      </c>
      <c r="T127" s="9">
        <v>60</v>
      </c>
      <c r="U127" s="9">
        <v>408000</v>
      </c>
      <c r="V127" s="6" t="s">
        <v>352</v>
      </c>
      <c r="W127" t="s">
        <v>40</v>
      </c>
      <c r="X127">
        <v>7843014747</v>
      </c>
      <c r="Y127">
        <v>781401001</v>
      </c>
      <c r="Z127" s="3">
        <v>45523.515972222223</v>
      </c>
      <c r="AA127" s="6">
        <v>2024</v>
      </c>
      <c r="AB127" s="1">
        <v>45657</v>
      </c>
    </row>
    <row r="128" spans="1:28" x14ac:dyDescent="0.3">
      <c r="A128" t="s">
        <v>708</v>
      </c>
      <c r="B128" s="6" t="s">
        <v>730</v>
      </c>
      <c r="C128" s="6" t="s">
        <v>731</v>
      </c>
      <c r="D128">
        <v>5837008741</v>
      </c>
      <c r="E128">
        <v>583701001</v>
      </c>
      <c r="F128" t="s">
        <v>52</v>
      </c>
      <c r="G128" t="s">
        <v>710</v>
      </c>
      <c r="H128" s="1">
        <v>45371</v>
      </c>
      <c r="I128" t="s">
        <v>732</v>
      </c>
      <c r="J128" s="8">
        <v>45383</v>
      </c>
      <c r="K128" s="1" t="s">
        <v>33</v>
      </c>
      <c r="L128" t="s">
        <v>733</v>
      </c>
      <c r="M128" t="s">
        <v>734</v>
      </c>
      <c r="N128" s="2">
        <v>240000</v>
      </c>
      <c r="O128" t="s">
        <v>225</v>
      </c>
      <c r="P128" s="6" t="s">
        <v>36</v>
      </c>
      <c r="Q128" t="s">
        <v>37</v>
      </c>
      <c r="R128" t="s">
        <v>48</v>
      </c>
      <c r="S128" s="9">
        <v>6000</v>
      </c>
      <c r="T128" s="9">
        <v>40</v>
      </c>
      <c r="U128" s="9">
        <v>240000</v>
      </c>
      <c r="V128" s="6" t="s">
        <v>90</v>
      </c>
      <c r="W128" t="s">
        <v>59</v>
      </c>
      <c r="X128">
        <v>5259153331</v>
      </c>
      <c r="Y128">
        <v>525901001</v>
      </c>
      <c r="Z128" s="3">
        <v>45651.401388888888</v>
      </c>
      <c r="AA128" s="6">
        <v>2024</v>
      </c>
      <c r="AB128" s="1">
        <v>45650</v>
      </c>
    </row>
    <row r="129" spans="1:28" x14ac:dyDescent="0.3">
      <c r="A129" t="s">
        <v>735</v>
      </c>
      <c r="B129" s="6" t="s">
        <v>157</v>
      </c>
      <c r="C129" s="6" t="s">
        <v>105</v>
      </c>
      <c r="D129">
        <v>6612049211</v>
      </c>
      <c r="E129">
        <v>661201001</v>
      </c>
      <c r="F129" t="s">
        <v>52</v>
      </c>
      <c r="G129" t="s">
        <v>736</v>
      </c>
      <c r="H129" s="1">
        <v>45371</v>
      </c>
      <c r="I129" t="s">
        <v>737</v>
      </c>
      <c r="J129" s="8">
        <v>45383</v>
      </c>
      <c r="K129" s="1" t="s">
        <v>33</v>
      </c>
      <c r="L129" t="s">
        <v>736</v>
      </c>
      <c r="M129" t="s">
        <v>161</v>
      </c>
      <c r="N129" s="2">
        <v>780000</v>
      </c>
      <c r="O129" t="s">
        <v>738</v>
      </c>
      <c r="P129" s="6" t="s">
        <v>36</v>
      </c>
      <c r="Q129" t="s">
        <v>37</v>
      </c>
      <c r="R129" t="s">
        <v>240</v>
      </c>
      <c r="S129" s="9">
        <v>6000</v>
      </c>
      <c r="T129" s="9">
        <v>130</v>
      </c>
      <c r="U129" s="9">
        <v>780000</v>
      </c>
      <c r="V129" s="6" t="s">
        <v>90</v>
      </c>
      <c r="W129" t="s">
        <v>59</v>
      </c>
      <c r="X129">
        <v>5259153331</v>
      </c>
      <c r="Y129">
        <v>525901001</v>
      </c>
      <c r="Z129" s="3">
        <v>45629.668749999997</v>
      </c>
      <c r="AA129" s="6">
        <v>2024</v>
      </c>
      <c r="AB129" s="1">
        <v>46022</v>
      </c>
    </row>
    <row r="130" spans="1:28" x14ac:dyDescent="0.3">
      <c r="A130" t="s">
        <v>739</v>
      </c>
      <c r="B130" s="6" t="s">
        <v>740</v>
      </c>
      <c r="C130" s="6" t="s">
        <v>105</v>
      </c>
      <c r="D130">
        <v>6661002199</v>
      </c>
      <c r="E130">
        <v>667101001</v>
      </c>
      <c r="F130" t="s">
        <v>52</v>
      </c>
      <c r="G130" t="s">
        <v>741</v>
      </c>
      <c r="H130" s="1">
        <v>45371</v>
      </c>
      <c r="I130" t="s">
        <v>742</v>
      </c>
      <c r="J130" s="8">
        <v>45383</v>
      </c>
      <c r="K130" s="1" t="s">
        <v>33</v>
      </c>
      <c r="L130" t="s">
        <v>743</v>
      </c>
      <c r="M130" t="s">
        <v>552</v>
      </c>
      <c r="N130" s="2">
        <v>600000</v>
      </c>
      <c r="O130" t="s">
        <v>744</v>
      </c>
      <c r="P130" s="6" t="s">
        <v>36</v>
      </c>
      <c r="Q130" t="s">
        <v>37</v>
      </c>
      <c r="R130" t="s">
        <v>240</v>
      </c>
      <c r="S130" s="9">
        <v>6000</v>
      </c>
      <c r="T130" s="9">
        <v>100</v>
      </c>
      <c r="U130" s="9">
        <v>600000</v>
      </c>
      <c r="V130" s="6" t="s">
        <v>90</v>
      </c>
      <c r="W130" t="s">
        <v>59</v>
      </c>
      <c r="X130">
        <v>5259153331</v>
      </c>
      <c r="Y130">
        <v>525901001</v>
      </c>
      <c r="Z130" s="3">
        <v>45404.792361111111</v>
      </c>
      <c r="AA130" s="6">
        <v>2024</v>
      </c>
      <c r="AB130" s="1">
        <v>45565</v>
      </c>
    </row>
    <row r="131" spans="1:28" x14ac:dyDescent="0.3">
      <c r="A131" t="s">
        <v>745</v>
      </c>
      <c r="B131" s="6" t="s">
        <v>746</v>
      </c>
      <c r="C131" s="6" t="s">
        <v>122</v>
      </c>
      <c r="D131">
        <v>5408100138</v>
      </c>
      <c r="E131">
        <v>540843001</v>
      </c>
      <c r="F131" t="s">
        <v>149</v>
      </c>
      <c r="G131" t="s">
        <v>747</v>
      </c>
      <c r="H131" s="1">
        <v>45378</v>
      </c>
      <c r="J131" s="8">
        <v>45383</v>
      </c>
      <c r="K131" s="1" t="s">
        <v>33</v>
      </c>
      <c r="L131" t="s">
        <v>747</v>
      </c>
      <c r="M131" t="s">
        <v>748</v>
      </c>
      <c r="N131" s="2">
        <v>1170000</v>
      </c>
      <c r="O131" t="s">
        <v>749</v>
      </c>
      <c r="P131" s="6" t="s">
        <v>36</v>
      </c>
      <c r="Q131" t="s">
        <v>37</v>
      </c>
      <c r="R131" t="s">
        <v>240</v>
      </c>
      <c r="S131" s="9">
        <v>5850</v>
      </c>
      <c r="T131" s="9">
        <v>200</v>
      </c>
      <c r="U131" s="9">
        <v>1170000</v>
      </c>
      <c r="V131" s="6" t="s">
        <v>750</v>
      </c>
      <c r="W131" t="s">
        <v>59</v>
      </c>
      <c r="X131">
        <v>540123954976</v>
      </c>
      <c r="Z131" s="3">
        <v>45593.343055555553</v>
      </c>
      <c r="AA131" s="6">
        <v>2024</v>
      </c>
      <c r="AB131" s="1">
        <v>45687</v>
      </c>
    </row>
    <row r="132" spans="1:28" x14ac:dyDescent="0.3">
      <c r="A132" s="4" t="s">
        <v>751</v>
      </c>
      <c r="B132" s="6" t="s">
        <v>752</v>
      </c>
      <c r="C132" s="6" t="s">
        <v>213</v>
      </c>
      <c r="D132">
        <v>1654017170</v>
      </c>
      <c r="E132">
        <v>165501001</v>
      </c>
      <c r="F132" t="s">
        <v>52</v>
      </c>
      <c r="G132" t="s">
        <v>753</v>
      </c>
      <c r="H132" s="1">
        <v>45371</v>
      </c>
      <c r="I132" t="s">
        <v>754</v>
      </c>
      <c r="J132" s="8">
        <v>45383</v>
      </c>
      <c r="K132" s="1" t="s">
        <v>33</v>
      </c>
      <c r="L132" t="s">
        <v>755</v>
      </c>
      <c r="M132" t="s">
        <v>756</v>
      </c>
      <c r="N132" s="2">
        <v>142939551</v>
      </c>
      <c r="O132" t="s">
        <v>440</v>
      </c>
      <c r="P132" s="6" t="s">
        <v>36</v>
      </c>
      <c r="Q132" t="s">
        <v>37</v>
      </c>
      <c r="R132" t="s">
        <v>240</v>
      </c>
      <c r="S132" s="9">
        <v>5799</v>
      </c>
      <c r="T132" s="9">
        <v>24649</v>
      </c>
      <c r="U132" s="9">
        <v>142939551</v>
      </c>
      <c r="V132" s="6" t="s">
        <v>58</v>
      </c>
      <c r="W132" t="s">
        <v>59</v>
      </c>
      <c r="X132">
        <v>5262222144</v>
      </c>
      <c r="Y132">
        <v>526201001</v>
      </c>
      <c r="Z132" s="3">
        <v>45622.71875</v>
      </c>
      <c r="AA132" s="6">
        <v>2024</v>
      </c>
      <c r="AB132" s="1">
        <v>45629</v>
      </c>
    </row>
    <row r="133" spans="1:28" x14ac:dyDescent="0.3">
      <c r="A133" t="s">
        <v>757</v>
      </c>
      <c r="B133" s="6" t="s">
        <v>758</v>
      </c>
      <c r="C133" s="6" t="s">
        <v>759</v>
      </c>
      <c r="D133">
        <v>6731018660</v>
      </c>
      <c r="E133">
        <v>673101001</v>
      </c>
      <c r="F133" t="s">
        <v>52</v>
      </c>
      <c r="G133" t="s">
        <v>760</v>
      </c>
      <c r="H133" s="1">
        <v>45373</v>
      </c>
      <c r="I133" t="s">
        <v>761</v>
      </c>
      <c r="J133" s="8">
        <v>45384</v>
      </c>
      <c r="K133" s="1" t="s">
        <v>33</v>
      </c>
      <c r="L133" t="s">
        <v>762</v>
      </c>
      <c r="M133" t="s">
        <v>763</v>
      </c>
      <c r="N133" s="2">
        <v>7883425</v>
      </c>
      <c r="O133" t="s">
        <v>273</v>
      </c>
      <c r="P133" s="6" t="s">
        <v>36</v>
      </c>
      <c r="Q133" t="s">
        <v>37</v>
      </c>
      <c r="R133" t="s">
        <v>240</v>
      </c>
      <c r="S133" s="9">
        <v>5995</v>
      </c>
      <c r="T133" s="9">
        <v>1315</v>
      </c>
      <c r="U133" s="9">
        <v>7883425</v>
      </c>
      <c r="V133" s="6" t="s">
        <v>39</v>
      </c>
      <c r="W133" t="s">
        <v>40</v>
      </c>
      <c r="X133">
        <v>7810687137</v>
      </c>
      <c r="Y133">
        <v>781401001</v>
      </c>
      <c r="Z133" s="3">
        <v>45523.425694444442</v>
      </c>
      <c r="AA133" s="6">
        <v>2024</v>
      </c>
      <c r="AB133" s="1">
        <v>45688</v>
      </c>
    </row>
    <row r="134" spans="1:28" x14ac:dyDescent="0.3">
      <c r="A134" t="s">
        <v>757</v>
      </c>
      <c r="B134" s="6" t="s">
        <v>758</v>
      </c>
      <c r="C134" s="6" t="s">
        <v>759</v>
      </c>
      <c r="D134">
        <v>6731018660</v>
      </c>
      <c r="E134">
        <v>673101001</v>
      </c>
      <c r="F134" t="s">
        <v>52</v>
      </c>
      <c r="G134" t="s">
        <v>760</v>
      </c>
      <c r="H134" s="1">
        <v>45373</v>
      </c>
      <c r="I134" t="s">
        <v>764</v>
      </c>
      <c r="J134" s="8">
        <v>45384</v>
      </c>
      <c r="K134" s="1" t="s">
        <v>33</v>
      </c>
      <c r="L134" t="s">
        <v>765</v>
      </c>
      <c r="M134" t="s">
        <v>763</v>
      </c>
      <c r="N134" s="2">
        <v>7883425</v>
      </c>
      <c r="O134" t="s">
        <v>273</v>
      </c>
      <c r="P134" s="6" t="s">
        <v>36</v>
      </c>
      <c r="Q134" t="s">
        <v>37</v>
      </c>
      <c r="R134" t="s">
        <v>240</v>
      </c>
      <c r="S134" s="9">
        <v>5995</v>
      </c>
      <c r="T134" s="9">
        <v>1315</v>
      </c>
      <c r="U134" s="9">
        <v>7883425</v>
      </c>
      <c r="V134" s="6" t="s">
        <v>39</v>
      </c>
      <c r="W134" t="s">
        <v>40</v>
      </c>
      <c r="X134">
        <v>7810687137</v>
      </c>
      <c r="Y134">
        <v>781401001</v>
      </c>
      <c r="Z134" s="3">
        <v>45610.859722222223</v>
      </c>
      <c r="AA134" s="6">
        <v>2024</v>
      </c>
      <c r="AB134" s="1">
        <v>45688</v>
      </c>
    </row>
    <row r="135" spans="1:28" x14ac:dyDescent="0.3">
      <c r="A135" t="s">
        <v>757</v>
      </c>
      <c r="B135" s="6" t="s">
        <v>758</v>
      </c>
      <c r="C135" s="6" t="s">
        <v>759</v>
      </c>
      <c r="D135">
        <v>6731018660</v>
      </c>
      <c r="E135">
        <v>673101001</v>
      </c>
      <c r="F135" t="s">
        <v>52</v>
      </c>
      <c r="G135" t="s">
        <v>760</v>
      </c>
      <c r="H135" s="1">
        <v>45373</v>
      </c>
      <c r="I135" t="s">
        <v>766</v>
      </c>
      <c r="J135" s="8">
        <v>45384</v>
      </c>
      <c r="K135" s="1" t="s">
        <v>33</v>
      </c>
      <c r="L135" t="s">
        <v>767</v>
      </c>
      <c r="M135" t="s">
        <v>763</v>
      </c>
      <c r="N135" s="2">
        <v>7883425</v>
      </c>
      <c r="O135" t="s">
        <v>273</v>
      </c>
      <c r="P135" s="6" t="s">
        <v>36</v>
      </c>
      <c r="Q135" t="s">
        <v>37</v>
      </c>
      <c r="R135" t="s">
        <v>240</v>
      </c>
      <c r="S135" s="9">
        <v>5995</v>
      </c>
      <c r="T135" s="9">
        <v>1315</v>
      </c>
      <c r="U135" s="9">
        <v>7883425</v>
      </c>
      <c r="V135" s="6" t="s">
        <v>39</v>
      </c>
      <c r="W135" t="s">
        <v>40</v>
      </c>
      <c r="X135">
        <v>7810687137</v>
      </c>
      <c r="Y135">
        <v>781401001</v>
      </c>
      <c r="Z135" s="3">
        <v>45523.420138888891</v>
      </c>
      <c r="AA135" s="6">
        <v>2024</v>
      </c>
      <c r="AB135" s="1">
        <v>45688</v>
      </c>
    </row>
    <row r="136" spans="1:28" x14ac:dyDescent="0.3">
      <c r="A136" t="s">
        <v>768</v>
      </c>
      <c r="B136" s="6" t="s">
        <v>758</v>
      </c>
      <c r="C136" s="6" t="s">
        <v>759</v>
      </c>
      <c r="D136">
        <v>6731018660</v>
      </c>
      <c r="E136">
        <v>673101001</v>
      </c>
      <c r="F136" t="s">
        <v>52</v>
      </c>
      <c r="G136" t="s">
        <v>769</v>
      </c>
      <c r="H136" s="1">
        <v>45373</v>
      </c>
      <c r="I136" t="s">
        <v>770</v>
      </c>
      <c r="J136" s="8">
        <v>45384</v>
      </c>
      <c r="K136" s="1" t="s">
        <v>33</v>
      </c>
      <c r="L136" t="s">
        <v>771</v>
      </c>
      <c r="M136" t="s">
        <v>763</v>
      </c>
      <c r="N136" s="2">
        <v>7877430</v>
      </c>
      <c r="O136" t="s">
        <v>273</v>
      </c>
      <c r="P136" s="6" t="s">
        <v>36</v>
      </c>
      <c r="Q136" t="s">
        <v>37</v>
      </c>
      <c r="R136" t="s">
        <v>240</v>
      </c>
      <c r="S136" s="9">
        <v>5995</v>
      </c>
      <c r="T136" s="9">
        <v>1314</v>
      </c>
      <c r="U136" s="9">
        <v>7877430</v>
      </c>
      <c r="V136" s="6" t="s">
        <v>39</v>
      </c>
      <c r="W136" t="s">
        <v>40</v>
      </c>
      <c r="X136">
        <v>7810687137</v>
      </c>
      <c r="Y136">
        <v>781401001</v>
      </c>
      <c r="Z136" s="3">
        <v>45525.355555555558</v>
      </c>
      <c r="AA136" s="6">
        <v>2024</v>
      </c>
      <c r="AB136" s="1">
        <v>45688</v>
      </c>
    </row>
    <row r="137" spans="1:28" x14ac:dyDescent="0.3">
      <c r="A137" t="s">
        <v>772</v>
      </c>
      <c r="B137" s="6" t="s">
        <v>758</v>
      </c>
      <c r="C137" s="6" t="s">
        <v>759</v>
      </c>
      <c r="D137">
        <v>6731018660</v>
      </c>
      <c r="E137">
        <v>673101001</v>
      </c>
      <c r="F137" t="s">
        <v>52</v>
      </c>
      <c r="G137" t="s">
        <v>773</v>
      </c>
      <c r="H137" s="1">
        <v>45373</v>
      </c>
      <c r="I137" t="s">
        <v>774</v>
      </c>
      <c r="J137" s="8">
        <v>45384</v>
      </c>
      <c r="K137" s="1" t="s">
        <v>33</v>
      </c>
      <c r="L137" t="s">
        <v>775</v>
      </c>
      <c r="M137" t="s">
        <v>763</v>
      </c>
      <c r="N137" s="2">
        <v>7499745</v>
      </c>
      <c r="O137" t="s">
        <v>273</v>
      </c>
      <c r="P137" s="6" t="s">
        <v>36</v>
      </c>
      <c r="Q137" t="s">
        <v>37</v>
      </c>
      <c r="R137" t="s">
        <v>240</v>
      </c>
      <c r="S137" s="9">
        <v>5995</v>
      </c>
      <c r="T137" s="9">
        <v>1251</v>
      </c>
      <c r="U137" s="9">
        <v>7499745</v>
      </c>
      <c r="V137" s="6" t="s">
        <v>39</v>
      </c>
      <c r="W137" t="s">
        <v>40</v>
      </c>
      <c r="X137">
        <v>7810687137</v>
      </c>
      <c r="Y137">
        <v>781401001</v>
      </c>
      <c r="Z137" s="3">
        <v>45525.356944444444</v>
      </c>
      <c r="AA137" s="6">
        <v>2024</v>
      </c>
      <c r="AB137" s="1">
        <v>45688</v>
      </c>
    </row>
    <row r="138" spans="1:28" x14ac:dyDescent="0.3">
      <c r="A138" t="s">
        <v>776</v>
      </c>
      <c r="B138" s="6" t="s">
        <v>777</v>
      </c>
      <c r="C138" s="6" t="s">
        <v>539</v>
      </c>
      <c r="D138">
        <v>7811018700</v>
      </c>
      <c r="E138">
        <v>781101001</v>
      </c>
      <c r="F138" t="s">
        <v>52</v>
      </c>
      <c r="G138" t="s">
        <v>778</v>
      </c>
      <c r="H138" s="1">
        <v>45373</v>
      </c>
      <c r="I138" t="s">
        <v>779</v>
      </c>
      <c r="J138" s="8">
        <v>45384</v>
      </c>
      <c r="K138" s="1" t="s">
        <v>33</v>
      </c>
      <c r="L138" t="s">
        <v>780</v>
      </c>
      <c r="M138" t="s">
        <v>72</v>
      </c>
      <c r="N138" s="2">
        <v>142800</v>
      </c>
      <c r="O138" t="s">
        <v>73</v>
      </c>
      <c r="P138" s="6" t="s">
        <v>36</v>
      </c>
      <c r="Q138" t="s">
        <v>37</v>
      </c>
      <c r="R138" t="s">
        <v>240</v>
      </c>
      <c r="S138" s="9">
        <v>5950</v>
      </c>
      <c r="T138" s="9">
        <v>24</v>
      </c>
      <c r="U138" s="9">
        <v>142800</v>
      </c>
      <c r="V138" s="6" t="s">
        <v>39</v>
      </c>
      <c r="W138" t="s">
        <v>40</v>
      </c>
      <c r="X138">
        <v>7810687137</v>
      </c>
      <c r="Y138">
        <v>781401001</v>
      </c>
      <c r="Z138" s="3">
        <v>45440.632638888892</v>
      </c>
      <c r="AA138" s="6">
        <v>2024</v>
      </c>
      <c r="AB138" s="1">
        <v>45657</v>
      </c>
    </row>
    <row r="139" spans="1:28" x14ac:dyDescent="0.3">
      <c r="A139" t="s">
        <v>781</v>
      </c>
      <c r="B139" s="6" t="s">
        <v>782</v>
      </c>
      <c r="C139" s="6" t="s">
        <v>783</v>
      </c>
      <c r="D139">
        <v>6231025123</v>
      </c>
      <c r="E139">
        <v>623401001</v>
      </c>
      <c r="F139" t="s">
        <v>52</v>
      </c>
      <c r="G139" t="s">
        <v>784</v>
      </c>
      <c r="H139" s="1">
        <v>45371</v>
      </c>
      <c r="I139" t="s">
        <v>785</v>
      </c>
      <c r="J139" s="8">
        <v>45384</v>
      </c>
      <c r="K139" s="1" t="s">
        <v>33</v>
      </c>
      <c r="L139" t="s">
        <v>786</v>
      </c>
      <c r="M139" t="s">
        <v>787</v>
      </c>
      <c r="N139" s="2">
        <v>37500000</v>
      </c>
      <c r="O139" t="s">
        <v>788</v>
      </c>
      <c r="P139" s="6" t="s">
        <v>36</v>
      </c>
      <c r="Q139" t="s">
        <v>37</v>
      </c>
      <c r="R139" t="s">
        <v>240</v>
      </c>
      <c r="S139" s="9">
        <v>6000</v>
      </c>
      <c r="T139" s="9">
        <v>6250</v>
      </c>
      <c r="U139" s="9">
        <v>37500000</v>
      </c>
      <c r="V139" s="6" t="s">
        <v>789</v>
      </c>
      <c r="W139" t="s">
        <v>59</v>
      </c>
      <c r="X139">
        <v>622802163475</v>
      </c>
      <c r="Z139" s="3">
        <v>45401.385416666664</v>
      </c>
      <c r="AA139" s="6">
        <v>2024</v>
      </c>
      <c r="AB139" s="1">
        <v>45617</v>
      </c>
    </row>
    <row r="140" spans="1:28" x14ac:dyDescent="0.3">
      <c r="A140" t="s">
        <v>790</v>
      </c>
      <c r="B140" s="6" t="s">
        <v>657</v>
      </c>
      <c r="C140" s="6" t="s">
        <v>658</v>
      </c>
      <c r="D140">
        <v>3015068159</v>
      </c>
      <c r="E140">
        <v>301601001</v>
      </c>
      <c r="F140" t="s">
        <v>94</v>
      </c>
      <c r="G140" t="s">
        <v>791</v>
      </c>
      <c r="H140" s="1">
        <v>45380</v>
      </c>
      <c r="I140" t="s">
        <v>792</v>
      </c>
      <c r="J140" s="8">
        <v>45385</v>
      </c>
      <c r="K140" s="1" t="s">
        <v>33</v>
      </c>
      <c r="L140" t="s">
        <v>793</v>
      </c>
      <c r="M140" t="s">
        <v>794</v>
      </c>
      <c r="N140" s="2">
        <v>15172500</v>
      </c>
      <c r="O140" t="s">
        <v>663</v>
      </c>
      <c r="P140" s="6" t="s">
        <v>36</v>
      </c>
      <c r="Q140" t="s">
        <v>37</v>
      </c>
      <c r="R140" t="s">
        <v>66</v>
      </c>
      <c r="S140" s="9">
        <v>5950</v>
      </c>
      <c r="T140" s="9">
        <v>2550</v>
      </c>
      <c r="U140" s="9">
        <v>15172500</v>
      </c>
      <c r="V140" s="6" t="s">
        <v>39</v>
      </c>
      <c r="W140" t="s">
        <v>40</v>
      </c>
      <c r="X140">
        <v>7810687137</v>
      </c>
      <c r="Y140">
        <v>781401001</v>
      </c>
      <c r="Z140" s="3">
        <v>45407.756944444445</v>
      </c>
      <c r="AA140" s="6">
        <v>2024</v>
      </c>
      <c r="AB140" s="1">
        <v>45473</v>
      </c>
    </row>
    <row r="141" spans="1:28" x14ac:dyDescent="0.3">
      <c r="A141" t="s">
        <v>795</v>
      </c>
      <c r="B141" s="6" t="s">
        <v>796</v>
      </c>
      <c r="C141" s="6" t="s">
        <v>69</v>
      </c>
      <c r="D141">
        <v>8901007006</v>
      </c>
      <c r="E141">
        <v>890101001</v>
      </c>
      <c r="F141" t="s">
        <v>52</v>
      </c>
      <c r="G141" t="s">
        <v>797</v>
      </c>
      <c r="H141" s="1">
        <v>45376</v>
      </c>
      <c r="I141" t="s">
        <v>798</v>
      </c>
      <c r="J141" s="8">
        <v>45387</v>
      </c>
      <c r="K141" s="1" t="s">
        <v>33</v>
      </c>
      <c r="L141" t="s">
        <v>799</v>
      </c>
      <c r="M141" t="s">
        <v>339</v>
      </c>
      <c r="N141" s="2">
        <v>26702430</v>
      </c>
      <c r="O141" t="s">
        <v>273</v>
      </c>
      <c r="P141" s="6" t="s">
        <v>36</v>
      </c>
      <c r="Q141" t="s">
        <v>37</v>
      </c>
      <c r="R141" t="s">
        <v>240</v>
      </c>
      <c r="S141" s="9">
        <v>6010</v>
      </c>
      <c r="T141" s="9">
        <v>4443</v>
      </c>
      <c r="U141" s="9">
        <v>26702430</v>
      </c>
      <c r="V141" s="6" t="s">
        <v>58</v>
      </c>
      <c r="W141" t="s">
        <v>59</v>
      </c>
      <c r="X141">
        <v>5262222144</v>
      </c>
      <c r="Y141">
        <v>526201001</v>
      </c>
      <c r="Z141" s="3">
        <v>45489.277083333334</v>
      </c>
      <c r="AA141" s="6">
        <v>2024</v>
      </c>
      <c r="AB141" s="1">
        <v>45553</v>
      </c>
    </row>
    <row r="142" spans="1:28" x14ac:dyDescent="0.3">
      <c r="A142" t="s">
        <v>800</v>
      </c>
      <c r="B142" s="6" t="s">
        <v>801</v>
      </c>
      <c r="C142" s="6" t="s">
        <v>802</v>
      </c>
      <c r="D142">
        <v>1701052707</v>
      </c>
      <c r="E142">
        <v>170101001</v>
      </c>
      <c r="F142" t="s">
        <v>52</v>
      </c>
      <c r="G142" t="s">
        <v>803</v>
      </c>
      <c r="H142" s="1">
        <v>45376</v>
      </c>
      <c r="I142" t="s">
        <v>804</v>
      </c>
      <c r="J142" s="8">
        <v>45387</v>
      </c>
      <c r="K142" s="1" t="s">
        <v>33</v>
      </c>
      <c r="L142" t="s">
        <v>805</v>
      </c>
      <c r="M142" t="s">
        <v>806</v>
      </c>
      <c r="N142" s="2">
        <v>2606100</v>
      </c>
      <c r="O142" t="s">
        <v>807</v>
      </c>
      <c r="P142" s="6" t="s">
        <v>36</v>
      </c>
      <c r="Q142" t="s">
        <v>37</v>
      </c>
      <c r="R142" t="s">
        <v>240</v>
      </c>
      <c r="S142" s="9">
        <v>5950</v>
      </c>
      <c r="T142" s="9">
        <v>438</v>
      </c>
      <c r="U142" s="9">
        <v>2606100</v>
      </c>
      <c r="V142" s="6" t="s">
        <v>39</v>
      </c>
      <c r="W142" t="s">
        <v>40</v>
      </c>
      <c r="X142">
        <v>7810687137</v>
      </c>
      <c r="Y142">
        <v>781401001</v>
      </c>
      <c r="Z142" s="3">
        <v>45481.28402777778</v>
      </c>
      <c r="AA142" s="6">
        <v>2024</v>
      </c>
      <c r="AB142" s="1">
        <v>45657</v>
      </c>
    </row>
    <row r="143" spans="1:28" x14ac:dyDescent="0.3">
      <c r="A143" t="s">
        <v>808</v>
      </c>
      <c r="B143" s="6" t="s">
        <v>75</v>
      </c>
      <c r="C143" s="6" t="s">
        <v>76</v>
      </c>
      <c r="D143">
        <v>2633004253</v>
      </c>
      <c r="E143">
        <v>263601001</v>
      </c>
      <c r="F143" t="s">
        <v>52</v>
      </c>
      <c r="G143" t="s">
        <v>809</v>
      </c>
      <c r="H143" s="1">
        <v>45377</v>
      </c>
      <c r="I143" t="s">
        <v>810</v>
      </c>
      <c r="J143" s="8">
        <v>45390</v>
      </c>
      <c r="K143" s="1" t="s">
        <v>33</v>
      </c>
      <c r="L143" t="s">
        <v>811</v>
      </c>
      <c r="M143" t="s">
        <v>812</v>
      </c>
      <c r="N143" s="2">
        <v>115820959.68000001</v>
      </c>
      <c r="P143" s="6" t="s">
        <v>36</v>
      </c>
      <c r="Q143" t="s">
        <v>37</v>
      </c>
      <c r="R143" t="s">
        <v>240</v>
      </c>
      <c r="S143" s="9">
        <v>6002.33</v>
      </c>
      <c r="T143" s="9">
        <v>19296</v>
      </c>
      <c r="U143" s="9">
        <v>115820959.68000001</v>
      </c>
      <c r="V143" s="6" t="s">
        <v>39</v>
      </c>
      <c r="W143" t="s">
        <v>40</v>
      </c>
      <c r="X143">
        <v>7810687137</v>
      </c>
      <c r="Y143">
        <v>781401001</v>
      </c>
      <c r="AA143" s="6">
        <v>2024</v>
      </c>
      <c r="AB143" s="1">
        <v>45657</v>
      </c>
    </row>
    <row r="144" spans="1:28" x14ac:dyDescent="0.3">
      <c r="A144" t="s">
        <v>813</v>
      </c>
      <c r="B144" s="6" t="s">
        <v>730</v>
      </c>
      <c r="C144" s="6" t="s">
        <v>731</v>
      </c>
      <c r="D144">
        <v>5837008741</v>
      </c>
      <c r="E144">
        <v>583701001</v>
      </c>
      <c r="F144" t="s">
        <v>52</v>
      </c>
      <c r="G144" t="s">
        <v>814</v>
      </c>
      <c r="H144" s="1">
        <v>45377</v>
      </c>
      <c r="I144" t="s">
        <v>815</v>
      </c>
      <c r="J144" s="8">
        <v>45390</v>
      </c>
      <c r="K144" s="1" t="s">
        <v>33</v>
      </c>
      <c r="L144" t="s">
        <v>816</v>
      </c>
      <c r="M144" t="s">
        <v>734</v>
      </c>
      <c r="N144" s="2">
        <v>39228000</v>
      </c>
      <c r="O144" t="s">
        <v>225</v>
      </c>
      <c r="P144" s="6" t="s">
        <v>36</v>
      </c>
      <c r="Q144" t="s">
        <v>37</v>
      </c>
      <c r="R144" t="s">
        <v>48</v>
      </c>
      <c r="S144" s="9">
        <v>6000</v>
      </c>
      <c r="T144" s="9">
        <v>6538</v>
      </c>
      <c r="U144" s="9">
        <v>39228000</v>
      </c>
      <c r="V144" s="6" t="s">
        <v>58</v>
      </c>
      <c r="W144" t="s">
        <v>59</v>
      </c>
      <c r="X144">
        <v>5262222144</v>
      </c>
      <c r="Y144">
        <v>526201001</v>
      </c>
      <c r="Z144" s="3">
        <v>45454.652083333334</v>
      </c>
      <c r="AA144" s="6">
        <v>2024</v>
      </c>
      <c r="AB144" s="1">
        <v>45586</v>
      </c>
    </row>
    <row r="145" spans="1:28" x14ac:dyDescent="0.3">
      <c r="A145" t="s">
        <v>817</v>
      </c>
      <c r="B145" s="6" t="s">
        <v>818</v>
      </c>
      <c r="C145" s="6" t="s">
        <v>122</v>
      </c>
      <c r="D145">
        <v>7018013613</v>
      </c>
      <c r="E145">
        <v>701701001</v>
      </c>
      <c r="F145" t="s">
        <v>52</v>
      </c>
      <c r="G145" t="s">
        <v>819</v>
      </c>
      <c r="H145" s="1">
        <v>45377</v>
      </c>
      <c r="I145" t="s">
        <v>820</v>
      </c>
      <c r="J145" s="8">
        <v>45390</v>
      </c>
      <c r="K145" s="1" t="s">
        <v>33</v>
      </c>
      <c r="L145">
        <v>660</v>
      </c>
      <c r="M145" t="s">
        <v>821</v>
      </c>
      <c r="N145" s="2">
        <v>450452.4</v>
      </c>
      <c r="O145" t="s">
        <v>822</v>
      </c>
      <c r="P145" s="6" t="s">
        <v>36</v>
      </c>
      <c r="Q145" t="s">
        <v>37</v>
      </c>
      <c r="R145" t="s">
        <v>240</v>
      </c>
      <c r="S145" s="9">
        <v>5630.66</v>
      </c>
      <c r="T145" s="9">
        <v>80</v>
      </c>
      <c r="U145" s="9">
        <v>450452.4</v>
      </c>
      <c r="V145" s="6" t="s">
        <v>750</v>
      </c>
      <c r="W145" t="s">
        <v>59</v>
      </c>
      <c r="X145">
        <v>540123954976</v>
      </c>
      <c r="Z145" s="3">
        <v>45397.263194444444</v>
      </c>
      <c r="AA145" s="6">
        <v>2024</v>
      </c>
      <c r="AB145" s="1">
        <v>45429</v>
      </c>
    </row>
    <row r="146" spans="1:28" x14ac:dyDescent="0.3">
      <c r="A146" t="s">
        <v>823</v>
      </c>
      <c r="B146" s="6" t="s">
        <v>824</v>
      </c>
      <c r="C146" s="6" t="s">
        <v>388</v>
      </c>
      <c r="D146">
        <v>3808049193</v>
      </c>
      <c r="E146">
        <v>380801001</v>
      </c>
      <c r="F146" t="s">
        <v>52</v>
      </c>
      <c r="G146" t="s">
        <v>825</v>
      </c>
      <c r="H146" s="1">
        <v>45380</v>
      </c>
      <c r="I146" t="s">
        <v>826</v>
      </c>
      <c r="J146" s="8">
        <v>45391</v>
      </c>
      <c r="K146" s="1" t="s">
        <v>33</v>
      </c>
      <c r="L146" t="s">
        <v>827</v>
      </c>
      <c r="M146" t="s">
        <v>828</v>
      </c>
      <c r="N146" s="2">
        <v>110000</v>
      </c>
      <c r="O146" t="s">
        <v>410</v>
      </c>
      <c r="P146" s="6" t="s">
        <v>36</v>
      </c>
      <c r="Q146" t="s">
        <v>37</v>
      </c>
      <c r="R146" t="s">
        <v>240</v>
      </c>
      <c r="S146" s="9">
        <v>5500</v>
      </c>
      <c r="T146" s="9">
        <v>20</v>
      </c>
      <c r="U146" s="9">
        <v>110000</v>
      </c>
      <c r="V146" s="6" t="s">
        <v>90</v>
      </c>
      <c r="W146" t="s">
        <v>59</v>
      </c>
      <c r="X146">
        <v>5259153331</v>
      </c>
      <c r="Y146">
        <v>525901001</v>
      </c>
      <c r="Z146" s="3">
        <v>45420.247916666667</v>
      </c>
      <c r="AA146" s="6">
        <v>2024</v>
      </c>
      <c r="AB146" s="1">
        <v>45657</v>
      </c>
    </row>
    <row r="147" spans="1:28" x14ac:dyDescent="0.3">
      <c r="A147" t="s">
        <v>829</v>
      </c>
      <c r="B147" s="6" t="s">
        <v>830</v>
      </c>
      <c r="C147" s="6" t="s">
        <v>831</v>
      </c>
      <c r="D147">
        <v>6163049814</v>
      </c>
      <c r="E147">
        <v>616601001</v>
      </c>
      <c r="F147" t="s">
        <v>52</v>
      </c>
      <c r="G147" t="s">
        <v>832</v>
      </c>
      <c r="H147" s="1">
        <v>45380</v>
      </c>
      <c r="I147" t="s">
        <v>833</v>
      </c>
      <c r="J147" s="8">
        <v>45391</v>
      </c>
      <c r="K147" s="1" t="s">
        <v>33</v>
      </c>
      <c r="L147">
        <v>24000413</v>
      </c>
      <c r="M147" t="s">
        <v>834</v>
      </c>
      <c r="N147" s="2">
        <v>10573195.49</v>
      </c>
      <c r="O147" t="s">
        <v>835</v>
      </c>
      <c r="P147" s="6" t="s">
        <v>36</v>
      </c>
      <c r="Q147" t="s">
        <v>37</v>
      </c>
      <c r="R147" t="s">
        <v>240</v>
      </c>
      <c r="S147" s="9">
        <v>5896.93</v>
      </c>
      <c r="T147" s="9">
        <v>1793</v>
      </c>
      <c r="U147" s="9">
        <v>10573195.49</v>
      </c>
      <c r="V147" s="6" t="s">
        <v>145</v>
      </c>
      <c r="W147" t="s">
        <v>59</v>
      </c>
      <c r="X147">
        <v>5321132777</v>
      </c>
      <c r="Y147">
        <v>532101001</v>
      </c>
      <c r="Z147" s="3">
        <v>45409.361111111109</v>
      </c>
      <c r="AA147" s="6">
        <v>2024</v>
      </c>
      <c r="AB147" s="1">
        <v>45427</v>
      </c>
    </row>
    <row r="148" spans="1:28" x14ac:dyDescent="0.3">
      <c r="A148" t="s">
        <v>836</v>
      </c>
      <c r="B148" s="6" t="s">
        <v>801</v>
      </c>
      <c r="C148" s="6" t="s">
        <v>802</v>
      </c>
      <c r="D148">
        <v>1701052707</v>
      </c>
      <c r="E148">
        <v>170101001</v>
      </c>
      <c r="F148" t="s">
        <v>52</v>
      </c>
      <c r="G148" t="s">
        <v>837</v>
      </c>
      <c r="H148" s="1">
        <v>45378</v>
      </c>
      <c r="I148" t="s">
        <v>838</v>
      </c>
      <c r="J148" s="8">
        <v>45392</v>
      </c>
      <c r="K148" s="1" t="s">
        <v>33</v>
      </c>
      <c r="L148" t="s">
        <v>839</v>
      </c>
      <c r="M148" t="s">
        <v>840</v>
      </c>
      <c r="N148" s="2">
        <v>654500</v>
      </c>
      <c r="O148" t="s">
        <v>273</v>
      </c>
      <c r="P148" s="6" t="s">
        <v>36</v>
      </c>
      <c r="Q148" t="s">
        <v>37</v>
      </c>
      <c r="R148" t="s">
        <v>240</v>
      </c>
      <c r="S148" s="9">
        <v>5950</v>
      </c>
      <c r="T148" s="9">
        <v>110</v>
      </c>
      <c r="U148" s="9">
        <v>654500</v>
      </c>
      <c r="V148" s="6" t="s">
        <v>39</v>
      </c>
      <c r="W148" t="s">
        <v>40</v>
      </c>
      <c r="X148">
        <v>7810687137</v>
      </c>
      <c r="Y148">
        <v>781401001</v>
      </c>
      <c r="Z148" s="3">
        <v>45460.274305555555</v>
      </c>
      <c r="AA148" s="6">
        <v>2024</v>
      </c>
      <c r="AB148" s="1">
        <v>45657</v>
      </c>
    </row>
    <row r="149" spans="1:28" x14ac:dyDescent="0.3">
      <c r="A149" t="s">
        <v>841</v>
      </c>
      <c r="B149" s="6" t="s">
        <v>842</v>
      </c>
      <c r="C149" s="6" t="s">
        <v>843</v>
      </c>
      <c r="D149">
        <v>2128015420</v>
      </c>
      <c r="E149">
        <v>213001001</v>
      </c>
      <c r="F149" t="s">
        <v>52</v>
      </c>
      <c r="G149" t="s">
        <v>844</v>
      </c>
      <c r="H149" s="1">
        <v>45378</v>
      </c>
      <c r="I149" t="s">
        <v>845</v>
      </c>
      <c r="J149" s="8">
        <v>45392</v>
      </c>
      <c r="K149" s="1" t="s">
        <v>33</v>
      </c>
      <c r="L149" t="s">
        <v>846</v>
      </c>
      <c r="M149" t="s">
        <v>273</v>
      </c>
      <c r="N149" s="2">
        <v>20774341.75</v>
      </c>
      <c r="O149" t="s">
        <v>847</v>
      </c>
      <c r="P149" s="6" t="s">
        <v>464</v>
      </c>
      <c r="Q149" t="s">
        <v>37</v>
      </c>
      <c r="R149" t="s">
        <v>66</v>
      </c>
      <c r="S149" s="9">
        <v>4491.75</v>
      </c>
      <c r="T149" s="9">
        <v>4624</v>
      </c>
      <c r="U149" s="9">
        <v>20769852</v>
      </c>
      <c r="V149" s="6" t="s">
        <v>848</v>
      </c>
      <c r="W149" t="s">
        <v>849</v>
      </c>
      <c r="X149">
        <v>2634099850</v>
      </c>
      <c r="Y149">
        <v>263501001</v>
      </c>
      <c r="Z149" s="3">
        <v>45601.643750000003</v>
      </c>
      <c r="AA149" s="6">
        <v>2024</v>
      </c>
      <c r="AB149" s="1">
        <v>45657</v>
      </c>
    </row>
    <row r="150" spans="1:28" x14ac:dyDescent="0.3">
      <c r="A150" t="s">
        <v>841</v>
      </c>
      <c r="B150" s="6" t="s">
        <v>842</v>
      </c>
      <c r="C150" s="6" t="s">
        <v>843</v>
      </c>
      <c r="D150">
        <v>2128015420</v>
      </c>
      <c r="E150">
        <v>213001001</v>
      </c>
      <c r="F150" t="s">
        <v>52</v>
      </c>
      <c r="G150" t="s">
        <v>844</v>
      </c>
      <c r="H150" s="1">
        <v>45378</v>
      </c>
      <c r="I150" t="s">
        <v>845</v>
      </c>
      <c r="J150" s="8">
        <v>45392</v>
      </c>
      <c r="K150" s="1" t="s">
        <v>33</v>
      </c>
      <c r="L150" t="s">
        <v>846</v>
      </c>
      <c r="M150" t="s">
        <v>273</v>
      </c>
      <c r="N150" s="2">
        <v>20774341.75</v>
      </c>
      <c r="O150" t="s">
        <v>847</v>
      </c>
      <c r="P150" s="6" t="s">
        <v>464</v>
      </c>
      <c r="Q150" t="s">
        <v>37</v>
      </c>
      <c r="R150" t="s">
        <v>66</v>
      </c>
      <c r="S150" s="9">
        <v>4489.75</v>
      </c>
      <c r="T150" s="9">
        <v>1</v>
      </c>
      <c r="U150" s="9">
        <v>4489.75</v>
      </c>
      <c r="V150" s="6" t="s">
        <v>848</v>
      </c>
      <c r="W150" t="s">
        <v>849</v>
      </c>
      <c r="X150">
        <v>2634099850</v>
      </c>
      <c r="Y150">
        <v>263501001</v>
      </c>
      <c r="Z150" s="3">
        <v>45601.643750000003</v>
      </c>
      <c r="AA150" s="6">
        <v>2024</v>
      </c>
      <c r="AB150" s="1">
        <v>45657</v>
      </c>
    </row>
    <row r="151" spans="1:28" x14ac:dyDescent="0.3">
      <c r="A151" t="s">
        <v>850</v>
      </c>
      <c r="B151" s="6" t="s">
        <v>851</v>
      </c>
      <c r="C151" s="6" t="s">
        <v>852</v>
      </c>
      <c r="D151">
        <v>1435360610</v>
      </c>
      <c r="E151">
        <v>143501001</v>
      </c>
      <c r="F151" t="s">
        <v>94</v>
      </c>
      <c r="G151" t="s">
        <v>853</v>
      </c>
      <c r="H151" s="1">
        <v>45387</v>
      </c>
      <c r="I151" t="s">
        <v>854</v>
      </c>
      <c r="J151" s="8">
        <v>45392</v>
      </c>
      <c r="K151" s="1" t="s">
        <v>33</v>
      </c>
      <c r="L151" t="s">
        <v>853</v>
      </c>
      <c r="M151" t="s">
        <v>855</v>
      </c>
      <c r="N151" s="2">
        <v>9829400</v>
      </c>
      <c r="O151" t="s">
        <v>440</v>
      </c>
      <c r="P151" s="6" t="s">
        <v>36</v>
      </c>
      <c r="Q151" t="s">
        <v>37</v>
      </c>
      <c r="R151" t="s">
        <v>240</v>
      </c>
      <c r="S151" s="9">
        <v>5900</v>
      </c>
      <c r="T151" s="9">
        <v>1666</v>
      </c>
      <c r="U151" s="9">
        <v>9829400</v>
      </c>
      <c r="V151" s="6" t="s">
        <v>39</v>
      </c>
      <c r="W151" t="s">
        <v>40</v>
      </c>
      <c r="X151">
        <v>7810687137</v>
      </c>
      <c r="Y151">
        <v>781401001</v>
      </c>
      <c r="Z151" s="3">
        <v>45414.419444444444</v>
      </c>
      <c r="AA151" s="6">
        <v>2024</v>
      </c>
      <c r="AB151" s="1">
        <v>45657</v>
      </c>
    </row>
    <row r="152" spans="1:28" x14ac:dyDescent="0.3">
      <c r="A152" t="s">
        <v>856</v>
      </c>
      <c r="B152" s="6" t="s">
        <v>857</v>
      </c>
      <c r="C152" s="6" t="s">
        <v>388</v>
      </c>
      <c r="D152">
        <v>3808172327</v>
      </c>
      <c r="E152">
        <v>380801001</v>
      </c>
      <c r="F152" t="s">
        <v>52</v>
      </c>
      <c r="G152" t="s">
        <v>858</v>
      </c>
      <c r="H152" s="1">
        <v>45377</v>
      </c>
      <c r="I152" t="s">
        <v>859</v>
      </c>
      <c r="J152" s="8">
        <v>45393</v>
      </c>
      <c r="K152" s="1" t="s">
        <v>33</v>
      </c>
      <c r="L152" t="s">
        <v>860</v>
      </c>
      <c r="M152" t="s">
        <v>861</v>
      </c>
      <c r="N152" s="2">
        <v>468000</v>
      </c>
      <c r="O152" t="s">
        <v>744</v>
      </c>
      <c r="P152" s="6" t="s">
        <v>36</v>
      </c>
      <c r="Q152" t="s">
        <v>37</v>
      </c>
      <c r="R152" t="s">
        <v>240</v>
      </c>
      <c r="S152" s="9">
        <v>6000</v>
      </c>
      <c r="T152" s="9">
        <v>78</v>
      </c>
      <c r="U152" s="9">
        <v>468000</v>
      </c>
      <c r="V152" s="6" t="s">
        <v>862</v>
      </c>
      <c r="W152" t="s">
        <v>863</v>
      </c>
      <c r="X152">
        <v>3810040374</v>
      </c>
      <c r="Y152">
        <v>381001001</v>
      </c>
      <c r="Z152" s="3">
        <v>45414.232638888891</v>
      </c>
      <c r="AA152" s="6">
        <v>2024</v>
      </c>
      <c r="AB152" s="1">
        <v>45473</v>
      </c>
    </row>
    <row r="153" spans="1:28" x14ac:dyDescent="0.3">
      <c r="A153" t="s">
        <v>864</v>
      </c>
      <c r="B153" s="6" t="s">
        <v>865</v>
      </c>
      <c r="C153" s="6" t="s">
        <v>246</v>
      </c>
      <c r="D153">
        <v>7105008306</v>
      </c>
      <c r="E153">
        <v>710501001</v>
      </c>
      <c r="F153" t="s">
        <v>149</v>
      </c>
      <c r="G153" t="s">
        <v>866</v>
      </c>
      <c r="H153" s="1">
        <v>45391</v>
      </c>
      <c r="J153" s="8">
        <v>45394</v>
      </c>
      <c r="K153" s="1" t="s">
        <v>33</v>
      </c>
      <c r="L153" t="s">
        <v>867</v>
      </c>
      <c r="M153" t="s">
        <v>273</v>
      </c>
      <c r="N153" s="2">
        <v>831600</v>
      </c>
      <c r="O153" t="s">
        <v>273</v>
      </c>
      <c r="P153" s="6" t="s">
        <v>36</v>
      </c>
      <c r="Q153" t="s">
        <v>37</v>
      </c>
      <c r="R153" t="s">
        <v>240</v>
      </c>
      <c r="S153" s="9">
        <v>7560</v>
      </c>
      <c r="T153" s="9">
        <v>110</v>
      </c>
      <c r="U153" s="9">
        <v>831600</v>
      </c>
      <c r="V153" s="6" t="s">
        <v>868</v>
      </c>
      <c r="W153" t="s">
        <v>252</v>
      </c>
      <c r="X153">
        <v>7107519730</v>
      </c>
      <c r="Y153">
        <v>710701001</v>
      </c>
      <c r="Z153" s="3">
        <v>45429.59652777778</v>
      </c>
      <c r="AA153" s="6">
        <v>2024</v>
      </c>
      <c r="AB153" s="1">
        <v>45688</v>
      </c>
    </row>
    <row r="154" spans="1:28" x14ac:dyDescent="0.3">
      <c r="A154" t="s">
        <v>869</v>
      </c>
      <c r="B154" s="6" t="s">
        <v>870</v>
      </c>
      <c r="C154" s="6" t="s">
        <v>164</v>
      </c>
      <c r="D154">
        <v>7802030429</v>
      </c>
      <c r="E154">
        <v>781401001</v>
      </c>
      <c r="F154" t="s">
        <v>94</v>
      </c>
      <c r="G154" t="s">
        <v>871</v>
      </c>
      <c r="H154" s="1">
        <v>45391</v>
      </c>
      <c r="I154" t="s">
        <v>872</v>
      </c>
      <c r="J154" s="8">
        <v>45394</v>
      </c>
      <c r="K154" s="1" t="s">
        <v>33</v>
      </c>
      <c r="L154" t="s">
        <v>873</v>
      </c>
      <c r="M154" t="s">
        <v>874</v>
      </c>
      <c r="N154" s="2">
        <v>1918595.62</v>
      </c>
      <c r="O154" t="s">
        <v>694</v>
      </c>
      <c r="P154" s="6" t="s">
        <v>36</v>
      </c>
      <c r="Q154" t="s">
        <v>37</v>
      </c>
      <c r="R154" t="s">
        <v>240</v>
      </c>
      <c r="S154" s="9">
        <v>5497.03</v>
      </c>
      <c r="T154" s="9">
        <v>344</v>
      </c>
      <c r="U154" s="9">
        <v>1890978.32</v>
      </c>
      <c r="V154" s="6" t="s">
        <v>39</v>
      </c>
      <c r="W154" t="s">
        <v>40</v>
      </c>
      <c r="X154">
        <v>7810687137</v>
      </c>
      <c r="Y154">
        <v>781401001</v>
      </c>
      <c r="Z154" s="3">
        <v>45475.688194444447</v>
      </c>
      <c r="AA154" s="6">
        <v>2024</v>
      </c>
      <c r="AB154" s="1">
        <v>45626</v>
      </c>
    </row>
    <row r="155" spans="1:28" x14ac:dyDescent="0.3">
      <c r="A155" t="s">
        <v>875</v>
      </c>
      <c r="B155" s="6" t="s">
        <v>876</v>
      </c>
      <c r="C155" s="6" t="s">
        <v>877</v>
      </c>
      <c r="D155">
        <v>2540018454</v>
      </c>
      <c r="E155">
        <v>254001001</v>
      </c>
      <c r="F155" t="s">
        <v>52</v>
      </c>
      <c r="G155" t="s">
        <v>878</v>
      </c>
      <c r="H155" s="1">
        <v>45383</v>
      </c>
      <c r="I155" t="s">
        <v>879</v>
      </c>
      <c r="J155" s="8">
        <v>45394</v>
      </c>
      <c r="K155" s="1" t="s">
        <v>33</v>
      </c>
      <c r="L155" t="s">
        <v>880</v>
      </c>
      <c r="M155" t="s">
        <v>881</v>
      </c>
      <c r="N155" s="2">
        <v>71114400.5</v>
      </c>
      <c r="O155" t="s">
        <v>882</v>
      </c>
      <c r="P155" s="6" t="s">
        <v>36</v>
      </c>
      <c r="Q155" t="s">
        <v>37</v>
      </c>
      <c r="R155" t="s">
        <v>240</v>
      </c>
      <c r="S155" s="9">
        <v>5901.61</v>
      </c>
      <c r="T155" s="9">
        <v>12050</v>
      </c>
      <c r="U155" s="9">
        <v>71114400.5</v>
      </c>
      <c r="V155" s="6" t="s">
        <v>39</v>
      </c>
      <c r="W155" t="s">
        <v>40</v>
      </c>
      <c r="X155">
        <v>7810687137</v>
      </c>
      <c r="Y155">
        <v>781401001</v>
      </c>
      <c r="Z155" s="3">
        <v>45440.31527777778</v>
      </c>
      <c r="AA155" s="6">
        <v>2024</v>
      </c>
      <c r="AB155" s="1">
        <v>45657</v>
      </c>
    </row>
    <row r="156" spans="1:28" x14ac:dyDescent="0.3">
      <c r="A156" t="s">
        <v>883</v>
      </c>
      <c r="B156" s="6" t="s">
        <v>220</v>
      </c>
      <c r="C156" s="6" t="s">
        <v>221</v>
      </c>
      <c r="D156">
        <v>5024068656</v>
      </c>
      <c r="E156">
        <v>502401001</v>
      </c>
      <c r="F156" t="s">
        <v>52</v>
      </c>
      <c r="G156" t="s">
        <v>884</v>
      </c>
      <c r="H156" s="1">
        <v>45378</v>
      </c>
      <c r="I156" t="s">
        <v>885</v>
      </c>
      <c r="J156" s="8">
        <v>45394</v>
      </c>
      <c r="K156" s="1" t="s">
        <v>33</v>
      </c>
      <c r="L156" t="s">
        <v>884</v>
      </c>
      <c r="M156" t="s">
        <v>886</v>
      </c>
      <c r="N156" s="2">
        <v>130056.74</v>
      </c>
      <c r="O156" t="s">
        <v>73</v>
      </c>
      <c r="P156" s="6" t="s">
        <v>36</v>
      </c>
      <c r="Q156" t="s">
        <v>37</v>
      </c>
      <c r="R156" t="s">
        <v>240</v>
      </c>
      <c r="S156" s="9">
        <v>5911.67</v>
      </c>
      <c r="T156" s="9">
        <v>22</v>
      </c>
      <c r="U156" s="9">
        <v>130056.74</v>
      </c>
      <c r="V156" s="6" t="s">
        <v>128</v>
      </c>
      <c r="W156" t="s">
        <v>129</v>
      </c>
      <c r="X156">
        <v>274110679</v>
      </c>
      <c r="Y156">
        <v>500801001</v>
      </c>
      <c r="Z156" s="3">
        <v>45428.534722222219</v>
      </c>
      <c r="AA156" s="6">
        <v>2024</v>
      </c>
      <c r="AB156" s="1">
        <v>45436</v>
      </c>
    </row>
    <row r="157" spans="1:28" x14ac:dyDescent="0.3">
      <c r="A157" t="s">
        <v>887</v>
      </c>
      <c r="B157" s="6" t="s">
        <v>459</v>
      </c>
      <c r="C157" s="6" t="s">
        <v>460</v>
      </c>
      <c r="D157">
        <v>4629019420</v>
      </c>
      <c r="E157">
        <v>463201001</v>
      </c>
      <c r="F157" t="s">
        <v>52</v>
      </c>
      <c r="G157" t="s">
        <v>888</v>
      </c>
      <c r="H157" s="1">
        <v>45383</v>
      </c>
      <c r="I157" t="s">
        <v>889</v>
      </c>
      <c r="J157" s="8">
        <v>45394</v>
      </c>
      <c r="K157" s="1" t="s">
        <v>33</v>
      </c>
      <c r="L157" t="s">
        <v>890</v>
      </c>
      <c r="M157" t="s">
        <v>463</v>
      </c>
      <c r="N157" s="2">
        <v>626240</v>
      </c>
      <c r="O157" t="s">
        <v>377</v>
      </c>
      <c r="P157" s="6" t="s">
        <v>891</v>
      </c>
      <c r="Q157" t="s">
        <v>37</v>
      </c>
      <c r="R157" t="s">
        <v>38</v>
      </c>
      <c r="S157" s="9">
        <v>6080</v>
      </c>
      <c r="T157" s="9">
        <v>103</v>
      </c>
      <c r="U157" s="9">
        <v>626240</v>
      </c>
      <c r="V157" s="6" t="s">
        <v>545</v>
      </c>
      <c r="W157" t="s">
        <v>40</v>
      </c>
      <c r="X157">
        <v>7713655588</v>
      </c>
      <c r="Y157">
        <v>773001001</v>
      </c>
      <c r="Z157" s="3">
        <v>45531.477083333331</v>
      </c>
      <c r="AA157" s="6">
        <v>2024</v>
      </c>
      <c r="AB157" s="1">
        <v>45595</v>
      </c>
    </row>
    <row r="158" spans="1:28" x14ac:dyDescent="0.3">
      <c r="A158" t="s">
        <v>892</v>
      </c>
      <c r="B158" s="6" t="s">
        <v>602</v>
      </c>
      <c r="C158" s="6" t="s">
        <v>548</v>
      </c>
      <c r="D158">
        <v>1901130110</v>
      </c>
      <c r="E158">
        <v>190101001</v>
      </c>
      <c r="F158" t="s">
        <v>52</v>
      </c>
      <c r="G158" t="s">
        <v>893</v>
      </c>
      <c r="H158" s="1">
        <v>45384</v>
      </c>
      <c r="I158" t="s">
        <v>894</v>
      </c>
      <c r="J158" s="8">
        <v>45397</v>
      </c>
      <c r="K158" s="1" t="s">
        <v>33</v>
      </c>
      <c r="L158" t="s">
        <v>895</v>
      </c>
      <c r="M158" t="s">
        <v>896</v>
      </c>
      <c r="N158" s="2">
        <v>672840</v>
      </c>
      <c r="O158" t="s">
        <v>897</v>
      </c>
      <c r="P158" s="6" t="s">
        <v>36</v>
      </c>
      <c r="Q158" t="s">
        <v>37</v>
      </c>
      <c r="R158" t="s">
        <v>240</v>
      </c>
      <c r="S158" s="9">
        <v>6007.5</v>
      </c>
      <c r="T158" s="9">
        <v>112</v>
      </c>
      <c r="U158" s="9">
        <v>672840</v>
      </c>
      <c r="V158" s="6" t="s">
        <v>352</v>
      </c>
      <c r="W158" t="s">
        <v>40</v>
      </c>
      <c r="X158">
        <v>7843014747</v>
      </c>
      <c r="Y158">
        <v>781401001</v>
      </c>
      <c r="Z158" s="3">
        <v>45489.310416666667</v>
      </c>
      <c r="AA158" s="6">
        <v>2024</v>
      </c>
      <c r="AB158" s="1">
        <v>45473</v>
      </c>
    </row>
    <row r="159" spans="1:28" x14ac:dyDescent="0.3">
      <c r="A159" t="s">
        <v>898</v>
      </c>
      <c r="B159" s="6" t="s">
        <v>602</v>
      </c>
      <c r="C159" s="6" t="s">
        <v>548</v>
      </c>
      <c r="D159">
        <v>1901130110</v>
      </c>
      <c r="E159">
        <v>190101001</v>
      </c>
      <c r="F159" t="s">
        <v>52</v>
      </c>
      <c r="G159" t="s">
        <v>899</v>
      </c>
      <c r="H159" s="1">
        <v>45385</v>
      </c>
      <c r="I159" t="s">
        <v>900</v>
      </c>
      <c r="J159" s="8">
        <v>45397</v>
      </c>
      <c r="K159" s="1" t="s">
        <v>33</v>
      </c>
      <c r="L159" t="s">
        <v>901</v>
      </c>
      <c r="M159" t="s">
        <v>606</v>
      </c>
      <c r="N159" s="2">
        <v>18021900</v>
      </c>
      <c r="O159" t="s">
        <v>897</v>
      </c>
      <c r="P159" s="6" t="s">
        <v>36</v>
      </c>
      <c r="Q159" t="s">
        <v>37</v>
      </c>
      <c r="R159" t="s">
        <v>240</v>
      </c>
      <c r="S159" s="9">
        <v>6007.3</v>
      </c>
      <c r="T159" s="9">
        <v>3000</v>
      </c>
      <c r="U159" s="9">
        <v>18021900</v>
      </c>
      <c r="V159" s="6" t="s">
        <v>352</v>
      </c>
      <c r="W159" t="s">
        <v>40</v>
      </c>
      <c r="X159">
        <v>7843014747</v>
      </c>
      <c r="Y159">
        <v>781401001</v>
      </c>
      <c r="Z159" s="3">
        <v>45433.288888888892</v>
      </c>
      <c r="AA159" s="6">
        <v>2024</v>
      </c>
      <c r="AB159" s="1">
        <v>45443</v>
      </c>
    </row>
    <row r="160" spans="1:28" x14ac:dyDescent="0.3">
      <c r="A160" t="s">
        <v>902</v>
      </c>
      <c r="B160" s="6" t="s">
        <v>903</v>
      </c>
      <c r="C160" s="6" t="s">
        <v>904</v>
      </c>
      <c r="D160">
        <v>3525010519</v>
      </c>
      <c r="E160">
        <v>352501001</v>
      </c>
      <c r="F160" t="s">
        <v>52</v>
      </c>
      <c r="G160" t="s">
        <v>905</v>
      </c>
      <c r="H160" s="1">
        <v>45386</v>
      </c>
      <c r="I160" t="s">
        <v>906</v>
      </c>
      <c r="J160" s="8">
        <v>45397</v>
      </c>
      <c r="K160" s="1" t="s">
        <v>33</v>
      </c>
      <c r="L160" t="s">
        <v>907</v>
      </c>
      <c r="M160" t="s">
        <v>908</v>
      </c>
      <c r="N160" s="2">
        <v>46240000</v>
      </c>
      <c r="O160" t="s">
        <v>273</v>
      </c>
      <c r="P160" s="6" t="s">
        <v>36</v>
      </c>
      <c r="Q160" t="s">
        <v>37</v>
      </c>
      <c r="R160" t="s">
        <v>240</v>
      </c>
      <c r="S160" s="9">
        <v>5780</v>
      </c>
      <c r="T160" s="9">
        <v>8000</v>
      </c>
      <c r="U160" s="9">
        <v>46240000</v>
      </c>
      <c r="V160" s="6" t="s">
        <v>39</v>
      </c>
      <c r="W160" t="s">
        <v>40</v>
      </c>
      <c r="X160">
        <v>7810687137</v>
      </c>
      <c r="Y160">
        <v>781401001</v>
      </c>
      <c r="Z160" s="3">
        <v>45429.454861111109</v>
      </c>
      <c r="AA160" s="6">
        <v>2024</v>
      </c>
      <c r="AB160" s="1">
        <v>45505</v>
      </c>
    </row>
    <row r="161" spans="1:28" x14ac:dyDescent="0.3">
      <c r="A161" t="s">
        <v>909</v>
      </c>
      <c r="B161" s="6" t="s">
        <v>910</v>
      </c>
      <c r="C161" s="6" t="s">
        <v>911</v>
      </c>
      <c r="D161">
        <v>1200000881</v>
      </c>
      <c r="E161">
        <v>121501001</v>
      </c>
      <c r="F161" t="s">
        <v>52</v>
      </c>
      <c r="G161" t="s">
        <v>912</v>
      </c>
      <c r="H161" s="1">
        <v>45384</v>
      </c>
      <c r="I161" t="s">
        <v>913</v>
      </c>
      <c r="J161" s="8">
        <v>45397</v>
      </c>
      <c r="K161" s="1" t="s">
        <v>33</v>
      </c>
      <c r="L161" t="s">
        <v>914</v>
      </c>
      <c r="M161" t="s">
        <v>915</v>
      </c>
      <c r="N161" s="2">
        <v>14479992</v>
      </c>
      <c r="O161" t="s">
        <v>273</v>
      </c>
      <c r="P161" s="6" t="s">
        <v>36</v>
      </c>
      <c r="Q161" t="s">
        <v>37</v>
      </c>
      <c r="R161" t="s">
        <v>240</v>
      </c>
      <c r="S161" s="9">
        <v>6033.33</v>
      </c>
      <c r="T161" s="9">
        <v>2400</v>
      </c>
      <c r="U161" s="9">
        <v>14479992</v>
      </c>
      <c r="V161" s="6" t="s">
        <v>111</v>
      </c>
      <c r="W161" t="s">
        <v>59</v>
      </c>
      <c r="X161">
        <v>5262258091</v>
      </c>
      <c r="Y161">
        <v>526201001</v>
      </c>
      <c r="Z161" s="3">
        <v>45471.440972222219</v>
      </c>
      <c r="AA161" s="6">
        <v>2024</v>
      </c>
      <c r="AB161" s="1">
        <v>45657</v>
      </c>
    </row>
    <row r="162" spans="1:28" x14ac:dyDescent="0.3">
      <c r="A162" t="s">
        <v>916</v>
      </c>
      <c r="B162" s="6" t="s">
        <v>917</v>
      </c>
      <c r="C162" s="6" t="s">
        <v>918</v>
      </c>
      <c r="D162">
        <v>1325126625</v>
      </c>
      <c r="E162">
        <v>132601001</v>
      </c>
      <c r="F162" t="s">
        <v>52</v>
      </c>
      <c r="G162" t="s">
        <v>919</v>
      </c>
      <c r="H162" s="1">
        <v>45385</v>
      </c>
      <c r="I162" t="s">
        <v>920</v>
      </c>
      <c r="J162" s="8">
        <v>45397</v>
      </c>
      <c r="K162" s="1" t="s">
        <v>33</v>
      </c>
      <c r="L162" t="s">
        <v>921</v>
      </c>
      <c r="M162" t="s">
        <v>922</v>
      </c>
      <c r="N162" s="2">
        <v>23529987</v>
      </c>
      <c r="O162" t="s">
        <v>273</v>
      </c>
      <c r="P162" s="6" t="s">
        <v>36</v>
      </c>
      <c r="Q162" t="s">
        <v>37</v>
      </c>
      <c r="R162" t="s">
        <v>240</v>
      </c>
      <c r="S162" s="9">
        <v>6033.33</v>
      </c>
      <c r="T162" s="9">
        <v>3900</v>
      </c>
      <c r="U162" s="9">
        <v>23529987</v>
      </c>
      <c r="V162" s="6" t="s">
        <v>58</v>
      </c>
      <c r="W162" t="s">
        <v>59</v>
      </c>
      <c r="X162">
        <v>5262222144</v>
      </c>
      <c r="Y162">
        <v>526201001</v>
      </c>
      <c r="Z162" s="3">
        <v>45426.440972222219</v>
      </c>
      <c r="AA162" s="6">
        <v>2024</v>
      </c>
      <c r="AB162" s="1">
        <v>45461</v>
      </c>
    </row>
    <row r="163" spans="1:28" x14ac:dyDescent="0.3">
      <c r="A163" t="s">
        <v>923</v>
      </c>
      <c r="B163" s="6" t="s">
        <v>924</v>
      </c>
      <c r="C163" s="6" t="s">
        <v>925</v>
      </c>
      <c r="D163">
        <v>4205349664</v>
      </c>
      <c r="E163">
        <v>420501001</v>
      </c>
      <c r="F163" t="s">
        <v>52</v>
      </c>
      <c r="G163" t="s">
        <v>926</v>
      </c>
      <c r="H163" s="1">
        <v>45385</v>
      </c>
      <c r="I163" t="s">
        <v>900</v>
      </c>
      <c r="J163" s="8">
        <v>45398</v>
      </c>
      <c r="K163" s="1" t="s">
        <v>33</v>
      </c>
      <c r="L163" t="s">
        <v>927</v>
      </c>
      <c r="M163" t="s">
        <v>928</v>
      </c>
      <c r="N163" s="2">
        <v>79100789.819999993</v>
      </c>
      <c r="O163" t="s">
        <v>929</v>
      </c>
      <c r="P163" s="6" t="s">
        <v>36</v>
      </c>
      <c r="Q163" t="s">
        <v>37</v>
      </c>
      <c r="R163" t="s">
        <v>240</v>
      </c>
      <c r="S163" s="9">
        <v>5817.09</v>
      </c>
      <c r="T163" s="9">
        <v>13598</v>
      </c>
      <c r="U163" s="9">
        <v>79100789.819999993</v>
      </c>
      <c r="V163" s="6" t="s">
        <v>145</v>
      </c>
      <c r="W163" t="s">
        <v>59</v>
      </c>
      <c r="X163">
        <v>5321132777</v>
      </c>
      <c r="Y163">
        <v>532101001</v>
      </c>
      <c r="Z163" s="3">
        <v>45474.323611111111</v>
      </c>
      <c r="AA163" s="6">
        <v>2024</v>
      </c>
      <c r="AB163" s="1">
        <v>45657</v>
      </c>
    </row>
    <row r="164" spans="1:28" x14ac:dyDescent="0.3">
      <c r="A164" t="s">
        <v>930</v>
      </c>
      <c r="B164" s="6" t="s">
        <v>121</v>
      </c>
      <c r="C164" s="6" t="s">
        <v>122</v>
      </c>
      <c r="D164">
        <v>5402155123</v>
      </c>
      <c r="E164">
        <v>540201001</v>
      </c>
      <c r="F164" t="s">
        <v>94</v>
      </c>
      <c r="G164" t="s">
        <v>931</v>
      </c>
      <c r="H164" s="1">
        <v>45393</v>
      </c>
      <c r="J164" s="8">
        <v>45399</v>
      </c>
      <c r="K164" s="1" t="s">
        <v>33</v>
      </c>
      <c r="L164" t="s">
        <v>932</v>
      </c>
      <c r="M164" t="s">
        <v>933</v>
      </c>
      <c r="N164" s="2">
        <v>129800</v>
      </c>
      <c r="O164" t="s">
        <v>694</v>
      </c>
      <c r="P164" s="6" t="s">
        <v>36</v>
      </c>
      <c r="Q164" t="s">
        <v>37</v>
      </c>
      <c r="R164" t="s">
        <v>240</v>
      </c>
      <c r="S164" s="9">
        <v>5900</v>
      </c>
      <c r="T164" s="9">
        <v>22</v>
      </c>
      <c r="U164" s="9">
        <v>129800</v>
      </c>
      <c r="V164" s="6" t="s">
        <v>128</v>
      </c>
      <c r="W164" t="s">
        <v>129</v>
      </c>
      <c r="X164">
        <v>274110679</v>
      </c>
      <c r="Y164">
        <v>500801001</v>
      </c>
      <c r="Z164" s="3">
        <v>45418.20416666667</v>
      </c>
      <c r="AA164" s="6">
        <v>2024</v>
      </c>
      <c r="AB164" s="1">
        <v>45626</v>
      </c>
    </row>
    <row r="165" spans="1:28" x14ac:dyDescent="0.3">
      <c r="A165" t="s">
        <v>934</v>
      </c>
      <c r="B165" s="6" t="s">
        <v>121</v>
      </c>
      <c r="C165" s="6" t="s">
        <v>122</v>
      </c>
      <c r="D165">
        <v>5402155123</v>
      </c>
      <c r="E165">
        <v>540201001</v>
      </c>
      <c r="F165" t="s">
        <v>94</v>
      </c>
      <c r="G165" t="s">
        <v>935</v>
      </c>
      <c r="H165" s="1">
        <v>45393</v>
      </c>
      <c r="J165" s="8">
        <v>45399</v>
      </c>
      <c r="K165" s="1" t="s">
        <v>33</v>
      </c>
      <c r="L165" t="s">
        <v>936</v>
      </c>
      <c r="M165" t="s">
        <v>937</v>
      </c>
      <c r="N165" s="2">
        <v>637200</v>
      </c>
      <c r="O165" t="s">
        <v>694</v>
      </c>
      <c r="P165" s="6" t="s">
        <v>36</v>
      </c>
      <c r="Q165" t="s">
        <v>37</v>
      </c>
      <c r="R165" t="s">
        <v>240</v>
      </c>
      <c r="S165" s="9">
        <v>5900</v>
      </c>
      <c r="T165" s="9">
        <v>108</v>
      </c>
      <c r="U165" s="9">
        <v>637200</v>
      </c>
      <c r="V165" s="6" t="s">
        <v>128</v>
      </c>
      <c r="W165" t="s">
        <v>129</v>
      </c>
      <c r="X165">
        <v>274110679</v>
      </c>
      <c r="Y165">
        <v>500801001</v>
      </c>
      <c r="Z165" s="3">
        <v>45418.205555555556</v>
      </c>
      <c r="AA165" s="6">
        <v>2024</v>
      </c>
      <c r="AB165" s="1">
        <v>45626</v>
      </c>
    </row>
    <row r="166" spans="1:28" x14ac:dyDescent="0.3">
      <c r="A166" t="s">
        <v>938</v>
      </c>
      <c r="B166" s="6" t="s">
        <v>92</v>
      </c>
      <c r="C166" s="6" t="s">
        <v>93</v>
      </c>
      <c r="D166">
        <v>4501024659</v>
      </c>
      <c r="E166">
        <v>450101001</v>
      </c>
      <c r="F166" t="s">
        <v>52</v>
      </c>
      <c r="G166" t="s">
        <v>939</v>
      </c>
      <c r="H166" s="1">
        <v>45387</v>
      </c>
      <c r="I166" t="s">
        <v>940</v>
      </c>
      <c r="J166" s="8">
        <v>45399</v>
      </c>
      <c r="K166" s="1" t="s">
        <v>33</v>
      </c>
      <c r="L166" t="s">
        <v>939</v>
      </c>
      <c r="M166" t="s">
        <v>179</v>
      </c>
      <c r="N166" s="2">
        <v>20396300</v>
      </c>
      <c r="O166" t="s">
        <v>273</v>
      </c>
      <c r="P166" s="6" t="s">
        <v>36</v>
      </c>
      <c r="Q166" t="s">
        <v>37</v>
      </c>
      <c r="R166" t="s">
        <v>240</v>
      </c>
      <c r="S166" s="9">
        <v>5900</v>
      </c>
      <c r="T166" s="9">
        <v>3457</v>
      </c>
      <c r="U166" s="9">
        <v>20396300</v>
      </c>
      <c r="V166" s="6" t="s">
        <v>39</v>
      </c>
      <c r="W166" t="s">
        <v>40</v>
      </c>
      <c r="X166">
        <v>7810687137</v>
      </c>
      <c r="Y166">
        <v>781401001</v>
      </c>
      <c r="Z166" s="3">
        <v>45590.549305555556</v>
      </c>
      <c r="AA166" s="6">
        <v>2024</v>
      </c>
      <c r="AB166" s="1">
        <v>45657</v>
      </c>
    </row>
    <row r="167" spans="1:28" x14ac:dyDescent="0.3">
      <c r="A167" t="s">
        <v>941</v>
      </c>
      <c r="B167" s="6" t="s">
        <v>459</v>
      </c>
      <c r="C167" s="6" t="s">
        <v>460</v>
      </c>
      <c r="D167">
        <v>4629019420</v>
      </c>
      <c r="E167">
        <v>463201001</v>
      </c>
      <c r="F167" t="s">
        <v>52</v>
      </c>
      <c r="G167" t="s">
        <v>942</v>
      </c>
      <c r="H167" s="1">
        <v>45386</v>
      </c>
      <c r="I167" t="s">
        <v>943</v>
      </c>
      <c r="J167" s="8">
        <v>45399</v>
      </c>
      <c r="K167" s="1" t="s">
        <v>33</v>
      </c>
      <c r="L167" t="s">
        <v>942</v>
      </c>
      <c r="M167" t="s">
        <v>463</v>
      </c>
      <c r="N167" s="2">
        <v>8248128</v>
      </c>
      <c r="O167" t="s">
        <v>944</v>
      </c>
      <c r="P167" s="6" t="s">
        <v>464</v>
      </c>
      <c r="Q167" t="s">
        <v>37</v>
      </c>
      <c r="R167" t="s">
        <v>38</v>
      </c>
      <c r="S167" s="9">
        <v>5168</v>
      </c>
      <c r="T167" s="9">
        <v>1596</v>
      </c>
      <c r="U167" s="9">
        <v>8248128</v>
      </c>
      <c r="V167" s="6" t="s">
        <v>848</v>
      </c>
      <c r="W167" t="s">
        <v>849</v>
      </c>
      <c r="X167">
        <v>2634099850</v>
      </c>
      <c r="Y167">
        <v>263501001</v>
      </c>
      <c r="Z167" s="3">
        <v>45517.523611111108</v>
      </c>
      <c r="AA167" s="6">
        <v>2024</v>
      </c>
      <c r="AB167" s="1">
        <v>45475</v>
      </c>
    </row>
    <row r="168" spans="1:28" x14ac:dyDescent="0.3">
      <c r="A168" t="s">
        <v>945</v>
      </c>
      <c r="B168" s="6" t="s">
        <v>946</v>
      </c>
      <c r="C168" s="6" t="s">
        <v>947</v>
      </c>
      <c r="D168">
        <v>7325000951</v>
      </c>
      <c r="E168">
        <v>732501001</v>
      </c>
      <c r="F168" t="s">
        <v>94</v>
      </c>
      <c r="G168" t="s">
        <v>948</v>
      </c>
      <c r="H168" s="1">
        <v>45394</v>
      </c>
      <c r="I168" t="s">
        <v>949</v>
      </c>
      <c r="J168" s="8">
        <v>45399</v>
      </c>
      <c r="K168" s="1" t="s">
        <v>33</v>
      </c>
      <c r="L168" t="s">
        <v>948</v>
      </c>
      <c r="M168" t="s">
        <v>950</v>
      </c>
      <c r="N168" s="2">
        <v>9200000</v>
      </c>
      <c r="O168" t="s">
        <v>410</v>
      </c>
      <c r="P168" s="6" t="s">
        <v>36</v>
      </c>
      <c r="Q168" t="s">
        <v>37</v>
      </c>
      <c r="R168" t="s">
        <v>240</v>
      </c>
      <c r="S168" s="9">
        <v>5750</v>
      </c>
      <c r="T168" s="9">
        <v>1600</v>
      </c>
      <c r="U168" s="9">
        <v>9200000</v>
      </c>
      <c r="V168" s="6" t="s">
        <v>39</v>
      </c>
      <c r="W168" t="s">
        <v>40</v>
      </c>
      <c r="X168">
        <v>7810687137</v>
      </c>
      <c r="Y168">
        <v>781401001</v>
      </c>
      <c r="Z168" s="3">
        <v>45434.645138888889</v>
      </c>
      <c r="AA168" s="6">
        <v>2024</v>
      </c>
      <c r="AB168" s="1">
        <v>45657</v>
      </c>
    </row>
    <row r="169" spans="1:28" x14ac:dyDescent="0.3">
      <c r="A169" t="s">
        <v>951</v>
      </c>
      <c r="B169" s="6" t="s">
        <v>459</v>
      </c>
      <c r="C169" s="6" t="s">
        <v>460</v>
      </c>
      <c r="D169">
        <v>4629019420</v>
      </c>
      <c r="E169">
        <v>463201001</v>
      </c>
      <c r="F169" t="s">
        <v>52</v>
      </c>
      <c r="G169" t="s">
        <v>952</v>
      </c>
      <c r="H169" s="1">
        <v>45385</v>
      </c>
      <c r="I169" t="s">
        <v>953</v>
      </c>
      <c r="J169" s="8">
        <v>45399</v>
      </c>
      <c r="K169" s="1" t="s">
        <v>33</v>
      </c>
      <c r="L169" t="s">
        <v>952</v>
      </c>
      <c r="M169" t="s">
        <v>463</v>
      </c>
      <c r="N169" s="2">
        <v>20810244</v>
      </c>
      <c r="O169" t="s">
        <v>954</v>
      </c>
      <c r="P169" s="6" t="s">
        <v>464</v>
      </c>
      <c r="Q169" t="s">
        <v>37</v>
      </c>
      <c r="R169" t="s">
        <v>38</v>
      </c>
      <c r="S169" s="9">
        <v>5215.6000000000004</v>
      </c>
      <c r="T169" s="9">
        <v>3990</v>
      </c>
      <c r="U169" s="9">
        <v>20810244</v>
      </c>
      <c r="V169" s="6" t="s">
        <v>848</v>
      </c>
      <c r="W169" t="s">
        <v>849</v>
      </c>
      <c r="X169">
        <v>2634099850</v>
      </c>
      <c r="Y169">
        <v>263501001</v>
      </c>
      <c r="Z169" s="3">
        <v>45540.522916666669</v>
      </c>
      <c r="AA169" s="6">
        <v>2024</v>
      </c>
      <c r="AB169" s="1">
        <v>45595</v>
      </c>
    </row>
    <row r="170" spans="1:28" x14ac:dyDescent="0.3">
      <c r="A170" t="s">
        <v>955</v>
      </c>
      <c r="B170" s="6" t="s">
        <v>177</v>
      </c>
      <c r="C170" s="6" t="s">
        <v>62</v>
      </c>
      <c r="D170">
        <v>4027122645</v>
      </c>
      <c r="E170">
        <v>402701001</v>
      </c>
      <c r="F170" t="s">
        <v>44</v>
      </c>
      <c r="G170">
        <v>0</v>
      </c>
      <c r="J170" s="8">
        <v>45400</v>
      </c>
      <c r="K170" s="1" t="s">
        <v>33</v>
      </c>
      <c r="L170" t="s">
        <v>956</v>
      </c>
      <c r="M170" t="s">
        <v>179</v>
      </c>
      <c r="N170" s="2">
        <v>668750</v>
      </c>
      <c r="O170" t="s">
        <v>957</v>
      </c>
      <c r="P170" s="6" t="s">
        <v>544</v>
      </c>
      <c r="Q170" t="s">
        <v>37</v>
      </c>
      <c r="R170" t="s">
        <v>66</v>
      </c>
      <c r="S170" s="9">
        <v>6687.5</v>
      </c>
      <c r="T170" s="9">
        <v>100</v>
      </c>
      <c r="U170" s="9">
        <v>668750</v>
      </c>
      <c r="V170" s="6" t="s">
        <v>61</v>
      </c>
      <c r="W170" t="s">
        <v>59</v>
      </c>
      <c r="X170">
        <v>4027022305</v>
      </c>
      <c r="Y170">
        <v>402701001</v>
      </c>
      <c r="Z170" s="3">
        <v>45532.351388888892</v>
      </c>
      <c r="AA170" s="6">
        <v>2024</v>
      </c>
      <c r="AB170" s="1">
        <v>45657</v>
      </c>
    </row>
    <row r="171" spans="1:28" x14ac:dyDescent="0.3">
      <c r="A171" t="s">
        <v>958</v>
      </c>
      <c r="B171" s="6" t="s">
        <v>959</v>
      </c>
      <c r="C171" s="6" t="s">
        <v>960</v>
      </c>
      <c r="D171">
        <v>105023439</v>
      </c>
      <c r="E171">
        <v>10501001</v>
      </c>
      <c r="F171" t="s">
        <v>149</v>
      </c>
      <c r="G171" t="s">
        <v>961</v>
      </c>
      <c r="H171" s="1">
        <v>45397</v>
      </c>
      <c r="J171" s="8">
        <v>45400</v>
      </c>
      <c r="K171" s="1" t="s">
        <v>33</v>
      </c>
      <c r="L171" t="s">
        <v>962</v>
      </c>
      <c r="M171" t="s">
        <v>273</v>
      </c>
      <c r="N171" s="2">
        <v>4949184.5</v>
      </c>
      <c r="O171" t="s">
        <v>440</v>
      </c>
      <c r="P171" s="6" t="s">
        <v>36</v>
      </c>
      <c r="Q171" t="s">
        <v>37</v>
      </c>
      <c r="R171" t="s">
        <v>240</v>
      </c>
      <c r="S171" s="9">
        <v>5822.57</v>
      </c>
      <c r="T171" s="9">
        <v>850</v>
      </c>
      <c r="U171" s="9">
        <v>4949184.5</v>
      </c>
      <c r="V171" s="6" t="s">
        <v>39</v>
      </c>
      <c r="W171" t="s">
        <v>40</v>
      </c>
      <c r="X171">
        <v>7810687137</v>
      </c>
      <c r="Y171">
        <v>781401001</v>
      </c>
      <c r="Z171" s="3">
        <v>45441.5</v>
      </c>
      <c r="AA171" s="6">
        <v>2024</v>
      </c>
      <c r="AB171" s="1">
        <v>45450</v>
      </c>
    </row>
    <row r="172" spans="1:28" x14ac:dyDescent="0.3">
      <c r="A172" t="s">
        <v>963</v>
      </c>
      <c r="B172" s="6" t="s">
        <v>964</v>
      </c>
      <c r="C172" s="6" t="s">
        <v>965</v>
      </c>
      <c r="D172">
        <v>7021021653</v>
      </c>
      <c r="E172">
        <v>701701001</v>
      </c>
      <c r="F172" t="s">
        <v>52</v>
      </c>
      <c r="G172" t="s">
        <v>966</v>
      </c>
      <c r="H172" s="1">
        <v>45390</v>
      </c>
      <c r="I172" t="s">
        <v>967</v>
      </c>
      <c r="J172" s="8">
        <v>45401</v>
      </c>
      <c r="K172" s="1" t="s">
        <v>33</v>
      </c>
      <c r="L172" t="s">
        <v>968</v>
      </c>
      <c r="M172" t="s">
        <v>969</v>
      </c>
      <c r="N172" s="2">
        <v>30829475.640000001</v>
      </c>
      <c r="O172" t="s">
        <v>440</v>
      </c>
      <c r="P172" s="6" t="s">
        <v>36</v>
      </c>
      <c r="Q172" t="s">
        <v>37</v>
      </c>
      <c r="R172" t="s">
        <v>240</v>
      </c>
      <c r="S172" s="9">
        <v>5981.66</v>
      </c>
      <c r="T172" s="9">
        <v>5154</v>
      </c>
      <c r="U172" s="9">
        <v>30829475.640000001</v>
      </c>
      <c r="V172" s="6" t="s">
        <v>58</v>
      </c>
      <c r="W172" t="s">
        <v>59</v>
      </c>
      <c r="X172">
        <v>5262222144</v>
      </c>
      <c r="Y172">
        <v>526201001</v>
      </c>
      <c r="Z172" s="3">
        <v>45435.429166666669</v>
      </c>
      <c r="AA172" s="6">
        <v>2024</v>
      </c>
      <c r="AB172" s="1">
        <v>45505</v>
      </c>
    </row>
    <row r="173" spans="1:28" x14ac:dyDescent="0.3">
      <c r="A173" t="s">
        <v>970</v>
      </c>
      <c r="B173" s="6" t="s">
        <v>204</v>
      </c>
      <c r="C173" s="6" t="s">
        <v>205</v>
      </c>
      <c r="D173">
        <v>4101173350</v>
      </c>
      <c r="E173">
        <v>410101001</v>
      </c>
      <c r="F173" t="s">
        <v>52</v>
      </c>
      <c r="G173" t="s">
        <v>971</v>
      </c>
      <c r="H173" s="1">
        <v>45390</v>
      </c>
      <c r="I173" t="s">
        <v>972</v>
      </c>
      <c r="J173" s="8">
        <v>45401</v>
      </c>
      <c r="K173" s="1" t="s">
        <v>33</v>
      </c>
      <c r="L173" t="s">
        <v>971</v>
      </c>
      <c r="M173" t="s">
        <v>973</v>
      </c>
      <c r="N173" s="2">
        <v>12228000</v>
      </c>
      <c r="O173" t="s">
        <v>273</v>
      </c>
      <c r="P173" s="6" t="s">
        <v>36</v>
      </c>
      <c r="Q173" t="s">
        <v>37</v>
      </c>
      <c r="R173" t="s">
        <v>240</v>
      </c>
      <c r="S173" s="9">
        <v>6000</v>
      </c>
      <c r="T173" s="9">
        <v>2038</v>
      </c>
      <c r="U173" s="9">
        <v>12228000</v>
      </c>
      <c r="V173" s="6" t="s">
        <v>58</v>
      </c>
      <c r="W173" t="s">
        <v>59</v>
      </c>
      <c r="X173">
        <v>5262222144</v>
      </c>
      <c r="Y173">
        <v>526201001</v>
      </c>
      <c r="Z173" s="3">
        <v>45469.106249999997</v>
      </c>
      <c r="AA173" s="6">
        <v>2024</v>
      </c>
      <c r="AB173" s="1">
        <v>45504</v>
      </c>
    </row>
    <row r="174" spans="1:28" x14ac:dyDescent="0.3">
      <c r="A174" t="s">
        <v>974</v>
      </c>
      <c r="B174" s="6" t="s">
        <v>975</v>
      </c>
      <c r="C174" s="6" t="s">
        <v>213</v>
      </c>
      <c r="D174">
        <v>1658012247</v>
      </c>
      <c r="E174">
        <v>165701001</v>
      </c>
      <c r="F174" t="s">
        <v>52</v>
      </c>
      <c r="G174" t="s">
        <v>976</v>
      </c>
      <c r="H174" s="1">
        <v>45391</v>
      </c>
      <c r="I174" t="s">
        <v>977</v>
      </c>
      <c r="J174" s="8">
        <v>45404</v>
      </c>
      <c r="K174" s="1" t="s">
        <v>33</v>
      </c>
      <c r="L174" t="s">
        <v>978</v>
      </c>
      <c r="M174" t="s">
        <v>979</v>
      </c>
      <c r="N174" s="2">
        <v>5621488</v>
      </c>
      <c r="O174" t="s">
        <v>332</v>
      </c>
      <c r="P174" s="6" t="s">
        <v>36</v>
      </c>
      <c r="Q174" t="s">
        <v>37</v>
      </c>
      <c r="R174" t="s">
        <v>240</v>
      </c>
      <c r="S174" s="9">
        <v>6500</v>
      </c>
      <c r="T174" s="9">
        <v>40</v>
      </c>
      <c r="U174" s="9">
        <v>260000</v>
      </c>
      <c r="V174" s="6" t="s">
        <v>333</v>
      </c>
      <c r="W174" t="s">
        <v>59</v>
      </c>
      <c r="X174">
        <v>1657084827</v>
      </c>
      <c r="Y174">
        <v>165601001</v>
      </c>
      <c r="Z174" s="3">
        <v>45654.498611111114</v>
      </c>
      <c r="AA174" s="6">
        <v>2024</v>
      </c>
      <c r="AB174" s="1">
        <v>45651</v>
      </c>
    </row>
    <row r="175" spans="1:28" x14ac:dyDescent="0.3">
      <c r="A175" t="s">
        <v>980</v>
      </c>
      <c r="B175" s="6" t="s">
        <v>981</v>
      </c>
      <c r="C175" s="6" t="s">
        <v>164</v>
      </c>
      <c r="D175">
        <v>7704014010</v>
      </c>
      <c r="E175">
        <v>770401001</v>
      </c>
      <c r="F175" t="s">
        <v>52</v>
      </c>
      <c r="G175" t="s">
        <v>982</v>
      </c>
      <c r="H175" s="1">
        <v>45393</v>
      </c>
      <c r="I175" t="s">
        <v>983</v>
      </c>
      <c r="J175" s="8">
        <v>45404</v>
      </c>
      <c r="K175" s="1" t="s">
        <v>33</v>
      </c>
      <c r="L175" t="s">
        <v>984</v>
      </c>
      <c r="M175" t="s">
        <v>985</v>
      </c>
      <c r="N175" s="2">
        <v>258000</v>
      </c>
      <c r="O175" t="s">
        <v>332</v>
      </c>
      <c r="P175" s="6" t="s">
        <v>36</v>
      </c>
      <c r="Q175" t="s">
        <v>37</v>
      </c>
      <c r="R175" t="s">
        <v>240</v>
      </c>
      <c r="S175" s="9">
        <v>6000</v>
      </c>
      <c r="T175" s="9">
        <v>43</v>
      </c>
      <c r="U175" s="9">
        <v>258000</v>
      </c>
      <c r="V175" s="6" t="s">
        <v>90</v>
      </c>
      <c r="W175" t="s">
        <v>59</v>
      </c>
      <c r="X175">
        <v>5259153331</v>
      </c>
      <c r="Y175">
        <v>525901001</v>
      </c>
      <c r="Z175" s="3">
        <v>45546.699305555558</v>
      </c>
      <c r="AA175" s="6">
        <v>2024</v>
      </c>
      <c r="AB175" s="1">
        <v>45657</v>
      </c>
    </row>
    <row r="176" spans="1:28" x14ac:dyDescent="0.3">
      <c r="A176" t="s">
        <v>986</v>
      </c>
      <c r="B176" s="6" t="s">
        <v>959</v>
      </c>
      <c r="C176" s="6" t="s">
        <v>960</v>
      </c>
      <c r="D176">
        <v>105023439</v>
      </c>
      <c r="E176">
        <v>10501001</v>
      </c>
      <c r="F176" t="s">
        <v>149</v>
      </c>
      <c r="G176" t="s">
        <v>987</v>
      </c>
      <c r="H176" s="1">
        <v>45399</v>
      </c>
      <c r="J176" s="8">
        <v>45404</v>
      </c>
      <c r="K176" s="1" t="s">
        <v>33</v>
      </c>
      <c r="L176" t="s">
        <v>988</v>
      </c>
      <c r="M176" t="s">
        <v>273</v>
      </c>
      <c r="N176" s="2">
        <v>3010268.69</v>
      </c>
      <c r="O176" t="s">
        <v>440</v>
      </c>
      <c r="P176" s="6" t="s">
        <v>36</v>
      </c>
      <c r="Q176" t="s">
        <v>37</v>
      </c>
      <c r="R176" t="s">
        <v>240</v>
      </c>
      <c r="S176" s="9">
        <v>5822.57</v>
      </c>
      <c r="T176" s="9">
        <v>517</v>
      </c>
      <c r="U176" s="9">
        <v>3010268.69</v>
      </c>
      <c r="V176" s="6" t="s">
        <v>39</v>
      </c>
      <c r="W176" t="s">
        <v>40</v>
      </c>
      <c r="X176">
        <v>7810687137</v>
      </c>
      <c r="Y176">
        <v>781401001</v>
      </c>
      <c r="Z176" s="3">
        <v>45441.511111111111</v>
      </c>
      <c r="AA176" s="6">
        <v>2024</v>
      </c>
      <c r="AB176" s="1">
        <v>45444</v>
      </c>
    </row>
    <row r="177" spans="1:28" x14ac:dyDescent="0.3">
      <c r="A177" t="s">
        <v>958</v>
      </c>
      <c r="B177" s="6" t="s">
        <v>959</v>
      </c>
      <c r="C177" s="6" t="s">
        <v>960</v>
      </c>
      <c r="D177">
        <v>105023439</v>
      </c>
      <c r="E177">
        <v>10501001</v>
      </c>
      <c r="F177" t="s">
        <v>149</v>
      </c>
      <c r="G177" t="s">
        <v>961</v>
      </c>
      <c r="H177" s="1">
        <v>45399</v>
      </c>
      <c r="J177" s="8">
        <v>45404</v>
      </c>
      <c r="K177" s="1" t="s">
        <v>33</v>
      </c>
      <c r="L177" t="s">
        <v>989</v>
      </c>
      <c r="M177" t="s">
        <v>273</v>
      </c>
      <c r="N177" s="2">
        <v>4949184.5</v>
      </c>
      <c r="O177" t="s">
        <v>440</v>
      </c>
      <c r="P177" s="6" t="s">
        <v>36</v>
      </c>
      <c r="Q177" t="s">
        <v>37</v>
      </c>
      <c r="R177" t="s">
        <v>240</v>
      </c>
      <c r="S177" s="9">
        <v>5822.57</v>
      </c>
      <c r="T177" s="9">
        <v>850</v>
      </c>
      <c r="U177" s="9">
        <v>4949184.5</v>
      </c>
      <c r="V177" s="6" t="s">
        <v>39</v>
      </c>
      <c r="W177" t="s">
        <v>40</v>
      </c>
      <c r="X177">
        <v>7810687137</v>
      </c>
      <c r="Y177">
        <v>781401001</v>
      </c>
      <c r="Z177" s="3">
        <v>45441.501388888886</v>
      </c>
      <c r="AA177" s="6">
        <v>2024</v>
      </c>
      <c r="AB177" s="1">
        <v>45454</v>
      </c>
    </row>
    <row r="178" spans="1:28" x14ac:dyDescent="0.3">
      <c r="A178" t="s">
        <v>990</v>
      </c>
      <c r="B178" s="6" t="s">
        <v>991</v>
      </c>
      <c r="C178" s="6" t="s">
        <v>368</v>
      </c>
      <c r="D178">
        <v>4825005085</v>
      </c>
      <c r="E178">
        <v>482501001</v>
      </c>
      <c r="F178" t="s">
        <v>52</v>
      </c>
      <c r="G178" t="s">
        <v>992</v>
      </c>
      <c r="H178" s="1">
        <v>45391</v>
      </c>
      <c r="I178" t="s">
        <v>993</v>
      </c>
      <c r="J178" s="8">
        <v>45404</v>
      </c>
      <c r="K178" s="1" t="s">
        <v>33</v>
      </c>
      <c r="L178" t="s">
        <v>994</v>
      </c>
      <c r="M178" t="s">
        <v>995</v>
      </c>
      <c r="N178" s="2">
        <v>42598050</v>
      </c>
      <c r="O178" t="s">
        <v>239</v>
      </c>
      <c r="P178" s="6" t="s">
        <v>36</v>
      </c>
      <c r="Q178" t="s">
        <v>37</v>
      </c>
      <c r="R178" t="s">
        <v>240</v>
      </c>
      <c r="S178" s="9">
        <v>6050</v>
      </c>
      <c r="T178" s="9">
        <v>7041</v>
      </c>
      <c r="U178" s="9">
        <v>42598050</v>
      </c>
      <c r="V178" s="6" t="s">
        <v>39</v>
      </c>
      <c r="W178" t="s">
        <v>40</v>
      </c>
      <c r="X178">
        <v>7810687137</v>
      </c>
      <c r="Y178">
        <v>781401001</v>
      </c>
      <c r="Z178" s="3">
        <v>45481.425000000003</v>
      </c>
      <c r="AA178" s="6">
        <v>2024</v>
      </c>
      <c r="AB178" s="1">
        <v>45657</v>
      </c>
    </row>
    <row r="179" spans="1:28" x14ac:dyDescent="0.3">
      <c r="A179" t="s">
        <v>996</v>
      </c>
      <c r="B179" s="6" t="s">
        <v>997</v>
      </c>
      <c r="C179" s="6" t="s">
        <v>336</v>
      </c>
      <c r="D179">
        <v>5905061070</v>
      </c>
      <c r="E179">
        <v>590501001</v>
      </c>
      <c r="F179" t="s">
        <v>52</v>
      </c>
      <c r="G179" t="s">
        <v>998</v>
      </c>
      <c r="H179" s="1">
        <v>45393</v>
      </c>
      <c r="I179" t="s">
        <v>999</v>
      </c>
      <c r="J179" s="8">
        <v>45404</v>
      </c>
      <c r="K179" s="1" t="s">
        <v>33</v>
      </c>
      <c r="L179" t="s">
        <v>1000</v>
      </c>
      <c r="M179" t="s">
        <v>1001</v>
      </c>
      <c r="N179" s="2">
        <v>111696000</v>
      </c>
      <c r="O179" t="s">
        <v>440</v>
      </c>
      <c r="P179" s="6" t="s">
        <v>36</v>
      </c>
      <c r="Q179" t="s">
        <v>37</v>
      </c>
      <c r="R179" t="s">
        <v>240</v>
      </c>
      <c r="S179" s="9">
        <v>6000</v>
      </c>
      <c r="T179" s="9">
        <f>U179/S179</f>
        <v>18616</v>
      </c>
      <c r="U179" s="9">
        <v>111696000</v>
      </c>
      <c r="V179" s="6" t="s">
        <v>58</v>
      </c>
      <c r="W179" t="s">
        <v>59</v>
      </c>
      <c r="X179">
        <v>5262222144</v>
      </c>
      <c r="Y179">
        <v>526201001</v>
      </c>
      <c r="Z179" s="3">
        <v>45638.30972222222</v>
      </c>
      <c r="AA179" s="6">
        <v>2024</v>
      </c>
      <c r="AB179" s="1">
        <v>45657</v>
      </c>
    </row>
    <row r="180" spans="1:28" x14ac:dyDescent="0.3">
      <c r="A180" t="s">
        <v>1002</v>
      </c>
      <c r="B180" s="6" t="s">
        <v>1003</v>
      </c>
      <c r="C180" s="6" t="s">
        <v>1004</v>
      </c>
      <c r="D180">
        <v>816025842</v>
      </c>
      <c r="E180">
        <v>81601001</v>
      </c>
      <c r="F180" t="s">
        <v>52</v>
      </c>
      <c r="G180" t="s">
        <v>1005</v>
      </c>
      <c r="H180" s="1">
        <v>45394</v>
      </c>
      <c r="I180" t="s">
        <v>1006</v>
      </c>
      <c r="J180" s="8">
        <v>45405</v>
      </c>
      <c r="K180" s="1" t="s">
        <v>33</v>
      </c>
      <c r="L180" t="s">
        <v>1007</v>
      </c>
      <c r="M180" t="s">
        <v>1008</v>
      </c>
      <c r="N180" s="2">
        <v>3433056</v>
      </c>
      <c r="O180" t="s">
        <v>410</v>
      </c>
      <c r="P180" s="6" t="s">
        <v>36</v>
      </c>
      <c r="Q180" t="s">
        <v>37</v>
      </c>
      <c r="R180" t="s">
        <v>240</v>
      </c>
      <c r="S180" s="9">
        <v>6502</v>
      </c>
      <c r="T180" s="9">
        <v>528</v>
      </c>
      <c r="U180" s="9">
        <v>3433056</v>
      </c>
      <c r="V180" s="6" t="s">
        <v>1009</v>
      </c>
      <c r="W180" t="s">
        <v>40</v>
      </c>
      <c r="X180">
        <v>3443142095</v>
      </c>
      <c r="Y180">
        <v>344301001</v>
      </c>
      <c r="Z180" s="3">
        <v>45447.398611111108</v>
      </c>
      <c r="AA180" s="6">
        <v>2024</v>
      </c>
      <c r="AB180" s="1">
        <v>45471</v>
      </c>
    </row>
    <row r="181" spans="1:28" x14ac:dyDescent="0.3">
      <c r="A181" t="s">
        <v>1010</v>
      </c>
      <c r="B181" s="6" t="s">
        <v>1011</v>
      </c>
      <c r="C181" s="6" t="s">
        <v>427</v>
      </c>
      <c r="D181">
        <v>5190109972</v>
      </c>
      <c r="E181">
        <v>519001001</v>
      </c>
      <c r="F181" t="s">
        <v>52</v>
      </c>
      <c r="G181" t="s">
        <v>1012</v>
      </c>
      <c r="H181" s="1">
        <v>45394</v>
      </c>
      <c r="I181" t="s">
        <v>1013</v>
      </c>
      <c r="J181" s="8">
        <v>45405</v>
      </c>
      <c r="K181" s="1" t="s">
        <v>33</v>
      </c>
      <c r="L181" t="s">
        <v>1014</v>
      </c>
      <c r="M181" t="s">
        <v>1015</v>
      </c>
      <c r="N181" s="2">
        <v>37446060</v>
      </c>
      <c r="O181" t="s">
        <v>1016</v>
      </c>
      <c r="P181" s="6" t="s">
        <v>36</v>
      </c>
      <c r="Q181" t="s">
        <v>37</v>
      </c>
      <c r="R181" t="s">
        <v>66</v>
      </c>
      <c r="S181" s="9">
        <v>5620</v>
      </c>
      <c r="T181" s="9">
        <v>5126</v>
      </c>
      <c r="U181" s="9">
        <v>28808120</v>
      </c>
      <c r="V181" s="6" t="s">
        <v>39</v>
      </c>
      <c r="W181" t="s">
        <v>40</v>
      </c>
      <c r="X181">
        <v>7810687137</v>
      </c>
      <c r="Y181">
        <v>781401001</v>
      </c>
      <c r="Z181" s="3">
        <v>45650.646527777775</v>
      </c>
      <c r="AA181" s="6">
        <v>2024</v>
      </c>
      <c r="AB181" s="1">
        <v>45657</v>
      </c>
    </row>
    <row r="182" spans="1:28" x14ac:dyDescent="0.3">
      <c r="A182" t="s">
        <v>1010</v>
      </c>
      <c r="B182" s="6" t="s">
        <v>1011</v>
      </c>
      <c r="C182" s="6" t="s">
        <v>427</v>
      </c>
      <c r="D182">
        <v>5190109972</v>
      </c>
      <c r="E182">
        <v>519001001</v>
      </c>
      <c r="F182" t="s">
        <v>52</v>
      </c>
      <c r="G182" t="s">
        <v>1012</v>
      </c>
      <c r="H182" s="1">
        <v>45394</v>
      </c>
      <c r="I182" t="s">
        <v>1013</v>
      </c>
      <c r="J182" s="8">
        <v>45405</v>
      </c>
      <c r="K182" s="1" t="s">
        <v>33</v>
      </c>
      <c r="L182" t="s">
        <v>1014</v>
      </c>
      <c r="M182" t="s">
        <v>1015</v>
      </c>
      <c r="N182" s="2">
        <v>37446060</v>
      </c>
      <c r="O182" t="s">
        <v>1016</v>
      </c>
      <c r="P182" s="6" t="s">
        <v>36</v>
      </c>
      <c r="Q182" t="s">
        <v>37</v>
      </c>
      <c r="R182" t="s">
        <v>66</v>
      </c>
      <c r="S182" s="9">
        <v>5620</v>
      </c>
      <c r="T182" s="9">
        <v>1537</v>
      </c>
      <c r="U182" s="9">
        <v>8637940</v>
      </c>
      <c r="V182" s="6" t="s">
        <v>39</v>
      </c>
      <c r="W182" t="s">
        <v>40</v>
      </c>
      <c r="X182">
        <v>7810687137</v>
      </c>
      <c r="Y182">
        <v>781401001</v>
      </c>
      <c r="Z182" s="3">
        <v>45650.646527777775</v>
      </c>
      <c r="AA182" s="6">
        <v>2024</v>
      </c>
      <c r="AB182" s="1">
        <v>45657</v>
      </c>
    </row>
    <row r="183" spans="1:28" x14ac:dyDescent="0.3">
      <c r="A183" t="s">
        <v>1017</v>
      </c>
      <c r="B183" s="6" t="s">
        <v>121</v>
      </c>
      <c r="C183" s="6" t="s">
        <v>122</v>
      </c>
      <c r="D183">
        <v>5402155123</v>
      </c>
      <c r="E183">
        <v>540201001</v>
      </c>
      <c r="F183" t="s">
        <v>94</v>
      </c>
      <c r="G183" t="s">
        <v>1018</v>
      </c>
      <c r="H183" s="1">
        <v>45401</v>
      </c>
      <c r="J183" s="8">
        <v>45406</v>
      </c>
      <c r="K183" s="1" t="s">
        <v>33</v>
      </c>
      <c r="L183" t="s">
        <v>1019</v>
      </c>
      <c r="M183" t="s">
        <v>1020</v>
      </c>
      <c r="N183" s="2">
        <v>11920</v>
      </c>
      <c r="O183" t="s">
        <v>695</v>
      </c>
      <c r="P183" s="6" t="s">
        <v>36</v>
      </c>
      <c r="Q183" t="s">
        <v>37</v>
      </c>
      <c r="R183" t="s">
        <v>306</v>
      </c>
      <c r="S183" s="9">
        <v>5960</v>
      </c>
      <c r="T183" s="9">
        <v>2</v>
      </c>
      <c r="U183" s="9">
        <v>11920</v>
      </c>
      <c r="V183" s="6" t="s">
        <v>128</v>
      </c>
      <c r="W183" t="s">
        <v>129</v>
      </c>
      <c r="X183">
        <v>274110679</v>
      </c>
      <c r="Y183">
        <v>500801001</v>
      </c>
      <c r="Z183" s="3">
        <v>45594.487500000003</v>
      </c>
      <c r="AA183" s="6">
        <v>2024</v>
      </c>
      <c r="AB183" s="1">
        <v>45626</v>
      </c>
    </row>
    <row r="184" spans="1:28" x14ac:dyDescent="0.3">
      <c r="A184" t="s">
        <v>1021</v>
      </c>
      <c r="B184" s="6" t="s">
        <v>1022</v>
      </c>
      <c r="C184" s="6" t="s">
        <v>1023</v>
      </c>
      <c r="D184">
        <v>901024085</v>
      </c>
      <c r="E184">
        <v>90101001</v>
      </c>
      <c r="F184" t="s">
        <v>52</v>
      </c>
      <c r="G184" t="s">
        <v>1024</v>
      </c>
      <c r="H184" s="1">
        <v>45394</v>
      </c>
      <c r="I184" t="s">
        <v>1006</v>
      </c>
      <c r="J184" s="8">
        <v>45406</v>
      </c>
      <c r="K184" s="1" t="s">
        <v>33</v>
      </c>
      <c r="L184" t="s">
        <v>1024</v>
      </c>
      <c r="M184" t="s">
        <v>1025</v>
      </c>
      <c r="N184" s="2">
        <v>20404265.699999999</v>
      </c>
      <c r="O184" t="s">
        <v>440</v>
      </c>
      <c r="P184" s="6" t="s">
        <v>36</v>
      </c>
      <c r="Q184" t="s">
        <v>37</v>
      </c>
      <c r="R184" t="s">
        <v>240</v>
      </c>
      <c r="S184" s="9">
        <v>5749.3</v>
      </c>
      <c r="T184" s="9">
        <v>3549</v>
      </c>
      <c r="U184" s="9">
        <v>20404265.699999999</v>
      </c>
      <c r="V184" s="6" t="s">
        <v>111</v>
      </c>
      <c r="W184" t="s">
        <v>59</v>
      </c>
      <c r="X184">
        <v>5262258091</v>
      </c>
      <c r="Y184">
        <v>526201001</v>
      </c>
      <c r="Z184" s="3">
        <v>45446.672222222223</v>
      </c>
      <c r="AA184" s="6">
        <v>2024</v>
      </c>
      <c r="AB184" s="1">
        <v>45657</v>
      </c>
    </row>
    <row r="185" spans="1:28" x14ac:dyDescent="0.3">
      <c r="A185" t="s">
        <v>1026</v>
      </c>
      <c r="B185" s="6" t="s">
        <v>42</v>
      </c>
      <c r="C185" s="6" t="s">
        <v>43</v>
      </c>
      <c r="D185">
        <v>5609027223</v>
      </c>
      <c r="E185">
        <v>560901001</v>
      </c>
      <c r="F185" t="s">
        <v>44</v>
      </c>
      <c r="G185" t="s">
        <v>1027</v>
      </c>
      <c r="H185" s="1">
        <v>45391</v>
      </c>
      <c r="J185" s="8">
        <v>45407</v>
      </c>
      <c r="K185" s="1" t="s">
        <v>33</v>
      </c>
      <c r="L185">
        <v>32413402582</v>
      </c>
      <c r="M185" t="s">
        <v>72</v>
      </c>
      <c r="N185" s="2">
        <v>79780792</v>
      </c>
      <c r="P185" s="6" t="s">
        <v>36</v>
      </c>
      <c r="Q185" t="s">
        <v>37</v>
      </c>
      <c r="R185" t="s">
        <v>66</v>
      </c>
      <c r="S185" s="9">
        <v>5497.5738699007716</v>
      </c>
      <c r="T185" s="9">
        <v>14512</v>
      </c>
      <c r="U185" s="9">
        <v>79780792</v>
      </c>
      <c r="V185" s="6" t="s">
        <v>39</v>
      </c>
      <c r="W185" t="s">
        <v>40</v>
      </c>
      <c r="AA185" s="6">
        <v>2024</v>
      </c>
      <c r="AB185" s="1">
        <v>45657</v>
      </c>
    </row>
    <row r="186" spans="1:28" x14ac:dyDescent="0.3">
      <c r="A186" t="s">
        <v>1028</v>
      </c>
      <c r="B186" s="6" t="s">
        <v>1029</v>
      </c>
      <c r="C186" s="6" t="s">
        <v>1030</v>
      </c>
      <c r="D186">
        <v>7536149975</v>
      </c>
      <c r="E186">
        <v>753601001</v>
      </c>
      <c r="F186" t="s">
        <v>52</v>
      </c>
      <c r="G186" t="s">
        <v>1031</v>
      </c>
      <c r="H186" s="1">
        <v>45398</v>
      </c>
      <c r="J186" s="8">
        <v>45409</v>
      </c>
      <c r="K186" s="1" t="s">
        <v>33</v>
      </c>
      <c r="L186" t="s">
        <v>1032</v>
      </c>
      <c r="M186" t="s">
        <v>1033</v>
      </c>
      <c r="N186" s="2">
        <v>49766488.200000003</v>
      </c>
      <c r="O186" t="s">
        <v>1034</v>
      </c>
      <c r="P186" s="6" t="s">
        <v>36</v>
      </c>
      <c r="Q186" t="s">
        <v>37</v>
      </c>
      <c r="R186" t="s">
        <v>66</v>
      </c>
      <c r="S186" s="9">
        <v>6000.3</v>
      </c>
      <c r="T186" s="9">
        <v>8294</v>
      </c>
      <c r="U186" s="9">
        <v>49766488.200000003</v>
      </c>
      <c r="V186" s="6" t="s">
        <v>58</v>
      </c>
      <c r="W186" t="s">
        <v>59</v>
      </c>
      <c r="X186">
        <v>5262222144</v>
      </c>
      <c r="Y186">
        <v>526201001</v>
      </c>
      <c r="Z186" s="3">
        <v>45597.355555555558</v>
      </c>
      <c r="AA186" s="6">
        <v>2024</v>
      </c>
      <c r="AB186" s="1">
        <v>45657</v>
      </c>
    </row>
    <row r="187" spans="1:28" x14ac:dyDescent="0.3">
      <c r="A187" t="s">
        <v>1035</v>
      </c>
      <c r="B187" s="6" t="s">
        <v>516</v>
      </c>
      <c r="C187" s="6" t="s">
        <v>517</v>
      </c>
      <c r="D187">
        <v>9204023281</v>
      </c>
      <c r="E187">
        <v>920401001</v>
      </c>
      <c r="F187" t="s">
        <v>94</v>
      </c>
      <c r="G187" t="s">
        <v>1036</v>
      </c>
      <c r="H187" s="1">
        <v>45406</v>
      </c>
      <c r="I187" t="s">
        <v>1037</v>
      </c>
      <c r="J187" s="8">
        <v>45409</v>
      </c>
      <c r="K187" s="1" t="s">
        <v>33</v>
      </c>
      <c r="L187" t="s">
        <v>1038</v>
      </c>
      <c r="M187" t="s">
        <v>1039</v>
      </c>
      <c r="N187" s="2">
        <v>2937500</v>
      </c>
      <c r="O187" t="s">
        <v>1040</v>
      </c>
      <c r="P187" s="6" t="s">
        <v>36</v>
      </c>
      <c r="Q187" t="s">
        <v>37</v>
      </c>
      <c r="R187" t="s">
        <v>240</v>
      </c>
      <c r="S187" s="9">
        <v>5900</v>
      </c>
      <c r="T187" s="9">
        <v>250</v>
      </c>
      <c r="U187" s="9">
        <v>1475000</v>
      </c>
      <c r="V187" s="6" t="s">
        <v>282</v>
      </c>
      <c r="W187" t="s">
        <v>40</v>
      </c>
      <c r="X187">
        <v>9721067569</v>
      </c>
      <c r="Y187">
        <v>772101001</v>
      </c>
      <c r="Z187" s="3">
        <v>45603.701388888891</v>
      </c>
      <c r="AA187" s="6">
        <v>2024</v>
      </c>
      <c r="AB187" s="1">
        <v>45573</v>
      </c>
    </row>
    <row r="188" spans="1:28" x14ac:dyDescent="0.3">
      <c r="A188" t="s">
        <v>1035</v>
      </c>
      <c r="B188" s="6" t="s">
        <v>516</v>
      </c>
      <c r="C188" s="6" t="s">
        <v>517</v>
      </c>
      <c r="D188">
        <v>9204023281</v>
      </c>
      <c r="E188">
        <v>920401001</v>
      </c>
      <c r="F188" t="s">
        <v>94</v>
      </c>
      <c r="G188" t="s">
        <v>1036</v>
      </c>
      <c r="H188" s="1">
        <v>45406</v>
      </c>
      <c r="I188" t="s">
        <v>1037</v>
      </c>
      <c r="J188" s="8">
        <v>45409</v>
      </c>
      <c r="K188" s="1" t="s">
        <v>33</v>
      </c>
      <c r="L188" t="s">
        <v>1038</v>
      </c>
      <c r="M188" t="s">
        <v>1039</v>
      </c>
      <c r="N188" s="2">
        <v>2937500</v>
      </c>
      <c r="O188" t="s">
        <v>1040</v>
      </c>
      <c r="P188" s="6" t="s">
        <v>36</v>
      </c>
      <c r="Q188" t="s">
        <v>37</v>
      </c>
      <c r="R188" t="s">
        <v>240</v>
      </c>
      <c r="S188" s="9">
        <v>5850</v>
      </c>
      <c r="T188" s="9">
        <v>250</v>
      </c>
      <c r="U188" s="9">
        <v>1462500</v>
      </c>
      <c r="V188" s="6" t="s">
        <v>282</v>
      </c>
      <c r="W188" t="s">
        <v>40</v>
      </c>
      <c r="X188">
        <v>9721067569</v>
      </c>
      <c r="Y188">
        <v>772101001</v>
      </c>
      <c r="Z188" s="3">
        <v>45603.701388888891</v>
      </c>
      <c r="AA188" s="6">
        <v>2024</v>
      </c>
      <c r="AB188" s="1">
        <v>45573</v>
      </c>
    </row>
    <row r="189" spans="1:28" x14ac:dyDescent="0.3">
      <c r="A189" t="s">
        <v>1041</v>
      </c>
      <c r="B189" s="6" t="s">
        <v>1042</v>
      </c>
      <c r="C189" s="6" t="s">
        <v>114</v>
      </c>
      <c r="D189">
        <v>8605011281</v>
      </c>
      <c r="E189">
        <v>860501001</v>
      </c>
      <c r="F189" t="s">
        <v>94</v>
      </c>
      <c r="G189" t="s">
        <v>1043</v>
      </c>
      <c r="H189" s="1">
        <v>45406</v>
      </c>
      <c r="J189" s="8">
        <v>45409</v>
      </c>
      <c r="K189" s="1" t="s">
        <v>33</v>
      </c>
      <c r="L189" t="s">
        <v>1043</v>
      </c>
      <c r="M189" t="s">
        <v>1044</v>
      </c>
      <c r="N189" s="2">
        <v>147081</v>
      </c>
      <c r="O189" t="s">
        <v>1045</v>
      </c>
      <c r="P189" s="6" t="s">
        <v>36</v>
      </c>
      <c r="Q189" t="s">
        <v>37</v>
      </c>
      <c r="R189" t="s">
        <v>66</v>
      </c>
      <c r="S189" s="9">
        <v>6685.5</v>
      </c>
      <c r="T189" s="9">
        <v>22</v>
      </c>
      <c r="U189" s="9">
        <v>147081</v>
      </c>
      <c r="V189" s="6" t="s">
        <v>119</v>
      </c>
      <c r="W189" t="s">
        <v>59</v>
      </c>
      <c r="X189">
        <v>7810776309</v>
      </c>
      <c r="Y189">
        <v>780601001</v>
      </c>
      <c r="Z189" s="3">
        <v>45436.5</v>
      </c>
      <c r="AA189" s="6">
        <v>2024</v>
      </c>
      <c r="AB189" s="1">
        <v>45641</v>
      </c>
    </row>
    <row r="190" spans="1:28" x14ac:dyDescent="0.3">
      <c r="A190" t="s">
        <v>1046</v>
      </c>
      <c r="B190" s="6" t="s">
        <v>1047</v>
      </c>
      <c r="C190" s="6" t="s">
        <v>1048</v>
      </c>
      <c r="D190">
        <v>2901030477</v>
      </c>
      <c r="E190">
        <v>290101001</v>
      </c>
      <c r="F190" t="s">
        <v>52</v>
      </c>
      <c r="G190" t="s">
        <v>1049</v>
      </c>
      <c r="H190" s="1">
        <v>45399</v>
      </c>
      <c r="I190" t="s">
        <v>1050</v>
      </c>
      <c r="J190" s="8">
        <v>45414</v>
      </c>
      <c r="K190" s="1" t="s">
        <v>33</v>
      </c>
      <c r="L190" t="s">
        <v>1051</v>
      </c>
      <c r="M190" t="s">
        <v>1052</v>
      </c>
      <c r="N190" s="2">
        <v>150000</v>
      </c>
      <c r="O190" t="s">
        <v>332</v>
      </c>
      <c r="P190" s="6" t="s">
        <v>36</v>
      </c>
      <c r="Q190" t="s">
        <v>37</v>
      </c>
      <c r="R190" t="s">
        <v>240</v>
      </c>
      <c r="S190" s="9">
        <v>6000</v>
      </c>
      <c r="T190" s="9">
        <v>25</v>
      </c>
      <c r="U190" s="9">
        <v>150000</v>
      </c>
      <c r="V190" s="6" t="s">
        <v>90</v>
      </c>
      <c r="W190" t="s">
        <v>59</v>
      </c>
      <c r="X190">
        <v>5259153331</v>
      </c>
      <c r="Y190">
        <v>525901001</v>
      </c>
      <c r="Z190" s="3">
        <v>45489.570138888892</v>
      </c>
      <c r="AA190" s="6">
        <v>2024</v>
      </c>
      <c r="AB190" s="1">
        <v>45472</v>
      </c>
    </row>
    <row r="191" spans="1:28" x14ac:dyDescent="0.3">
      <c r="A191" t="s">
        <v>1053</v>
      </c>
      <c r="B191" s="6" t="s">
        <v>796</v>
      </c>
      <c r="C191" s="6" t="s">
        <v>69</v>
      </c>
      <c r="D191">
        <v>8901007006</v>
      </c>
      <c r="E191">
        <v>890101001</v>
      </c>
      <c r="F191" t="s">
        <v>52</v>
      </c>
      <c r="G191" t="s">
        <v>1054</v>
      </c>
      <c r="H191" s="1">
        <v>45399</v>
      </c>
      <c r="J191" s="8">
        <v>45414</v>
      </c>
      <c r="K191" s="1" t="s">
        <v>33</v>
      </c>
      <c r="L191" t="s">
        <v>1055</v>
      </c>
      <c r="M191" t="s">
        <v>339</v>
      </c>
      <c r="N191" s="2">
        <v>14532180</v>
      </c>
      <c r="O191" t="s">
        <v>440</v>
      </c>
      <c r="P191" s="6" t="s">
        <v>36</v>
      </c>
      <c r="Q191" t="s">
        <v>37</v>
      </c>
      <c r="R191" t="s">
        <v>240</v>
      </c>
      <c r="S191" s="9">
        <v>6010</v>
      </c>
      <c r="T191" s="9">
        <v>2418</v>
      </c>
      <c r="U191" s="9">
        <v>14532180</v>
      </c>
      <c r="V191" s="6" t="s">
        <v>58</v>
      </c>
      <c r="W191" t="s">
        <v>59</v>
      </c>
      <c r="X191">
        <v>5262222144</v>
      </c>
      <c r="Y191">
        <v>526201001</v>
      </c>
      <c r="Z191" s="3">
        <v>45553.634027777778</v>
      </c>
      <c r="AA191" s="6">
        <v>2024</v>
      </c>
      <c r="AB191" s="1">
        <v>45607</v>
      </c>
    </row>
    <row r="192" spans="1:28" x14ac:dyDescent="0.3">
      <c r="A192" t="s">
        <v>1056</v>
      </c>
      <c r="B192" s="6" t="s">
        <v>361</v>
      </c>
      <c r="C192" s="6" t="s">
        <v>164</v>
      </c>
      <c r="D192">
        <v>7714338609</v>
      </c>
      <c r="E192">
        <v>771401001</v>
      </c>
      <c r="F192" t="s">
        <v>94</v>
      </c>
      <c r="G192" t="s">
        <v>1057</v>
      </c>
      <c r="H192" s="1">
        <v>45407</v>
      </c>
      <c r="I192" t="s">
        <v>1058</v>
      </c>
      <c r="J192" s="8">
        <v>45414</v>
      </c>
      <c r="K192" s="1" t="s">
        <v>33</v>
      </c>
      <c r="L192" t="s">
        <v>1059</v>
      </c>
      <c r="M192" t="s">
        <v>1060</v>
      </c>
      <c r="N192" s="2">
        <v>144300</v>
      </c>
      <c r="O192" t="s">
        <v>273</v>
      </c>
      <c r="P192" s="6" t="s">
        <v>36</v>
      </c>
      <c r="Q192" t="s">
        <v>37</v>
      </c>
      <c r="R192" t="s">
        <v>240</v>
      </c>
      <c r="S192" s="9">
        <v>5550</v>
      </c>
      <c r="T192" s="9">
        <v>26</v>
      </c>
      <c r="U192" s="9">
        <v>144300</v>
      </c>
      <c r="V192" s="6" t="s">
        <v>128</v>
      </c>
      <c r="W192" t="s">
        <v>129</v>
      </c>
      <c r="X192">
        <v>274110679</v>
      </c>
      <c r="Y192">
        <v>500801001</v>
      </c>
      <c r="Z192" s="3">
        <v>45467.384722222225</v>
      </c>
      <c r="AA192" s="6">
        <v>2024</v>
      </c>
      <c r="AB192" s="1">
        <v>45478</v>
      </c>
    </row>
    <row r="193" spans="1:28" x14ac:dyDescent="0.3">
      <c r="A193" t="s">
        <v>1061</v>
      </c>
      <c r="B193" s="6" t="s">
        <v>851</v>
      </c>
      <c r="C193" s="6" t="s">
        <v>852</v>
      </c>
      <c r="D193">
        <v>1435360610</v>
      </c>
      <c r="E193">
        <v>143501001</v>
      </c>
      <c r="F193" t="s">
        <v>52</v>
      </c>
      <c r="G193" t="s">
        <v>1062</v>
      </c>
      <c r="H193" s="1">
        <v>45398</v>
      </c>
      <c r="J193" s="8">
        <v>45414</v>
      </c>
      <c r="K193" s="1" t="s">
        <v>33</v>
      </c>
      <c r="L193" t="s">
        <v>1062</v>
      </c>
      <c r="M193" t="s">
        <v>855</v>
      </c>
      <c r="N193" s="2">
        <v>22107085.109999999</v>
      </c>
      <c r="O193" t="s">
        <v>440</v>
      </c>
      <c r="P193" s="6" t="s">
        <v>36</v>
      </c>
      <c r="Q193" t="s">
        <v>37</v>
      </c>
      <c r="R193" t="s">
        <v>240</v>
      </c>
      <c r="S193" s="9">
        <v>6000</v>
      </c>
      <c r="T193" s="9">
        <f>U193/S193</f>
        <v>3684.514185</v>
      </c>
      <c r="U193" s="9">
        <v>22107085.109999999</v>
      </c>
      <c r="V193" s="6" t="s">
        <v>39</v>
      </c>
      <c r="W193" t="s">
        <v>40</v>
      </c>
      <c r="X193">
        <v>7810687137</v>
      </c>
      <c r="Y193">
        <v>781401001</v>
      </c>
      <c r="Z193" s="3">
        <v>45509.45</v>
      </c>
      <c r="AA193" s="6">
        <v>2024</v>
      </c>
      <c r="AB193" s="1">
        <v>45657</v>
      </c>
    </row>
    <row r="194" spans="1:28" x14ac:dyDescent="0.3">
      <c r="A194" t="s">
        <v>1063</v>
      </c>
      <c r="B194" s="6" t="s">
        <v>538</v>
      </c>
      <c r="C194" s="6" t="s">
        <v>539</v>
      </c>
      <c r="D194">
        <v>7808043833</v>
      </c>
      <c r="E194">
        <v>784101001</v>
      </c>
      <c r="F194" t="s">
        <v>52</v>
      </c>
      <c r="G194" t="s">
        <v>1064</v>
      </c>
      <c r="H194" s="1">
        <v>45399</v>
      </c>
      <c r="I194" t="s">
        <v>1065</v>
      </c>
      <c r="J194" s="8">
        <v>45414</v>
      </c>
      <c r="K194" s="1" t="s">
        <v>33</v>
      </c>
      <c r="L194" t="s">
        <v>1066</v>
      </c>
      <c r="M194" t="s">
        <v>1067</v>
      </c>
      <c r="N194" s="2">
        <v>588000000</v>
      </c>
      <c r="O194" t="s">
        <v>847</v>
      </c>
      <c r="P194" s="6" t="s">
        <v>464</v>
      </c>
      <c r="Q194" t="s">
        <v>37</v>
      </c>
      <c r="R194" t="s">
        <v>66</v>
      </c>
      <c r="S194" s="9">
        <v>4900</v>
      </c>
      <c r="T194" s="9">
        <v>120000</v>
      </c>
      <c r="U194" s="9">
        <v>588000000</v>
      </c>
      <c r="V194" s="6" t="s">
        <v>1068</v>
      </c>
      <c r="W194" t="s">
        <v>1069</v>
      </c>
      <c r="X194">
        <v>7731241639</v>
      </c>
      <c r="Y194">
        <v>500301001</v>
      </c>
      <c r="Z194" s="3">
        <v>45598.509722222225</v>
      </c>
      <c r="AA194" s="6">
        <v>2024</v>
      </c>
      <c r="AB194" s="1">
        <v>45657</v>
      </c>
    </row>
    <row r="195" spans="1:28" x14ac:dyDescent="0.3">
      <c r="A195" t="s">
        <v>1070</v>
      </c>
      <c r="B195" s="6" t="s">
        <v>491</v>
      </c>
      <c r="C195" s="6" t="s">
        <v>492</v>
      </c>
      <c r="D195">
        <v>2724041260</v>
      </c>
      <c r="E195">
        <v>272101001</v>
      </c>
      <c r="F195" t="s">
        <v>94</v>
      </c>
      <c r="G195" t="s">
        <v>1071</v>
      </c>
      <c r="H195" s="1">
        <v>45407</v>
      </c>
      <c r="I195" t="s">
        <v>1072</v>
      </c>
      <c r="J195" s="8">
        <v>45414</v>
      </c>
      <c r="K195" s="1" t="s">
        <v>33</v>
      </c>
      <c r="L195" t="s">
        <v>1071</v>
      </c>
      <c r="M195" t="s">
        <v>1073</v>
      </c>
      <c r="N195" s="2">
        <v>642600</v>
      </c>
      <c r="O195" t="s">
        <v>1074</v>
      </c>
      <c r="P195" s="6" t="s">
        <v>36</v>
      </c>
      <c r="Q195" t="s">
        <v>37</v>
      </c>
      <c r="R195" t="s">
        <v>48</v>
      </c>
      <c r="S195" s="9">
        <v>5950</v>
      </c>
      <c r="T195" s="9">
        <v>108</v>
      </c>
      <c r="U195" s="9">
        <v>642600</v>
      </c>
      <c r="V195" s="6" t="s">
        <v>352</v>
      </c>
      <c r="W195" t="s">
        <v>40</v>
      </c>
      <c r="X195">
        <v>7843014747</v>
      </c>
      <c r="Y195">
        <v>781401001</v>
      </c>
      <c r="Z195" s="3">
        <v>45632.321527777778</v>
      </c>
      <c r="AA195" s="6">
        <v>2024</v>
      </c>
      <c r="AB195" s="1">
        <v>45473</v>
      </c>
    </row>
    <row r="196" spans="1:28" x14ac:dyDescent="0.3">
      <c r="A196" t="s">
        <v>1075</v>
      </c>
      <c r="B196" s="6" t="s">
        <v>1076</v>
      </c>
      <c r="C196" s="6" t="s">
        <v>221</v>
      </c>
      <c r="D196">
        <v>7702066157</v>
      </c>
      <c r="E196">
        <v>770201001</v>
      </c>
      <c r="F196" t="s">
        <v>149</v>
      </c>
      <c r="G196" t="s">
        <v>1077</v>
      </c>
      <c r="H196" s="1">
        <v>45408</v>
      </c>
      <c r="J196" s="8">
        <v>45415</v>
      </c>
      <c r="K196" s="1" t="s">
        <v>33</v>
      </c>
      <c r="L196" t="s">
        <v>1077</v>
      </c>
      <c r="M196" t="s">
        <v>1078</v>
      </c>
      <c r="N196" s="2">
        <v>896250</v>
      </c>
      <c r="O196" t="s">
        <v>1078</v>
      </c>
      <c r="P196" s="6" t="s">
        <v>36</v>
      </c>
      <c r="Q196" t="s">
        <v>37</v>
      </c>
      <c r="R196" t="s">
        <v>240</v>
      </c>
      <c r="S196" s="9">
        <v>5975</v>
      </c>
      <c r="T196" s="9">
        <v>150</v>
      </c>
      <c r="U196" s="9">
        <v>896250</v>
      </c>
      <c r="V196" s="6" t="s">
        <v>1079</v>
      </c>
      <c r="W196" t="s">
        <v>129</v>
      </c>
      <c r="X196">
        <v>7709487997</v>
      </c>
      <c r="Y196">
        <v>770301001</v>
      </c>
      <c r="Z196" s="3">
        <v>45505.621527777781</v>
      </c>
      <c r="AA196" s="6">
        <v>2024</v>
      </c>
      <c r="AB196" s="1">
        <v>45840</v>
      </c>
    </row>
    <row r="197" spans="1:28" x14ac:dyDescent="0.3">
      <c r="A197" t="s">
        <v>1080</v>
      </c>
      <c r="B197" s="6" t="s">
        <v>491</v>
      </c>
      <c r="C197" s="6" t="s">
        <v>492</v>
      </c>
      <c r="D197">
        <v>2724041260</v>
      </c>
      <c r="E197">
        <v>272101001</v>
      </c>
      <c r="F197" t="s">
        <v>94</v>
      </c>
      <c r="G197" t="s">
        <v>1081</v>
      </c>
      <c r="H197" s="1">
        <v>45408</v>
      </c>
      <c r="I197" t="s">
        <v>1082</v>
      </c>
      <c r="J197" s="8">
        <v>45415</v>
      </c>
      <c r="K197" s="1" t="s">
        <v>33</v>
      </c>
      <c r="L197" t="s">
        <v>1081</v>
      </c>
      <c r="M197" t="s">
        <v>1073</v>
      </c>
      <c r="N197" s="2">
        <v>46686700</v>
      </c>
      <c r="O197" t="s">
        <v>1074</v>
      </c>
      <c r="P197" s="6" t="s">
        <v>36</v>
      </c>
      <c r="Q197" t="s">
        <v>37</v>
      </c>
      <c r="R197" t="s">
        <v>48</v>
      </c>
      <c r="S197" s="9">
        <v>5900</v>
      </c>
      <c r="T197" s="9">
        <v>7913</v>
      </c>
      <c r="U197" s="9">
        <v>46686700</v>
      </c>
      <c r="V197" s="6" t="s">
        <v>39</v>
      </c>
      <c r="W197" t="s">
        <v>40</v>
      </c>
      <c r="X197">
        <v>7810687137</v>
      </c>
      <c r="Y197">
        <v>781401001</v>
      </c>
      <c r="Z197" s="3">
        <v>45566.425694444442</v>
      </c>
      <c r="AA197" s="6">
        <v>2024</v>
      </c>
      <c r="AB197" s="1">
        <v>45446</v>
      </c>
    </row>
    <row r="198" spans="1:28" x14ac:dyDescent="0.3">
      <c r="A198" t="s">
        <v>1083</v>
      </c>
      <c r="B198" s="6" t="s">
        <v>121</v>
      </c>
      <c r="C198" s="6" t="s">
        <v>122</v>
      </c>
      <c r="D198">
        <v>5402155123</v>
      </c>
      <c r="E198">
        <v>540201001</v>
      </c>
      <c r="F198" t="s">
        <v>52</v>
      </c>
      <c r="G198" t="s">
        <v>1084</v>
      </c>
      <c r="H198" s="1">
        <v>45405</v>
      </c>
      <c r="J198" s="8">
        <v>45418</v>
      </c>
      <c r="K198" s="1" t="s">
        <v>33</v>
      </c>
      <c r="L198" t="s">
        <v>1085</v>
      </c>
      <c r="M198" t="s">
        <v>1086</v>
      </c>
      <c r="N198" s="2">
        <v>2980000</v>
      </c>
      <c r="O198" t="s">
        <v>694</v>
      </c>
      <c r="P198" s="6" t="s">
        <v>36</v>
      </c>
      <c r="Q198" t="s">
        <v>37</v>
      </c>
      <c r="R198" t="s">
        <v>240</v>
      </c>
      <c r="S198" s="9">
        <v>5960</v>
      </c>
      <c r="T198" s="9">
        <v>500</v>
      </c>
      <c r="U198" s="9">
        <v>2980000</v>
      </c>
      <c r="V198" s="6" t="s">
        <v>128</v>
      </c>
      <c r="W198" t="s">
        <v>129</v>
      </c>
      <c r="X198">
        <v>274110679</v>
      </c>
      <c r="Y198">
        <v>500801001</v>
      </c>
      <c r="Z198" s="3">
        <v>45435.4</v>
      </c>
      <c r="AA198" s="6">
        <v>2024</v>
      </c>
      <c r="AB198" s="1">
        <v>45626</v>
      </c>
    </row>
    <row r="199" spans="1:28" x14ac:dyDescent="0.3">
      <c r="A199" t="s">
        <v>1087</v>
      </c>
      <c r="B199" s="6" t="s">
        <v>1088</v>
      </c>
      <c r="C199" s="6" t="s">
        <v>355</v>
      </c>
      <c r="D199">
        <v>2466212607</v>
      </c>
      <c r="E199">
        <v>246601001</v>
      </c>
      <c r="F199" t="s">
        <v>52</v>
      </c>
      <c r="G199" t="s">
        <v>1089</v>
      </c>
      <c r="H199" s="1">
        <v>45405</v>
      </c>
      <c r="I199" t="s">
        <v>1090</v>
      </c>
      <c r="J199" s="8">
        <v>45418</v>
      </c>
      <c r="K199" s="1" t="s">
        <v>33</v>
      </c>
      <c r="L199" t="s">
        <v>1091</v>
      </c>
      <c r="M199" t="s">
        <v>1092</v>
      </c>
      <c r="N199" s="2">
        <v>98648914.120000005</v>
      </c>
      <c r="O199" t="s">
        <v>440</v>
      </c>
      <c r="P199" s="6" t="s">
        <v>36</v>
      </c>
      <c r="Q199" t="s">
        <v>37</v>
      </c>
      <c r="R199" t="s">
        <v>240</v>
      </c>
      <c r="S199" s="9">
        <v>5516.66</v>
      </c>
      <c r="T199" s="9">
        <v>17882</v>
      </c>
      <c r="U199" s="9">
        <v>98648914.120000005</v>
      </c>
      <c r="V199" s="6" t="s">
        <v>39</v>
      </c>
      <c r="W199" t="s">
        <v>40</v>
      </c>
      <c r="X199">
        <v>7810687137</v>
      </c>
      <c r="Y199">
        <v>781401001</v>
      </c>
      <c r="Z199" s="3">
        <v>45485.327777777777</v>
      </c>
      <c r="AA199" s="6">
        <v>2024</v>
      </c>
      <c r="AB199" s="1">
        <v>45656</v>
      </c>
    </row>
    <row r="200" spans="1:28" x14ac:dyDescent="0.3">
      <c r="A200" t="s">
        <v>1093</v>
      </c>
      <c r="B200" s="6" t="s">
        <v>1094</v>
      </c>
      <c r="C200" s="6" t="s">
        <v>479</v>
      </c>
      <c r="D200">
        <v>5504004638</v>
      </c>
      <c r="E200">
        <v>550401001</v>
      </c>
      <c r="F200" t="s">
        <v>52</v>
      </c>
      <c r="G200" t="s">
        <v>1095</v>
      </c>
      <c r="H200" s="1">
        <v>45407</v>
      </c>
      <c r="I200" t="s">
        <v>1096</v>
      </c>
      <c r="J200" s="8">
        <v>45418</v>
      </c>
      <c r="K200" s="1" t="s">
        <v>33</v>
      </c>
      <c r="L200" t="s">
        <v>1097</v>
      </c>
      <c r="M200" t="s">
        <v>179</v>
      </c>
      <c r="N200" s="2">
        <v>28800000</v>
      </c>
      <c r="O200" t="s">
        <v>273</v>
      </c>
      <c r="P200" s="6" t="s">
        <v>36</v>
      </c>
      <c r="Q200" t="s">
        <v>37</v>
      </c>
      <c r="R200" t="s">
        <v>240</v>
      </c>
      <c r="S200" s="9">
        <v>6000</v>
      </c>
      <c r="T200" s="9">
        <v>1200</v>
      </c>
      <c r="U200" s="9">
        <v>7200000</v>
      </c>
      <c r="V200" s="6" t="s">
        <v>58</v>
      </c>
      <c r="W200" t="s">
        <v>59</v>
      </c>
      <c r="X200">
        <v>5262222144</v>
      </c>
      <c r="Y200">
        <v>526201001</v>
      </c>
      <c r="Z200" s="3">
        <v>45610.563194444447</v>
      </c>
      <c r="AA200" s="6">
        <v>2024</v>
      </c>
      <c r="AB200" s="1">
        <v>45657</v>
      </c>
    </row>
    <row r="201" spans="1:28" x14ac:dyDescent="0.3">
      <c r="A201" t="s">
        <v>1093</v>
      </c>
      <c r="B201" s="6" t="s">
        <v>1094</v>
      </c>
      <c r="C201" s="6" t="s">
        <v>479</v>
      </c>
      <c r="D201">
        <v>5504004638</v>
      </c>
      <c r="E201">
        <v>550401001</v>
      </c>
      <c r="F201" t="s">
        <v>52</v>
      </c>
      <c r="G201" t="s">
        <v>1095</v>
      </c>
      <c r="H201" s="1">
        <v>45407</v>
      </c>
      <c r="I201" t="s">
        <v>1096</v>
      </c>
      <c r="J201" s="8">
        <v>45418</v>
      </c>
      <c r="K201" s="1" t="s">
        <v>33</v>
      </c>
      <c r="L201" t="s">
        <v>1097</v>
      </c>
      <c r="M201" t="s">
        <v>179</v>
      </c>
      <c r="N201" s="2">
        <v>28800000</v>
      </c>
      <c r="O201" t="s">
        <v>273</v>
      </c>
      <c r="P201" s="6" t="s">
        <v>36</v>
      </c>
      <c r="Q201" t="s">
        <v>37</v>
      </c>
      <c r="R201" t="s">
        <v>240</v>
      </c>
      <c r="S201" s="9">
        <v>6000</v>
      </c>
      <c r="T201" s="9">
        <v>1200</v>
      </c>
      <c r="U201" s="9">
        <v>7200000</v>
      </c>
      <c r="V201" s="6" t="s">
        <v>58</v>
      </c>
      <c r="W201" t="s">
        <v>59</v>
      </c>
      <c r="X201">
        <v>5262222144</v>
      </c>
      <c r="Y201">
        <v>526201001</v>
      </c>
      <c r="Z201" s="3">
        <v>45610.563194444447</v>
      </c>
      <c r="AA201" s="6">
        <v>2024</v>
      </c>
      <c r="AB201" s="1">
        <v>45657</v>
      </c>
    </row>
    <row r="202" spans="1:28" x14ac:dyDescent="0.3">
      <c r="A202" t="s">
        <v>1093</v>
      </c>
      <c r="B202" s="6" t="s">
        <v>1094</v>
      </c>
      <c r="C202" s="6" t="s">
        <v>479</v>
      </c>
      <c r="D202">
        <v>5504004638</v>
      </c>
      <c r="E202">
        <v>550401001</v>
      </c>
      <c r="F202" t="s">
        <v>52</v>
      </c>
      <c r="G202" t="s">
        <v>1095</v>
      </c>
      <c r="H202" s="1">
        <v>45407</v>
      </c>
      <c r="I202" t="s">
        <v>1096</v>
      </c>
      <c r="J202" s="8">
        <v>45418</v>
      </c>
      <c r="K202" s="1" t="s">
        <v>33</v>
      </c>
      <c r="L202" t="s">
        <v>1097</v>
      </c>
      <c r="M202" t="s">
        <v>179</v>
      </c>
      <c r="N202" s="2">
        <v>28800000</v>
      </c>
      <c r="O202" t="s">
        <v>273</v>
      </c>
      <c r="P202" s="6" t="s">
        <v>36</v>
      </c>
      <c r="Q202" t="s">
        <v>37</v>
      </c>
      <c r="R202" t="s">
        <v>240</v>
      </c>
      <c r="S202" s="9">
        <v>6000</v>
      </c>
      <c r="T202" s="9">
        <v>1200</v>
      </c>
      <c r="U202" s="9">
        <v>7200000</v>
      </c>
      <c r="V202" s="6" t="s">
        <v>58</v>
      </c>
      <c r="W202" t="s">
        <v>59</v>
      </c>
      <c r="X202">
        <v>5262222144</v>
      </c>
      <c r="Y202">
        <v>526201001</v>
      </c>
      <c r="Z202" s="3">
        <v>45610.563194444447</v>
      </c>
      <c r="AA202" s="6">
        <v>2024</v>
      </c>
      <c r="AB202" s="1">
        <v>45657</v>
      </c>
    </row>
    <row r="203" spans="1:28" x14ac:dyDescent="0.3">
      <c r="A203" t="s">
        <v>1093</v>
      </c>
      <c r="B203" s="6" t="s">
        <v>1094</v>
      </c>
      <c r="C203" s="6" t="s">
        <v>479</v>
      </c>
      <c r="D203">
        <v>5504004638</v>
      </c>
      <c r="E203">
        <v>550401001</v>
      </c>
      <c r="F203" t="s">
        <v>52</v>
      </c>
      <c r="G203" t="s">
        <v>1095</v>
      </c>
      <c r="H203" s="1">
        <v>45407</v>
      </c>
      <c r="I203" t="s">
        <v>1096</v>
      </c>
      <c r="J203" s="8">
        <v>45418</v>
      </c>
      <c r="K203" s="1" t="s">
        <v>33</v>
      </c>
      <c r="L203" t="s">
        <v>1097</v>
      </c>
      <c r="M203" t="s">
        <v>179</v>
      </c>
      <c r="N203" s="2">
        <v>28800000</v>
      </c>
      <c r="O203" t="s">
        <v>273</v>
      </c>
      <c r="P203" s="6" t="s">
        <v>36</v>
      </c>
      <c r="Q203" t="s">
        <v>37</v>
      </c>
      <c r="R203" t="s">
        <v>240</v>
      </c>
      <c r="S203" s="9">
        <v>6000</v>
      </c>
      <c r="T203" s="9">
        <v>1200</v>
      </c>
      <c r="U203" s="9">
        <v>7200000</v>
      </c>
      <c r="V203" s="6" t="s">
        <v>58</v>
      </c>
      <c r="W203" t="s">
        <v>59</v>
      </c>
      <c r="X203">
        <v>5262222144</v>
      </c>
      <c r="Y203">
        <v>526201001</v>
      </c>
      <c r="Z203" s="3">
        <v>45610.563194444447</v>
      </c>
      <c r="AA203" s="6">
        <v>2024</v>
      </c>
      <c r="AB203" s="1">
        <v>45657</v>
      </c>
    </row>
    <row r="204" spans="1:28" x14ac:dyDescent="0.3">
      <c r="A204" t="s">
        <v>1098</v>
      </c>
      <c r="B204" s="6" t="s">
        <v>1094</v>
      </c>
      <c r="C204" s="6" t="s">
        <v>479</v>
      </c>
      <c r="D204">
        <v>5504004638</v>
      </c>
      <c r="E204">
        <v>550401001</v>
      </c>
      <c r="F204" t="s">
        <v>52</v>
      </c>
      <c r="G204" t="s">
        <v>1099</v>
      </c>
      <c r="H204" s="1">
        <v>45405</v>
      </c>
      <c r="I204" t="s">
        <v>1100</v>
      </c>
      <c r="J204" s="8">
        <v>45418</v>
      </c>
      <c r="K204" s="1" t="s">
        <v>33</v>
      </c>
      <c r="L204" t="s">
        <v>1101</v>
      </c>
      <c r="M204" t="s">
        <v>179</v>
      </c>
      <c r="N204" s="2">
        <v>43728000</v>
      </c>
      <c r="O204" t="s">
        <v>273</v>
      </c>
      <c r="P204" s="6" t="s">
        <v>36</v>
      </c>
      <c r="Q204" t="s">
        <v>37</v>
      </c>
      <c r="R204" t="s">
        <v>240</v>
      </c>
      <c r="S204" s="9">
        <v>6000</v>
      </c>
      <c r="T204" s="9">
        <v>1822</v>
      </c>
      <c r="U204" s="9">
        <v>10932000</v>
      </c>
      <c r="V204" s="6" t="s">
        <v>58</v>
      </c>
      <c r="W204" t="s">
        <v>59</v>
      </c>
      <c r="X204">
        <v>5262222144</v>
      </c>
      <c r="Y204">
        <v>526201001</v>
      </c>
      <c r="Z204" s="3">
        <v>45610.5625</v>
      </c>
      <c r="AA204" s="6">
        <v>2024</v>
      </c>
      <c r="AB204" s="1">
        <v>45657</v>
      </c>
    </row>
    <row r="205" spans="1:28" x14ac:dyDescent="0.3">
      <c r="A205" t="s">
        <v>1098</v>
      </c>
      <c r="B205" s="6" t="s">
        <v>1094</v>
      </c>
      <c r="C205" s="6" t="s">
        <v>479</v>
      </c>
      <c r="D205">
        <v>5504004638</v>
      </c>
      <c r="E205">
        <v>550401001</v>
      </c>
      <c r="F205" t="s">
        <v>52</v>
      </c>
      <c r="G205" t="s">
        <v>1099</v>
      </c>
      <c r="H205" s="1">
        <v>45405</v>
      </c>
      <c r="I205" t="s">
        <v>1100</v>
      </c>
      <c r="J205" s="8">
        <v>45418</v>
      </c>
      <c r="K205" s="1" t="s">
        <v>33</v>
      </c>
      <c r="L205" t="s">
        <v>1101</v>
      </c>
      <c r="M205" t="s">
        <v>179</v>
      </c>
      <c r="N205" s="2">
        <v>43728000</v>
      </c>
      <c r="O205" t="s">
        <v>273</v>
      </c>
      <c r="P205" s="6" t="s">
        <v>36</v>
      </c>
      <c r="Q205" t="s">
        <v>37</v>
      </c>
      <c r="R205" t="s">
        <v>240</v>
      </c>
      <c r="S205" s="9">
        <v>6000</v>
      </c>
      <c r="T205" s="9">
        <v>1822</v>
      </c>
      <c r="U205" s="9">
        <v>10932000</v>
      </c>
      <c r="V205" s="6" t="s">
        <v>58</v>
      </c>
      <c r="W205" t="s">
        <v>59</v>
      </c>
      <c r="X205">
        <v>5262222144</v>
      </c>
      <c r="Y205">
        <v>526201001</v>
      </c>
      <c r="Z205" s="3">
        <v>45610.5625</v>
      </c>
      <c r="AA205" s="6">
        <v>2024</v>
      </c>
      <c r="AB205" s="1">
        <v>45657</v>
      </c>
    </row>
    <row r="206" spans="1:28" x14ac:dyDescent="0.3">
      <c r="A206" t="s">
        <v>1098</v>
      </c>
      <c r="B206" s="6" t="s">
        <v>1094</v>
      </c>
      <c r="C206" s="6" t="s">
        <v>479</v>
      </c>
      <c r="D206">
        <v>5504004638</v>
      </c>
      <c r="E206">
        <v>550401001</v>
      </c>
      <c r="F206" t="s">
        <v>52</v>
      </c>
      <c r="G206" t="s">
        <v>1099</v>
      </c>
      <c r="H206" s="1">
        <v>45405</v>
      </c>
      <c r="I206" t="s">
        <v>1100</v>
      </c>
      <c r="J206" s="8">
        <v>45418</v>
      </c>
      <c r="K206" s="1" t="s">
        <v>33</v>
      </c>
      <c r="L206" t="s">
        <v>1101</v>
      </c>
      <c r="M206" t="s">
        <v>179</v>
      </c>
      <c r="N206" s="2">
        <v>43728000</v>
      </c>
      <c r="O206" t="s">
        <v>273</v>
      </c>
      <c r="P206" s="6" t="s">
        <v>36</v>
      </c>
      <c r="Q206" t="s">
        <v>37</v>
      </c>
      <c r="R206" t="s">
        <v>240</v>
      </c>
      <c r="S206" s="9">
        <v>6000</v>
      </c>
      <c r="T206" s="9">
        <v>1822</v>
      </c>
      <c r="U206" s="9">
        <v>10932000</v>
      </c>
      <c r="V206" s="6" t="s">
        <v>58</v>
      </c>
      <c r="W206" t="s">
        <v>59</v>
      </c>
      <c r="X206">
        <v>5262222144</v>
      </c>
      <c r="Y206">
        <v>526201001</v>
      </c>
      <c r="Z206" s="3">
        <v>45610.5625</v>
      </c>
      <c r="AA206" s="6">
        <v>2024</v>
      </c>
      <c r="AB206" s="1">
        <v>45657</v>
      </c>
    </row>
    <row r="207" spans="1:28" x14ac:dyDescent="0.3">
      <c r="A207" t="s">
        <v>1098</v>
      </c>
      <c r="B207" s="6" t="s">
        <v>1094</v>
      </c>
      <c r="C207" s="6" t="s">
        <v>479</v>
      </c>
      <c r="D207">
        <v>5504004638</v>
      </c>
      <c r="E207">
        <v>550401001</v>
      </c>
      <c r="F207" t="s">
        <v>52</v>
      </c>
      <c r="G207" t="s">
        <v>1099</v>
      </c>
      <c r="H207" s="1">
        <v>45405</v>
      </c>
      <c r="I207" t="s">
        <v>1100</v>
      </c>
      <c r="J207" s="8">
        <v>45418</v>
      </c>
      <c r="K207" s="1" t="s">
        <v>33</v>
      </c>
      <c r="L207" t="s">
        <v>1101</v>
      </c>
      <c r="M207" t="s">
        <v>179</v>
      </c>
      <c r="N207" s="2">
        <v>43728000</v>
      </c>
      <c r="O207" t="s">
        <v>273</v>
      </c>
      <c r="P207" s="6" t="s">
        <v>36</v>
      </c>
      <c r="Q207" t="s">
        <v>37</v>
      </c>
      <c r="R207" t="s">
        <v>240</v>
      </c>
      <c r="S207" s="9">
        <v>6000</v>
      </c>
      <c r="T207" s="9">
        <v>1822</v>
      </c>
      <c r="U207" s="9">
        <v>10932000</v>
      </c>
      <c r="V207" s="6" t="s">
        <v>58</v>
      </c>
      <c r="W207" t="s">
        <v>59</v>
      </c>
      <c r="X207">
        <v>5262222144</v>
      </c>
      <c r="Y207">
        <v>526201001</v>
      </c>
      <c r="Z207" s="3">
        <v>45610.5625</v>
      </c>
      <c r="AA207" s="6">
        <v>2024</v>
      </c>
      <c r="AB207" s="1">
        <v>45657</v>
      </c>
    </row>
    <row r="208" spans="1:28" x14ac:dyDescent="0.3">
      <c r="A208" t="s">
        <v>1102</v>
      </c>
      <c r="B208" s="6" t="s">
        <v>1103</v>
      </c>
      <c r="C208" s="6" t="s">
        <v>1104</v>
      </c>
      <c r="D208">
        <v>4347018562</v>
      </c>
      <c r="E208">
        <v>434501001</v>
      </c>
      <c r="F208" t="s">
        <v>52</v>
      </c>
      <c r="G208" t="s">
        <v>1105</v>
      </c>
      <c r="H208" s="1">
        <v>45405</v>
      </c>
      <c r="I208" t="s">
        <v>1106</v>
      </c>
      <c r="J208" s="8">
        <v>45418</v>
      </c>
      <c r="K208" s="1" t="s">
        <v>33</v>
      </c>
      <c r="L208" t="s">
        <v>1107</v>
      </c>
      <c r="M208" t="s">
        <v>416</v>
      </c>
      <c r="N208" s="2">
        <v>12828000</v>
      </c>
      <c r="O208" t="s">
        <v>1108</v>
      </c>
      <c r="P208" s="6" t="s">
        <v>36</v>
      </c>
      <c r="Q208" t="s">
        <v>37</v>
      </c>
      <c r="R208" t="s">
        <v>240</v>
      </c>
      <c r="S208" s="9">
        <v>6000</v>
      </c>
      <c r="T208" s="9">
        <v>2138</v>
      </c>
      <c r="U208" s="9">
        <v>12828000</v>
      </c>
      <c r="V208" s="6" t="s">
        <v>90</v>
      </c>
      <c r="W208" t="s">
        <v>59</v>
      </c>
      <c r="X208">
        <v>5259153331</v>
      </c>
      <c r="Y208">
        <v>525901001</v>
      </c>
      <c r="Z208" s="3">
        <v>45510.385416666664</v>
      </c>
      <c r="AA208" s="6">
        <v>2024</v>
      </c>
      <c r="AB208" s="1">
        <v>45656</v>
      </c>
    </row>
    <row r="209" spans="1:28" x14ac:dyDescent="0.3">
      <c r="A209" t="s">
        <v>1109</v>
      </c>
      <c r="B209" s="6" t="s">
        <v>197</v>
      </c>
      <c r="C209" s="6" t="s">
        <v>198</v>
      </c>
      <c r="D209">
        <v>1001046786</v>
      </c>
      <c r="E209">
        <v>100101001</v>
      </c>
      <c r="F209" t="s">
        <v>94</v>
      </c>
      <c r="G209" t="s">
        <v>1110</v>
      </c>
      <c r="H209" s="1">
        <v>45414</v>
      </c>
      <c r="J209" s="8">
        <v>45418</v>
      </c>
      <c r="K209" s="1" t="s">
        <v>33</v>
      </c>
      <c r="L209" t="s">
        <v>1110</v>
      </c>
      <c r="M209" t="s">
        <v>1111</v>
      </c>
      <c r="N209" s="2">
        <v>6380000</v>
      </c>
      <c r="O209" t="s">
        <v>1112</v>
      </c>
      <c r="P209" s="6" t="s">
        <v>36</v>
      </c>
      <c r="Q209" t="s">
        <v>37</v>
      </c>
      <c r="R209" t="s">
        <v>240</v>
      </c>
      <c r="S209" s="9">
        <v>5800</v>
      </c>
      <c r="T209" s="9">
        <v>1100</v>
      </c>
      <c r="U209" s="9">
        <v>6380000</v>
      </c>
      <c r="V209" s="6" t="s">
        <v>39</v>
      </c>
      <c r="W209" t="s">
        <v>40</v>
      </c>
      <c r="X209">
        <v>7810687137</v>
      </c>
      <c r="Y209">
        <v>781401001</v>
      </c>
      <c r="Z209" s="3">
        <v>45434.467361111114</v>
      </c>
      <c r="AA209" s="6">
        <v>2024</v>
      </c>
      <c r="AB209" s="1">
        <v>45657</v>
      </c>
    </row>
    <row r="210" spans="1:28" x14ac:dyDescent="0.3">
      <c r="A210" t="s">
        <v>1113</v>
      </c>
      <c r="B210" s="6" t="s">
        <v>1114</v>
      </c>
      <c r="C210" s="6" t="s">
        <v>539</v>
      </c>
      <c r="D210">
        <v>7808046224</v>
      </c>
      <c r="E210">
        <v>784101001</v>
      </c>
      <c r="F210" t="s">
        <v>94</v>
      </c>
      <c r="G210" t="s">
        <v>1115</v>
      </c>
      <c r="H210" s="1">
        <v>45414</v>
      </c>
      <c r="I210" t="s">
        <v>1116</v>
      </c>
      <c r="J210" s="8">
        <v>45419</v>
      </c>
      <c r="K210" s="1" t="s">
        <v>33</v>
      </c>
      <c r="L210" t="s">
        <v>1117</v>
      </c>
      <c r="M210" t="s">
        <v>1118</v>
      </c>
      <c r="N210" s="2">
        <v>265253.62</v>
      </c>
      <c r="O210" t="s">
        <v>273</v>
      </c>
      <c r="P210" s="6" t="s">
        <v>36</v>
      </c>
      <c r="Q210" t="s">
        <v>37</v>
      </c>
      <c r="R210" t="s">
        <v>240</v>
      </c>
      <c r="S210" s="9">
        <v>9552</v>
      </c>
      <c r="T210" s="9">
        <v>15</v>
      </c>
      <c r="U210" s="9">
        <v>143280</v>
      </c>
      <c r="V210" s="6" t="s">
        <v>1119</v>
      </c>
      <c r="W210" t="s">
        <v>40</v>
      </c>
      <c r="X210">
        <v>7810308251</v>
      </c>
      <c r="Y210">
        <v>781401001</v>
      </c>
      <c r="Z210" s="3">
        <v>45604.663194444445</v>
      </c>
      <c r="AA210" s="6">
        <v>2024</v>
      </c>
      <c r="AB210" s="1">
        <v>45657</v>
      </c>
    </row>
    <row r="211" spans="1:28" x14ac:dyDescent="0.3">
      <c r="A211" t="s">
        <v>1120</v>
      </c>
      <c r="B211" s="6" t="s">
        <v>68</v>
      </c>
      <c r="C211" s="6" t="s">
        <v>69</v>
      </c>
      <c r="D211">
        <v>8300010526</v>
      </c>
      <c r="E211">
        <v>298301001</v>
      </c>
      <c r="F211" t="s">
        <v>149</v>
      </c>
      <c r="G211" t="s">
        <v>1121</v>
      </c>
      <c r="H211" s="1">
        <v>45415</v>
      </c>
      <c r="I211" t="s">
        <v>1122</v>
      </c>
      <c r="J211" s="8">
        <v>45419</v>
      </c>
      <c r="K211" s="1" t="s">
        <v>33</v>
      </c>
      <c r="L211">
        <v>205</v>
      </c>
      <c r="M211" t="s">
        <v>273</v>
      </c>
      <c r="N211" s="2">
        <v>3234690</v>
      </c>
      <c r="O211" t="s">
        <v>440</v>
      </c>
      <c r="P211" s="6" t="s">
        <v>36</v>
      </c>
      <c r="Q211" t="s">
        <v>37</v>
      </c>
      <c r="R211" t="s">
        <v>240</v>
      </c>
      <c r="S211" s="9">
        <v>5715</v>
      </c>
      <c r="T211" s="9">
        <v>566</v>
      </c>
      <c r="U211" s="9">
        <v>3234690</v>
      </c>
      <c r="V211" s="6" t="s">
        <v>39</v>
      </c>
      <c r="W211" t="s">
        <v>40</v>
      </c>
      <c r="X211">
        <v>7810687137</v>
      </c>
      <c r="Y211">
        <v>781401001</v>
      </c>
      <c r="Z211" s="3">
        <v>45533.691666666666</v>
      </c>
      <c r="AA211" s="6">
        <v>2024</v>
      </c>
      <c r="AB211" s="1">
        <v>45462</v>
      </c>
    </row>
    <row r="212" spans="1:28" x14ac:dyDescent="0.3">
      <c r="A212" t="s">
        <v>1123</v>
      </c>
      <c r="B212" s="6" t="s">
        <v>177</v>
      </c>
      <c r="C212" s="6" t="s">
        <v>62</v>
      </c>
      <c r="D212">
        <v>4027122645</v>
      </c>
      <c r="E212">
        <v>402701001</v>
      </c>
      <c r="F212" t="s">
        <v>44</v>
      </c>
      <c r="G212">
        <v>0</v>
      </c>
      <c r="J212" s="8">
        <v>45420</v>
      </c>
      <c r="K212" s="1" t="s">
        <v>33</v>
      </c>
      <c r="L212" t="s">
        <v>1124</v>
      </c>
      <c r="M212" t="s">
        <v>179</v>
      </c>
      <c r="N212" s="2">
        <v>662062.5</v>
      </c>
      <c r="O212" t="s">
        <v>957</v>
      </c>
      <c r="P212" s="6" t="s">
        <v>544</v>
      </c>
      <c r="Q212" t="s">
        <v>37</v>
      </c>
      <c r="R212" t="s">
        <v>66</v>
      </c>
      <c r="S212" s="9">
        <v>6687.5</v>
      </c>
      <c r="T212" s="9">
        <v>99</v>
      </c>
      <c r="U212" s="9">
        <v>662062.5</v>
      </c>
      <c r="V212" s="6" t="s">
        <v>61</v>
      </c>
      <c r="W212" t="s">
        <v>59</v>
      </c>
      <c r="X212">
        <v>4027022305</v>
      </c>
      <c r="Y212">
        <v>402701001</v>
      </c>
      <c r="Z212" s="3">
        <v>45552.34097222222</v>
      </c>
      <c r="AA212" s="6">
        <v>2024</v>
      </c>
      <c r="AB212" s="1">
        <v>45657</v>
      </c>
    </row>
    <row r="213" spans="1:28" x14ac:dyDescent="0.3">
      <c r="A213" t="s">
        <v>1125</v>
      </c>
      <c r="B213" s="6" t="s">
        <v>1126</v>
      </c>
      <c r="C213" s="6" t="s">
        <v>164</v>
      </c>
      <c r="D213">
        <v>7713034164</v>
      </c>
      <c r="E213">
        <v>771301001</v>
      </c>
      <c r="F213" t="s">
        <v>94</v>
      </c>
      <c r="G213" t="s">
        <v>1127</v>
      </c>
      <c r="H213" s="1">
        <v>45415</v>
      </c>
      <c r="I213" t="s">
        <v>1128</v>
      </c>
      <c r="J213" s="8">
        <v>45420</v>
      </c>
      <c r="K213" s="1" t="s">
        <v>33</v>
      </c>
      <c r="L213">
        <v>708</v>
      </c>
      <c r="M213" t="s">
        <v>1129</v>
      </c>
      <c r="N213" s="2">
        <v>705414</v>
      </c>
      <c r="O213" t="s">
        <v>1130</v>
      </c>
      <c r="P213" s="6" t="s">
        <v>36</v>
      </c>
      <c r="Q213" t="s">
        <v>37</v>
      </c>
      <c r="R213" t="s">
        <v>66</v>
      </c>
      <c r="S213" s="9">
        <v>7926</v>
      </c>
      <c r="T213" s="9">
        <v>89</v>
      </c>
      <c r="U213" s="9">
        <v>705414</v>
      </c>
      <c r="V213" s="6" t="s">
        <v>1131</v>
      </c>
      <c r="W213" t="s">
        <v>129</v>
      </c>
      <c r="X213">
        <v>711310611166</v>
      </c>
      <c r="Z213" s="3">
        <v>45677.552777777775</v>
      </c>
      <c r="AA213" s="6">
        <v>2024</v>
      </c>
      <c r="AB213" s="1">
        <v>45633</v>
      </c>
    </row>
    <row r="214" spans="1:28" x14ac:dyDescent="0.3">
      <c r="A214" t="s">
        <v>1132</v>
      </c>
      <c r="B214" s="6" t="s">
        <v>121</v>
      </c>
      <c r="C214" s="6" t="s">
        <v>122</v>
      </c>
      <c r="D214">
        <v>5402155123</v>
      </c>
      <c r="E214">
        <v>540201001</v>
      </c>
      <c r="F214" t="s">
        <v>94</v>
      </c>
      <c r="G214" t="s">
        <v>1133</v>
      </c>
      <c r="H214" s="1">
        <v>45418</v>
      </c>
      <c r="J214" s="8">
        <v>45425</v>
      </c>
      <c r="K214" s="1" t="s">
        <v>33</v>
      </c>
      <c r="L214" t="s">
        <v>1134</v>
      </c>
      <c r="M214" t="s">
        <v>1135</v>
      </c>
      <c r="N214" s="2">
        <v>5960</v>
      </c>
      <c r="O214" t="s">
        <v>695</v>
      </c>
      <c r="P214" s="6" t="s">
        <v>36</v>
      </c>
      <c r="Q214" t="s">
        <v>37</v>
      </c>
      <c r="R214" t="s">
        <v>306</v>
      </c>
      <c r="S214" s="9">
        <v>5960</v>
      </c>
      <c r="T214" s="9">
        <v>1</v>
      </c>
      <c r="U214" s="9">
        <v>5960</v>
      </c>
      <c r="V214" s="6" t="s">
        <v>128</v>
      </c>
      <c r="W214" t="s">
        <v>129</v>
      </c>
      <c r="X214">
        <v>274110679</v>
      </c>
      <c r="Y214">
        <v>500801001</v>
      </c>
      <c r="Z214" s="3">
        <v>45442.438194444447</v>
      </c>
      <c r="AA214" s="6">
        <v>2024</v>
      </c>
      <c r="AB214" s="1">
        <v>45626</v>
      </c>
    </row>
    <row r="215" spans="1:28" x14ac:dyDescent="0.3">
      <c r="A215" t="s">
        <v>1136</v>
      </c>
      <c r="B215" s="6" t="s">
        <v>412</v>
      </c>
      <c r="C215" s="6" t="s">
        <v>285</v>
      </c>
      <c r="D215">
        <v>3329025565</v>
      </c>
      <c r="E215">
        <v>332901001</v>
      </c>
      <c r="F215" t="s">
        <v>52</v>
      </c>
      <c r="G215" t="s">
        <v>1137</v>
      </c>
      <c r="H215" s="1">
        <v>45401</v>
      </c>
      <c r="J215" s="8">
        <v>45425</v>
      </c>
      <c r="K215" s="1" t="s">
        <v>33</v>
      </c>
      <c r="L215" t="s">
        <v>1138</v>
      </c>
      <c r="M215" t="s">
        <v>416</v>
      </c>
      <c r="N215" s="2">
        <v>111783.75</v>
      </c>
      <c r="O215" t="s">
        <v>694</v>
      </c>
      <c r="P215" s="6" t="s">
        <v>36</v>
      </c>
      <c r="Q215" t="s">
        <v>37</v>
      </c>
      <c r="R215" t="s">
        <v>240</v>
      </c>
      <c r="S215" s="9">
        <v>7452.25</v>
      </c>
      <c r="T215" s="9">
        <v>15</v>
      </c>
      <c r="U215" s="9">
        <v>111783.75</v>
      </c>
      <c r="V215" s="6" t="s">
        <v>128</v>
      </c>
      <c r="W215" t="s">
        <v>129</v>
      </c>
      <c r="X215">
        <v>274110679</v>
      </c>
      <c r="Y215">
        <v>500801001</v>
      </c>
      <c r="Z215" s="3">
        <v>45454.371527777781</v>
      </c>
      <c r="AA215" s="6">
        <v>2024</v>
      </c>
      <c r="AB215" s="1">
        <v>45688</v>
      </c>
    </row>
    <row r="216" spans="1:28" x14ac:dyDescent="0.3">
      <c r="A216" t="s">
        <v>1139</v>
      </c>
      <c r="B216" s="6" t="s">
        <v>501</v>
      </c>
      <c r="C216" s="6" t="s">
        <v>502</v>
      </c>
      <c r="D216">
        <v>6318197367</v>
      </c>
      <c r="E216">
        <v>631801001</v>
      </c>
      <c r="F216" t="s">
        <v>52</v>
      </c>
      <c r="G216" t="s">
        <v>1140</v>
      </c>
      <c r="H216" s="1">
        <v>45415</v>
      </c>
      <c r="I216" t="s">
        <v>1141</v>
      </c>
      <c r="J216" s="8">
        <v>45426</v>
      </c>
      <c r="K216" s="1" t="s">
        <v>33</v>
      </c>
      <c r="L216" t="s">
        <v>1142</v>
      </c>
      <c r="M216" t="s">
        <v>1143</v>
      </c>
      <c r="N216" s="2">
        <v>281220.5</v>
      </c>
      <c r="O216" t="s">
        <v>440</v>
      </c>
      <c r="P216" s="6" t="s">
        <v>36</v>
      </c>
      <c r="Q216" t="s">
        <v>37</v>
      </c>
      <c r="R216" t="s">
        <v>240</v>
      </c>
      <c r="S216" s="9">
        <v>5624.41</v>
      </c>
      <c r="T216" s="9">
        <v>50</v>
      </c>
      <c r="U216" s="9">
        <v>281220.5</v>
      </c>
      <c r="V216" s="6" t="s">
        <v>58</v>
      </c>
      <c r="W216" t="s">
        <v>59</v>
      </c>
      <c r="X216">
        <v>5262222144</v>
      </c>
      <c r="Y216">
        <v>526201001</v>
      </c>
      <c r="Z216" s="3">
        <v>45457.432638888888</v>
      </c>
      <c r="AA216" s="6">
        <v>2024</v>
      </c>
      <c r="AB216" s="1">
        <v>45657</v>
      </c>
    </row>
    <row r="217" spans="1:28" x14ac:dyDescent="0.3">
      <c r="A217" t="s">
        <v>1144</v>
      </c>
      <c r="B217" s="6" t="s">
        <v>1145</v>
      </c>
      <c r="C217" s="6" t="s">
        <v>1146</v>
      </c>
      <c r="D217">
        <v>6501024966</v>
      </c>
      <c r="E217">
        <v>650101001</v>
      </c>
      <c r="F217" t="s">
        <v>52</v>
      </c>
      <c r="G217" t="s">
        <v>1147</v>
      </c>
      <c r="H217" s="1">
        <v>45409</v>
      </c>
      <c r="J217" s="8">
        <v>45426</v>
      </c>
      <c r="K217" s="1" t="s">
        <v>33</v>
      </c>
      <c r="L217" t="s">
        <v>1147</v>
      </c>
      <c r="M217" t="s">
        <v>1148</v>
      </c>
      <c r="N217" s="2">
        <v>2285974.34</v>
      </c>
      <c r="O217" t="s">
        <v>440</v>
      </c>
      <c r="P217" s="6" t="s">
        <v>36</v>
      </c>
      <c r="Q217" t="s">
        <v>37</v>
      </c>
      <c r="R217" t="s">
        <v>240</v>
      </c>
      <c r="S217" s="9">
        <v>6043.33</v>
      </c>
      <c r="T217" s="9">
        <f>U217/S217</f>
        <v>378.26402662108472</v>
      </c>
      <c r="U217" s="9">
        <v>2285974.34</v>
      </c>
      <c r="V217" s="6" t="s">
        <v>111</v>
      </c>
      <c r="W217" t="s">
        <v>59</v>
      </c>
      <c r="X217">
        <v>5262258091</v>
      </c>
      <c r="Y217">
        <v>526201001</v>
      </c>
      <c r="Z217" s="3">
        <v>45594.054861111108</v>
      </c>
      <c r="AA217" s="6">
        <v>2024</v>
      </c>
      <c r="AB217" s="1">
        <v>45657</v>
      </c>
    </row>
    <row r="218" spans="1:28" x14ac:dyDescent="0.3">
      <c r="A218" t="s">
        <v>1149</v>
      </c>
      <c r="B218" s="6" t="s">
        <v>1150</v>
      </c>
      <c r="C218" s="6" t="s">
        <v>843</v>
      </c>
      <c r="D218">
        <v>2128014804</v>
      </c>
      <c r="E218">
        <v>213001001</v>
      </c>
      <c r="F218" t="s">
        <v>94</v>
      </c>
      <c r="G218" t="s">
        <v>1151</v>
      </c>
      <c r="H218" s="1">
        <v>45425</v>
      </c>
      <c r="I218" t="s">
        <v>1152</v>
      </c>
      <c r="J218" s="8">
        <v>45428</v>
      </c>
      <c r="K218" s="1" t="s">
        <v>33</v>
      </c>
      <c r="L218" t="s">
        <v>1153</v>
      </c>
      <c r="M218" t="s">
        <v>1154</v>
      </c>
      <c r="N218" s="2">
        <v>1040000</v>
      </c>
      <c r="O218" t="s">
        <v>1155</v>
      </c>
      <c r="P218" s="6" t="s">
        <v>36</v>
      </c>
      <c r="Q218" t="s">
        <v>37</v>
      </c>
      <c r="R218" t="s">
        <v>240</v>
      </c>
      <c r="S218" s="9">
        <v>5200</v>
      </c>
      <c r="T218" s="9">
        <v>150</v>
      </c>
      <c r="U218" s="9">
        <v>780000</v>
      </c>
      <c r="V218" s="6" t="s">
        <v>90</v>
      </c>
      <c r="W218" t="s">
        <v>59</v>
      </c>
      <c r="X218">
        <v>5259153331</v>
      </c>
      <c r="Y218">
        <v>525901001</v>
      </c>
      <c r="Z218" s="3">
        <v>45464.384027777778</v>
      </c>
      <c r="AA218" s="6">
        <v>2024</v>
      </c>
      <c r="AB218" s="1">
        <v>45657</v>
      </c>
    </row>
    <row r="219" spans="1:28" x14ac:dyDescent="0.3">
      <c r="A219" t="s">
        <v>1149</v>
      </c>
      <c r="B219" s="6" t="s">
        <v>1150</v>
      </c>
      <c r="C219" s="6" t="s">
        <v>843</v>
      </c>
      <c r="D219">
        <v>2128014804</v>
      </c>
      <c r="E219">
        <v>213001001</v>
      </c>
      <c r="F219" t="s">
        <v>94</v>
      </c>
      <c r="G219" t="s">
        <v>1151</v>
      </c>
      <c r="H219" s="1">
        <v>45425</v>
      </c>
      <c r="I219" t="s">
        <v>1152</v>
      </c>
      <c r="J219" s="8">
        <v>45428</v>
      </c>
      <c r="K219" s="1" t="s">
        <v>33</v>
      </c>
      <c r="L219" t="s">
        <v>1153</v>
      </c>
      <c r="M219" t="s">
        <v>1154</v>
      </c>
      <c r="N219" s="2">
        <v>1040000</v>
      </c>
      <c r="O219" t="s">
        <v>1156</v>
      </c>
      <c r="P219" s="6" t="s">
        <v>36</v>
      </c>
      <c r="Q219" t="s">
        <v>37</v>
      </c>
      <c r="R219" t="s">
        <v>240</v>
      </c>
      <c r="S219" s="9">
        <v>5200</v>
      </c>
      <c r="T219" s="9">
        <v>50</v>
      </c>
      <c r="U219" s="9">
        <v>260000</v>
      </c>
      <c r="V219" s="6" t="s">
        <v>90</v>
      </c>
      <c r="W219" t="s">
        <v>59</v>
      </c>
      <c r="X219">
        <v>5259153331</v>
      </c>
      <c r="Y219">
        <v>525901001</v>
      </c>
      <c r="Z219" s="3">
        <v>45464.384027777778</v>
      </c>
      <c r="AA219" s="6">
        <v>2024</v>
      </c>
      <c r="AB219" s="1">
        <v>45657</v>
      </c>
    </row>
    <row r="220" spans="1:28" x14ac:dyDescent="0.3">
      <c r="A220" t="s">
        <v>500</v>
      </c>
      <c r="B220" s="6" t="s">
        <v>501</v>
      </c>
      <c r="C220" s="6" t="s">
        <v>502</v>
      </c>
      <c r="D220">
        <v>6318197367</v>
      </c>
      <c r="E220">
        <v>631801001</v>
      </c>
      <c r="F220" t="s">
        <v>52</v>
      </c>
      <c r="G220" t="s">
        <v>503</v>
      </c>
      <c r="H220" s="1">
        <v>45418</v>
      </c>
      <c r="I220" t="s">
        <v>1157</v>
      </c>
      <c r="J220" s="8">
        <v>45429</v>
      </c>
      <c r="K220" s="1" t="s">
        <v>33</v>
      </c>
      <c r="L220" t="s">
        <v>1158</v>
      </c>
      <c r="M220" t="s">
        <v>1143</v>
      </c>
      <c r="N220" s="2">
        <v>49776028.5</v>
      </c>
      <c r="O220" t="s">
        <v>440</v>
      </c>
      <c r="P220" s="6" t="s">
        <v>36</v>
      </c>
      <c r="Q220" t="s">
        <v>37</v>
      </c>
      <c r="R220" t="s">
        <v>240</v>
      </c>
      <c r="S220" s="9">
        <v>5624.41</v>
      </c>
      <c r="T220" s="9">
        <v>8850</v>
      </c>
      <c r="U220" s="9">
        <v>49776028.5</v>
      </c>
      <c r="V220" s="6" t="s">
        <v>58</v>
      </c>
      <c r="W220" t="s">
        <v>59</v>
      </c>
      <c r="X220">
        <v>5262222144</v>
      </c>
      <c r="Y220">
        <v>526201001</v>
      </c>
      <c r="Z220" s="3">
        <v>45449.586111111108</v>
      </c>
      <c r="AA220" s="6">
        <v>2024</v>
      </c>
      <c r="AB220" s="1">
        <v>45657</v>
      </c>
    </row>
    <row r="221" spans="1:28" x14ac:dyDescent="0.3">
      <c r="A221" t="s">
        <v>1159</v>
      </c>
      <c r="B221" s="6" t="s">
        <v>567</v>
      </c>
      <c r="C221" s="6" t="s">
        <v>568</v>
      </c>
      <c r="D221">
        <v>4909085785</v>
      </c>
      <c r="E221">
        <v>490901001</v>
      </c>
      <c r="F221" t="s">
        <v>52</v>
      </c>
      <c r="G221" t="s">
        <v>1160</v>
      </c>
      <c r="H221" s="1">
        <v>45418</v>
      </c>
      <c r="J221" s="8">
        <v>45429</v>
      </c>
      <c r="K221" s="1" t="s">
        <v>33</v>
      </c>
      <c r="L221" t="s">
        <v>1160</v>
      </c>
      <c r="M221" t="s">
        <v>1161</v>
      </c>
      <c r="N221" s="2">
        <v>1063327.5</v>
      </c>
      <c r="O221" t="s">
        <v>1162</v>
      </c>
      <c r="P221" s="6" t="s">
        <v>36</v>
      </c>
      <c r="Q221" t="s">
        <v>37</v>
      </c>
      <c r="R221" t="s">
        <v>240</v>
      </c>
      <c r="S221" s="9">
        <v>5316.64</v>
      </c>
      <c r="T221" s="9">
        <v>200</v>
      </c>
      <c r="U221" s="9">
        <v>1063327.5</v>
      </c>
      <c r="V221" s="6" t="s">
        <v>750</v>
      </c>
      <c r="W221" t="s">
        <v>59</v>
      </c>
      <c r="X221">
        <v>540123954976</v>
      </c>
      <c r="Z221" s="3">
        <v>45541.328472222223</v>
      </c>
      <c r="AA221" s="6">
        <v>2024</v>
      </c>
      <c r="AB221" s="1">
        <v>45657</v>
      </c>
    </row>
    <row r="222" spans="1:28" x14ac:dyDescent="0.3">
      <c r="A222" t="s">
        <v>1163</v>
      </c>
      <c r="B222" s="6" t="s">
        <v>197</v>
      </c>
      <c r="C222" s="6" t="s">
        <v>198</v>
      </c>
      <c r="D222">
        <v>1001046786</v>
      </c>
      <c r="E222">
        <v>100101001</v>
      </c>
      <c r="F222" t="s">
        <v>94</v>
      </c>
      <c r="G222" t="s">
        <v>1164</v>
      </c>
      <c r="H222" s="1">
        <v>45426</v>
      </c>
      <c r="I222" t="s">
        <v>1165</v>
      </c>
      <c r="J222" s="8">
        <v>45429</v>
      </c>
      <c r="K222" s="1" t="s">
        <v>33</v>
      </c>
      <c r="L222" t="s">
        <v>1164</v>
      </c>
      <c r="M222" t="s">
        <v>1166</v>
      </c>
      <c r="N222" s="2">
        <v>10620000</v>
      </c>
      <c r="O222" t="s">
        <v>440</v>
      </c>
      <c r="P222" s="6" t="s">
        <v>36</v>
      </c>
      <c r="Q222" t="s">
        <v>37</v>
      </c>
      <c r="R222" t="s">
        <v>240</v>
      </c>
      <c r="S222" s="9">
        <v>5900</v>
      </c>
      <c r="T222" s="9">
        <v>1800</v>
      </c>
      <c r="U222" s="9">
        <v>10620000</v>
      </c>
      <c r="V222" s="6" t="s">
        <v>39</v>
      </c>
      <c r="W222" t="s">
        <v>40</v>
      </c>
      <c r="X222">
        <v>7810687137</v>
      </c>
      <c r="Y222">
        <v>781401001</v>
      </c>
      <c r="Z222" s="3">
        <v>45464.57916666667</v>
      </c>
      <c r="AA222" s="6">
        <v>2024</v>
      </c>
      <c r="AB222" s="1">
        <v>45657</v>
      </c>
    </row>
    <row r="223" spans="1:28" x14ac:dyDescent="0.3">
      <c r="A223" t="s">
        <v>1167</v>
      </c>
      <c r="B223" s="6" t="s">
        <v>573</v>
      </c>
      <c r="C223" s="6" t="s">
        <v>405</v>
      </c>
      <c r="D223">
        <v>562044550</v>
      </c>
      <c r="E223">
        <v>57201001</v>
      </c>
      <c r="F223" t="s">
        <v>52</v>
      </c>
      <c r="G223" t="s">
        <v>1168</v>
      </c>
      <c r="H223" s="1">
        <v>45419</v>
      </c>
      <c r="I223" t="s">
        <v>1169</v>
      </c>
      <c r="J223" s="8">
        <v>45432</v>
      </c>
      <c r="K223" s="1" t="s">
        <v>33</v>
      </c>
      <c r="L223" t="s">
        <v>1168</v>
      </c>
      <c r="M223" t="s">
        <v>576</v>
      </c>
      <c r="N223" s="2">
        <v>49021200</v>
      </c>
      <c r="O223" t="s">
        <v>440</v>
      </c>
      <c r="P223" s="6" t="s">
        <v>36</v>
      </c>
      <c r="Q223" t="s">
        <v>37</v>
      </c>
      <c r="R223" t="s">
        <v>240</v>
      </c>
      <c r="S223" s="9">
        <v>5400</v>
      </c>
      <c r="T223" s="9">
        <v>9078</v>
      </c>
      <c r="U223" s="9">
        <v>49021200</v>
      </c>
      <c r="V223" s="6" t="s">
        <v>39</v>
      </c>
      <c r="W223" t="s">
        <v>40</v>
      </c>
      <c r="X223">
        <v>7810687137</v>
      </c>
      <c r="Y223">
        <v>781401001</v>
      </c>
      <c r="Z223" s="3">
        <v>45470.658333333333</v>
      </c>
      <c r="AA223" s="6">
        <v>2024</v>
      </c>
      <c r="AB223" s="1">
        <v>45477</v>
      </c>
    </row>
    <row r="224" spans="1:28" x14ac:dyDescent="0.3">
      <c r="A224" t="s">
        <v>1170</v>
      </c>
      <c r="B224" s="6" t="s">
        <v>1171</v>
      </c>
      <c r="C224" s="6" t="s">
        <v>1172</v>
      </c>
      <c r="D224">
        <v>5260101352</v>
      </c>
      <c r="E224">
        <v>526001001</v>
      </c>
      <c r="F224" t="s">
        <v>94</v>
      </c>
      <c r="G224" t="s">
        <v>1173</v>
      </c>
      <c r="H224" s="1">
        <v>45427</v>
      </c>
      <c r="J224" s="8">
        <v>45433</v>
      </c>
      <c r="K224" s="1" t="s">
        <v>33</v>
      </c>
      <c r="L224" t="s">
        <v>1174</v>
      </c>
      <c r="M224" t="s">
        <v>1175</v>
      </c>
      <c r="N224" s="2">
        <v>471500</v>
      </c>
      <c r="O224" t="s">
        <v>440</v>
      </c>
      <c r="P224" s="6" t="s">
        <v>36</v>
      </c>
      <c r="Q224" t="s">
        <v>37</v>
      </c>
      <c r="R224" t="s">
        <v>240</v>
      </c>
      <c r="S224" s="9">
        <v>5750</v>
      </c>
      <c r="T224" s="9">
        <v>82</v>
      </c>
      <c r="U224" s="9">
        <v>471500</v>
      </c>
      <c r="V224" s="6" t="s">
        <v>90</v>
      </c>
      <c r="W224" t="s">
        <v>59</v>
      </c>
      <c r="X224">
        <v>5259153331</v>
      </c>
      <c r="Y224">
        <v>525901001</v>
      </c>
      <c r="Z224" s="3">
        <v>45654.625</v>
      </c>
      <c r="AA224" s="6">
        <v>2024</v>
      </c>
      <c r="AB224" s="1">
        <v>45875</v>
      </c>
    </row>
    <row r="225" spans="1:28" x14ac:dyDescent="0.3">
      <c r="A225" t="s">
        <v>1176</v>
      </c>
      <c r="B225" s="6" t="s">
        <v>509</v>
      </c>
      <c r="C225" s="6" t="s">
        <v>395</v>
      </c>
      <c r="D225">
        <v>7202161807</v>
      </c>
      <c r="E225">
        <v>720301001</v>
      </c>
      <c r="F225" t="s">
        <v>52</v>
      </c>
      <c r="G225" t="s">
        <v>1177</v>
      </c>
      <c r="H225" s="1">
        <v>45425</v>
      </c>
      <c r="J225" s="8">
        <v>45436</v>
      </c>
      <c r="K225" s="1" t="s">
        <v>33</v>
      </c>
      <c r="L225" t="s">
        <v>1178</v>
      </c>
      <c r="M225" t="s">
        <v>513</v>
      </c>
      <c r="N225" s="2">
        <v>12740000</v>
      </c>
      <c r="O225" t="s">
        <v>273</v>
      </c>
      <c r="P225" s="6" t="s">
        <v>36</v>
      </c>
      <c r="Q225" t="s">
        <v>37</v>
      </c>
      <c r="R225" t="s">
        <v>240</v>
      </c>
      <c r="S225" s="9">
        <v>6500</v>
      </c>
      <c r="T225" s="9">
        <v>1960</v>
      </c>
      <c r="U225" s="9">
        <v>12740000</v>
      </c>
      <c r="V225" s="6" t="s">
        <v>401</v>
      </c>
      <c r="W225" t="s">
        <v>402</v>
      </c>
      <c r="X225">
        <v>720208302235</v>
      </c>
      <c r="Z225" s="3">
        <v>45462.352777777778</v>
      </c>
      <c r="AA225" s="6">
        <v>2024</v>
      </c>
      <c r="AB225" s="1">
        <v>45654</v>
      </c>
    </row>
    <row r="226" spans="1:28" x14ac:dyDescent="0.3">
      <c r="A226" t="s">
        <v>1179</v>
      </c>
      <c r="B226" s="6" t="s">
        <v>121</v>
      </c>
      <c r="C226" s="6" t="s">
        <v>122</v>
      </c>
      <c r="D226">
        <v>5402155123</v>
      </c>
      <c r="E226">
        <v>540201001</v>
      </c>
      <c r="F226" t="s">
        <v>52</v>
      </c>
      <c r="G226" t="s">
        <v>1180</v>
      </c>
      <c r="H226" s="1">
        <v>45425</v>
      </c>
      <c r="J226" s="8">
        <v>45436</v>
      </c>
      <c r="K226" s="1" t="s">
        <v>33</v>
      </c>
      <c r="L226" t="s">
        <v>1181</v>
      </c>
      <c r="M226" t="s">
        <v>1182</v>
      </c>
      <c r="N226" s="2">
        <v>2953600</v>
      </c>
      <c r="O226" t="s">
        <v>273</v>
      </c>
      <c r="P226" s="6" t="s">
        <v>464</v>
      </c>
      <c r="Q226" t="s">
        <v>37</v>
      </c>
      <c r="R226" t="s">
        <v>240</v>
      </c>
      <c r="S226" s="9">
        <v>5680</v>
      </c>
      <c r="T226" s="9">
        <v>520</v>
      </c>
      <c r="U226" s="9">
        <v>2953600</v>
      </c>
      <c r="V226" s="6" t="s">
        <v>1183</v>
      </c>
      <c r="W226" t="s">
        <v>1184</v>
      </c>
      <c r="X226">
        <v>6678119558</v>
      </c>
      <c r="Y226">
        <v>667801001</v>
      </c>
      <c r="Z226" s="3">
        <v>45454.236111111109</v>
      </c>
      <c r="AA226" s="6">
        <v>2024</v>
      </c>
      <c r="AB226" s="1">
        <v>45626</v>
      </c>
    </row>
    <row r="227" spans="1:28" x14ac:dyDescent="0.3">
      <c r="A227" t="s">
        <v>1185</v>
      </c>
      <c r="B227" s="6" t="s">
        <v>245</v>
      </c>
      <c r="C227" s="6" t="s">
        <v>246</v>
      </c>
      <c r="D227">
        <v>7107006311</v>
      </c>
      <c r="E227">
        <v>710701001</v>
      </c>
      <c r="F227" t="s">
        <v>52</v>
      </c>
      <c r="G227" t="s">
        <v>1186</v>
      </c>
      <c r="H227" s="1">
        <v>45425</v>
      </c>
      <c r="J227" s="8">
        <v>45436</v>
      </c>
      <c r="K227" s="1" t="s">
        <v>33</v>
      </c>
      <c r="L227" t="s">
        <v>1187</v>
      </c>
      <c r="M227" t="s">
        <v>1188</v>
      </c>
      <c r="N227" s="2">
        <v>61342808</v>
      </c>
      <c r="O227" t="s">
        <v>273</v>
      </c>
      <c r="P227" s="6" t="s">
        <v>36</v>
      </c>
      <c r="Q227" t="s">
        <v>37</v>
      </c>
      <c r="R227" t="s">
        <v>240</v>
      </c>
      <c r="S227" s="9">
        <v>5878</v>
      </c>
      <c r="T227" s="9">
        <v>10436</v>
      </c>
      <c r="U227" s="9">
        <v>61342808</v>
      </c>
      <c r="V227" s="6" t="s">
        <v>251</v>
      </c>
      <c r="W227" t="s">
        <v>252</v>
      </c>
      <c r="X227">
        <v>5027262517</v>
      </c>
      <c r="Y227">
        <v>502701001</v>
      </c>
      <c r="Z227" s="3">
        <v>45481.731249999997</v>
      </c>
      <c r="AA227" s="6">
        <v>2024</v>
      </c>
      <c r="AB227" s="1">
        <v>45481</v>
      </c>
    </row>
    <row r="228" spans="1:28" x14ac:dyDescent="0.3">
      <c r="A228" t="s">
        <v>1189</v>
      </c>
      <c r="B228" s="6" t="s">
        <v>1190</v>
      </c>
      <c r="C228" s="6" t="s">
        <v>1172</v>
      </c>
      <c r="D228">
        <v>5260037940</v>
      </c>
      <c r="E228">
        <v>526001001</v>
      </c>
      <c r="F228" t="s">
        <v>94</v>
      </c>
      <c r="G228" t="s">
        <v>1191</v>
      </c>
      <c r="H228" s="1">
        <v>45433</v>
      </c>
      <c r="I228" t="s">
        <v>1192</v>
      </c>
      <c r="J228" s="8">
        <v>45436</v>
      </c>
      <c r="K228" s="1" t="s">
        <v>33</v>
      </c>
      <c r="L228" t="s">
        <v>1193</v>
      </c>
      <c r="M228" t="s">
        <v>1194</v>
      </c>
      <c r="N228" s="2">
        <v>370500</v>
      </c>
      <c r="O228" t="s">
        <v>410</v>
      </c>
      <c r="P228" s="6" t="s">
        <v>36</v>
      </c>
      <c r="Q228" t="s">
        <v>37</v>
      </c>
      <c r="R228" t="s">
        <v>240</v>
      </c>
      <c r="S228" s="9">
        <v>5700</v>
      </c>
      <c r="T228" s="9">
        <v>65</v>
      </c>
      <c r="U228" s="9">
        <v>370500</v>
      </c>
      <c r="V228" s="6" t="s">
        <v>111</v>
      </c>
      <c r="W228" t="s">
        <v>59</v>
      </c>
      <c r="X228">
        <v>5262258091</v>
      </c>
      <c r="Y228">
        <v>526201001</v>
      </c>
      <c r="Z228" s="3">
        <v>45540.614583333336</v>
      </c>
      <c r="AA228" s="6">
        <v>2024</v>
      </c>
      <c r="AB228" s="1">
        <v>45702</v>
      </c>
    </row>
    <row r="229" spans="1:28" x14ac:dyDescent="0.3">
      <c r="A229" t="s">
        <v>1195</v>
      </c>
      <c r="B229" s="6" t="s">
        <v>1196</v>
      </c>
      <c r="C229" s="6" t="s">
        <v>1197</v>
      </c>
      <c r="D229">
        <v>411008542</v>
      </c>
      <c r="E229">
        <v>41101001</v>
      </c>
      <c r="F229" t="s">
        <v>149</v>
      </c>
      <c r="G229" t="s">
        <v>1198</v>
      </c>
      <c r="H229" s="1">
        <v>45435</v>
      </c>
      <c r="I229" t="s">
        <v>1199</v>
      </c>
      <c r="J229" s="8">
        <v>45439</v>
      </c>
      <c r="K229" s="1" t="s">
        <v>33</v>
      </c>
      <c r="L229" t="s">
        <v>1200</v>
      </c>
      <c r="M229" t="s">
        <v>273</v>
      </c>
      <c r="N229" s="2">
        <v>4106669</v>
      </c>
      <c r="O229" t="s">
        <v>273</v>
      </c>
      <c r="P229" s="6" t="s">
        <v>36</v>
      </c>
      <c r="Q229" t="s">
        <v>37</v>
      </c>
      <c r="R229" t="s">
        <v>240</v>
      </c>
      <c r="S229" s="9">
        <v>5866.67</v>
      </c>
      <c r="T229" s="9">
        <v>700</v>
      </c>
      <c r="U229" s="9">
        <v>4106669</v>
      </c>
      <c r="V229" s="6" t="s">
        <v>58</v>
      </c>
      <c r="W229" t="s">
        <v>59</v>
      </c>
      <c r="X229">
        <v>5262222144</v>
      </c>
      <c r="Y229">
        <v>526201001</v>
      </c>
      <c r="Z229" s="3">
        <v>45490.297222222223</v>
      </c>
      <c r="AA229" s="6">
        <v>2024</v>
      </c>
      <c r="AB229" s="1">
        <v>45657</v>
      </c>
    </row>
    <row r="230" spans="1:28" x14ac:dyDescent="0.3">
      <c r="A230" t="s">
        <v>1201</v>
      </c>
      <c r="B230" s="6" t="s">
        <v>1196</v>
      </c>
      <c r="C230" s="6" t="s">
        <v>1197</v>
      </c>
      <c r="D230">
        <v>411008542</v>
      </c>
      <c r="E230">
        <v>41101001</v>
      </c>
      <c r="F230" t="s">
        <v>149</v>
      </c>
      <c r="G230" t="s">
        <v>1202</v>
      </c>
      <c r="H230" s="1">
        <v>45435</v>
      </c>
      <c r="I230" t="s">
        <v>1199</v>
      </c>
      <c r="J230" s="8">
        <v>45439</v>
      </c>
      <c r="K230" s="1" t="s">
        <v>33</v>
      </c>
      <c r="L230" t="s">
        <v>1203</v>
      </c>
      <c r="M230" t="s">
        <v>273</v>
      </c>
      <c r="N230" s="2">
        <v>1760001</v>
      </c>
      <c r="O230" t="s">
        <v>273</v>
      </c>
      <c r="P230" s="6" t="s">
        <v>36</v>
      </c>
      <c r="Q230" t="s">
        <v>37</v>
      </c>
      <c r="R230" t="s">
        <v>240</v>
      </c>
      <c r="S230" s="9">
        <v>5866.67</v>
      </c>
      <c r="T230" s="9">
        <v>300</v>
      </c>
      <c r="U230" s="9">
        <v>1760001</v>
      </c>
      <c r="V230" s="6" t="s">
        <v>58</v>
      </c>
      <c r="W230" t="s">
        <v>59</v>
      </c>
      <c r="X230">
        <v>5262222144</v>
      </c>
      <c r="Y230">
        <v>526201001</v>
      </c>
      <c r="Z230" s="3">
        <v>45490.296527777777</v>
      </c>
      <c r="AA230" s="6">
        <v>2024</v>
      </c>
      <c r="AB230" s="1">
        <v>45657</v>
      </c>
    </row>
    <row r="231" spans="1:28" x14ac:dyDescent="0.3">
      <c r="A231" t="s">
        <v>1204</v>
      </c>
      <c r="B231" s="6" t="s">
        <v>83</v>
      </c>
      <c r="C231" s="6" t="s">
        <v>84</v>
      </c>
      <c r="D231">
        <v>3666031335</v>
      </c>
      <c r="E231">
        <v>366601001</v>
      </c>
      <c r="F231" t="s">
        <v>52</v>
      </c>
      <c r="G231" t="s">
        <v>1205</v>
      </c>
      <c r="H231" s="1">
        <v>45426</v>
      </c>
      <c r="I231" t="s">
        <v>1206</v>
      </c>
      <c r="J231" s="8">
        <v>45439</v>
      </c>
      <c r="K231" s="1" t="s">
        <v>33</v>
      </c>
      <c r="L231" t="s">
        <v>1207</v>
      </c>
      <c r="M231" t="s">
        <v>1208</v>
      </c>
      <c r="N231" s="2">
        <v>180000</v>
      </c>
      <c r="O231" t="s">
        <v>410</v>
      </c>
      <c r="P231" s="6" t="s">
        <v>36</v>
      </c>
      <c r="Q231" t="s">
        <v>37</v>
      </c>
      <c r="R231" t="s">
        <v>240</v>
      </c>
      <c r="S231" s="9">
        <v>6000</v>
      </c>
      <c r="T231" s="9">
        <v>30</v>
      </c>
      <c r="U231" s="9">
        <v>180000</v>
      </c>
      <c r="V231" s="6" t="s">
        <v>90</v>
      </c>
      <c r="W231" t="s">
        <v>59</v>
      </c>
      <c r="X231">
        <v>5259153331</v>
      </c>
      <c r="Y231">
        <v>525901001</v>
      </c>
      <c r="Z231" s="3">
        <v>45488.55972222222</v>
      </c>
      <c r="AA231" s="6">
        <v>2024</v>
      </c>
      <c r="AB231" s="1">
        <v>45657</v>
      </c>
    </row>
    <row r="232" spans="1:28" x14ac:dyDescent="0.3">
      <c r="A232" t="s">
        <v>156</v>
      </c>
      <c r="B232" s="6" t="s">
        <v>1209</v>
      </c>
      <c r="C232" s="6" t="s">
        <v>93</v>
      </c>
      <c r="D232">
        <v>4501008880</v>
      </c>
      <c r="E232">
        <v>450101001</v>
      </c>
      <c r="F232" t="s">
        <v>52</v>
      </c>
      <c r="G232" t="s">
        <v>158</v>
      </c>
      <c r="H232" s="1">
        <v>45426</v>
      </c>
      <c r="J232" s="8">
        <v>45439</v>
      </c>
      <c r="K232" s="1" t="s">
        <v>33</v>
      </c>
      <c r="L232" t="s">
        <v>1210</v>
      </c>
      <c r="M232" t="s">
        <v>1211</v>
      </c>
      <c r="N232" s="2">
        <v>300000</v>
      </c>
      <c r="O232" t="s">
        <v>440</v>
      </c>
      <c r="P232" s="6" t="s">
        <v>36</v>
      </c>
      <c r="Q232" t="s">
        <v>37</v>
      </c>
      <c r="R232" t="s">
        <v>240</v>
      </c>
      <c r="S232" s="9">
        <v>6000</v>
      </c>
      <c r="T232" s="9">
        <v>50</v>
      </c>
      <c r="U232" s="9">
        <v>300000</v>
      </c>
      <c r="V232" s="6" t="s">
        <v>352</v>
      </c>
      <c r="W232" t="s">
        <v>40</v>
      </c>
      <c r="X232">
        <v>7843014747</v>
      </c>
      <c r="Y232">
        <v>781401001</v>
      </c>
      <c r="Z232" s="3">
        <v>45539.522222222222</v>
      </c>
      <c r="AA232" s="6">
        <v>2024</v>
      </c>
      <c r="AB232" s="1">
        <v>45657</v>
      </c>
    </row>
    <row r="233" spans="1:28" x14ac:dyDescent="0.3">
      <c r="A233" t="s">
        <v>1212</v>
      </c>
      <c r="B233" s="6" t="s">
        <v>121</v>
      </c>
      <c r="C233" s="6" t="s">
        <v>122</v>
      </c>
      <c r="D233">
        <v>5402155123</v>
      </c>
      <c r="E233">
        <v>540201001</v>
      </c>
      <c r="F233" t="s">
        <v>52</v>
      </c>
      <c r="G233" t="s">
        <v>1213</v>
      </c>
      <c r="H233" s="1">
        <v>45426</v>
      </c>
      <c r="J233" s="8">
        <v>45439</v>
      </c>
      <c r="K233" s="1" t="s">
        <v>33</v>
      </c>
      <c r="L233" t="s">
        <v>1214</v>
      </c>
      <c r="M233" t="s">
        <v>1215</v>
      </c>
      <c r="N233" s="2">
        <v>2982000</v>
      </c>
      <c r="O233" t="s">
        <v>273</v>
      </c>
      <c r="P233" s="6" t="s">
        <v>464</v>
      </c>
      <c r="Q233" t="s">
        <v>37</v>
      </c>
      <c r="R233" t="s">
        <v>240</v>
      </c>
      <c r="S233" s="9">
        <v>5680</v>
      </c>
      <c r="T233" s="9">
        <v>525</v>
      </c>
      <c r="U233" s="9">
        <v>2982000</v>
      </c>
      <c r="V233" s="6" t="s">
        <v>1183</v>
      </c>
      <c r="W233" t="s">
        <v>1184</v>
      </c>
      <c r="X233">
        <v>6678119558</v>
      </c>
      <c r="Y233">
        <v>667801001</v>
      </c>
      <c r="Z233" s="3">
        <v>45454.236805555556</v>
      </c>
      <c r="AA233" s="6">
        <v>2024</v>
      </c>
      <c r="AB233" s="1">
        <v>45626</v>
      </c>
    </row>
    <row r="234" spans="1:28" x14ac:dyDescent="0.3">
      <c r="A234" t="s">
        <v>1216</v>
      </c>
      <c r="B234" s="6" t="s">
        <v>1094</v>
      </c>
      <c r="C234" s="6" t="s">
        <v>479</v>
      </c>
      <c r="D234">
        <v>5504004638</v>
      </c>
      <c r="E234">
        <v>550401001</v>
      </c>
      <c r="F234" t="s">
        <v>52</v>
      </c>
      <c r="G234" t="s">
        <v>1217</v>
      </c>
      <c r="H234" s="1">
        <v>45428</v>
      </c>
      <c r="J234" s="8">
        <v>45439</v>
      </c>
      <c r="K234" s="1" t="s">
        <v>33</v>
      </c>
      <c r="L234" t="s">
        <v>1218</v>
      </c>
      <c r="M234" t="s">
        <v>1219</v>
      </c>
      <c r="N234" s="2">
        <v>21294000</v>
      </c>
      <c r="O234" t="s">
        <v>440</v>
      </c>
      <c r="P234" s="6" t="s">
        <v>36</v>
      </c>
      <c r="Q234" t="s">
        <v>37</v>
      </c>
      <c r="R234" t="s">
        <v>240</v>
      </c>
      <c r="S234" s="9">
        <v>6000</v>
      </c>
      <c r="T234" s="9">
        <v>3549</v>
      </c>
      <c r="U234" s="9">
        <v>21294000</v>
      </c>
      <c r="V234" s="6" t="s">
        <v>58</v>
      </c>
      <c r="W234" t="s">
        <v>59</v>
      </c>
      <c r="X234">
        <v>5262222144</v>
      </c>
      <c r="Y234">
        <v>526201001</v>
      </c>
      <c r="Z234" s="3">
        <v>45624.253472222219</v>
      </c>
      <c r="AA234" s="6">
        <v>2024</v>
      </c>
      <c r="AB234" s="1">
        <v>45639</v>
      </c>
    </row>
    <row r="235" spans="1:28" x14ac:dyDescent="0.3">
      <c r="A235" t="s">
        <v>1220</v>
      </c>
      <c r="B235" s="6" t="s">
        <v>1094</v>
      </c>
      <c r="C235" s="6" t="s">
        <v>479</v>
      </c>
      <c r="D235">
        <v>5504004638</v>
      </c>
      <c r="E235">
        <v>550401001</v>
      </c>
      <c r="F235" t="s">
        <v>52</v>
      </c>
      <c r="G235" t="s">
        <v>1221</v>
      </c>
      <c r="H235" s="1">
        <v>45427</v>
      </c>
      <c r="J235" s="8">
        <v>45439</v>
      </c>
      <c r="K235" s="1" t="s">
        <v>33</v>
      </c>
      <c r="L235" t="s">
        <v>1222</v>
      </c>
      <c r="M235" t="s">
        <v>1223</v>
      </c>
      <c r="N235" s="2">
        <v>14160000</v>
      </c>
      <c r="O235" t="s">
        <v>440</v>
      </c>
      <c r="P235" s="6" t="s">
        <v>36</v>
      </c>
      <c r="Q235" t="s">
        <v>37</v>
      </c>
      <c r="R235" t="s">
        <v>240</v>
      </c>
      <c r="S235" s="9">
        <v>6000</v>
      </c>
      <c r="T235" s="9">
        <v>2360</v>
      </c>
      <c r="U235" s="9">
        <v>14160000</v>
      </c>
      <c r="V235" s="6" t="s">
        <v>58</v>
      </c>
      <c r="W235" t="s">
        <v>59</v>
      </c>
      <c r="X235">
        <v>5262222144</v>
      </c>
      <c r="Y235">
        <v>526201001</v>
      </c>
      <c r="Z235" s="3">
        <v>45625.282638888886</v>
      </c>
      <c r="AA235" s="6">
        <v>2024</v>
      </c>
      <c r="AB235" s="1">
        <v>45653</v>
      </c>
    </row>
    <row r="236" spans="1:28" x14ac:dyDescent="0.3">
      <c r="A236" t="s">
        <v>596</v>
      </c>
      <c r="B236" s="6" t="s">
        <v>1224</v>
      </c>
      <c r="C236" s="6" t="s">
        <v>1225</v>
      </c>
      <c r="D236">
        <v>2311010502</v>
      </c>
      <c r="E236">
        <v>231101001</v>
      </c>
      <c r="F236" t="s">
        <v>52</v>
      </c>
      <c r="G236" t="s">
        <v>598</v>
      </c>
      <c r="H236" s="1">
        <v>45427</v>
      </c>
      <c r="I236" t="s">
        <v>1226</v>
      </c>
      <c r="J236" s="8">
        <v>45439</v>
      </c>
      <c r="K236" s="1" t="s">
        <v>33</v>
      </c>
      <c r="L236" t="s">
        <v>1227</v>
      </c>
      <c r="M236" t="s">
        <v>1211</v>
      </c>
      <c r="N236" s="2">
        <v>181200</v>
      </c>
      <c r="O236" t="s">
        <v>1228</v>
      </c>
      <c r="P236" s="6" t="s">
        <v>36</v>
      </c>
      <c r="Q236" t="s">
        <v>37</v>
      </c>
      <c r="R236" t="s">
        <v>240</v>
      </c>
      <c r="S236" s="9">
        <v>6040</v>
      </c>
      <c r="T236" s="9">
        <v>30</v>
      </c>
      <c r="U236" s="9">
        <v>181200</v>
      </c>
      <c r="V236" s="6" t="s">
        <v>90</v>
      </c>
      <c r="W236" t="s">
        <v>59</v>
      </c>
      <c r="X236">
        <v>5259153331</v>
      </c>
      <c r="Y236">
        <v>525901001</v>
      </c>
      <c r="Z236" s="3">
        <v>45614.675000000003</v>
      </c>
      <c r="AA236" s="6">
        <v>2024</v>
      </c>
      <c r="AB236" s="1">
        <v>45654</v>
      </c>
    </row>
    <row r="237" spans="1:28" x14ac:dyDescent="0.3">
      <c r="A237" t="s">
        <v>1229</v>
      </c>
      <c r="B237" s="6" t="s">
        <v>1076</v>
      </c>
      <c r="C237" s="6" t="s">
        <v>221</v>
      </c>
      <c r="D237">
        <v>7702066157</v>
      </c>
      <c r="E237">
        <v>770201001</v>
      </c>
      <c r="F237" t="s">
        <v>52</v>
      </c>
      <c r="G237" t="s">
        <v>1230</v>
      </c>
      <c r="H237" s="1">
        <v>45427</v>
      </c>
      <c r="I237" t="s">
        <v>1231</v>
      </c>
      <c r="J237" s="8">
        <v>45439</v>
      </c>
      <c r="K237" s="1" t="s">
        <v>33</v>
      </c>
      <c r="L237" t="s">
        <v>1230</v>
      </c>
      <c r="M237" t="s">
        <v>1232</v>
      </c>
      <c r="N237" s="2">
        <v>1040396</v>
      </c>
      <c r="O237" t="s">
        <v>1233</v>
      </c>
      <c r="P237" s="6" t="s">
        <v>36</v>
      </c>
      <c r="Q237" t="s">
        <v>37</v>
      </c>
      <c r="R237" t="s">
        <v>240</v>
      </c>
      <c r="S237" s="9">
        <v>5945.12</v>
      </c>
      <c r="T237" s="9">
        <v>175</v>
      </c>
      <c r="U237" s="9">
        <v>1040396</v>
      </c>
      <c r="V237" s="6" t="s">
        <v>1079</v>
      </c>
      <c r="W237" t="s">
        <v>129</v>
      </c>
      <c r="X237">
        <v>7709487997</v>
      </c>
      <c r="Y237">
        <v>200601001</v>
      </c>
      <c r="Z237" s="3">
        <v>45677.643750000003</v>
      </c>
      <c r="AA237" s="6">
        <v>2024</v>
      </c>
      <c r="AB237" s="1">
        <v>45840</v>
      </c>
    </row>
    <row r="238" spans="1:28" x14ac:dyDescent="0.3">
      <c r="A238" t="s">
        <v>1234</v>
      </c>
      <c r="B238" s="6" t="s">
        <v>1235</v>
      </c>
      <c r="C238" s="6" t="s">
        <v>30</v>
      </c>
      <c r="D238">
        <v>3201004917</v>
      </c>
      <c r="E238">
        <v>325701001</v>
      </c>
      <c r="F238" t="s">
        <v>94</v>
      </c>
      <c r="G238" t="s">
        <v>1236</v>
      </c>
      <c r="H238" s="1">
        <v>45434</v>
      </c>
      <c r="I238" t="s">
        <v>1237</v>
      </c>
      <c r="J238" s="8">
        <v>45439</v>
      </c>
      <c r="K238" s="1" t="s">
        <v>33</v>
      </c>
      <c r="L238" t="s">
        <v>1236</v>
      </c>
      <c r="M238" t="s">
        <v>1238</v>
      </c>
      <c r="N238" s="2">
        <v>51426700</v>
      </c>
      <c r="O238" t="s">
        <v>440</v>
      </c>
      <c r="P238" s="6" t="s">
        <v>36</v>
      </c>
      <c r="Q238" t="s">
        <v>37</v>
      </c>
      <c r="R238" t="s">
        <v>240</v>
      </c>
      <c r="S238" s="9">
        <v>5799.99</v>
      </c>
      <c r="T238" s="9">
        <v>5125</v>
      </c>
      <c r="U238" s="9">
        <v>29724948.75</v>
      </c>
      <c r="V238" s="6" t="s">
        <v>39</v>
      </c>
      <c r="W238" t="s">
        <v>40</v>
      </c>
      <c r="X238">
        <v>7810687137</v>
      </c>
      <c r="Y238">
        <v>781401001</v>
      </c>
      <c r="Z238" s="3">
        <v>45654.770833333336</v>
      </c>
      <c r="AA238" s="6">
        <v>2024</v>
      </c>
      <c r="AB238" s="1">
        <v>45657</v>
      </c>
    </row>
    <row r="239" spans="1:28" x14ac:dyDescent="0.3">
      <c r="A239" t="s">
        <v>1234</v>
      </c>
      <c r="B239" s="6" t="s">
        <v>1235</v>
      </c>
      <c r="C239" s="6" t="s">
        <v>30</v>
      </c>
      <c r="D239">
        <v>3201004917</v>
      </c>
      <c r="E239">
        <v>325701001</v>
      </c>
      <c r="F239" t="s">
        <v>94</v>
      </c>
      <c r="G239" t="s">
        <v>1236</v>
      </c>
      <c r="H239" s="1">
        <v>45434</v>
      </c>
      <c r="I239" t="s">
        <v>1237</v>
      </c>
      <c r="J239" s="8">
        <v>45439</v>
      </c>
      <c r="K239" s="1" t="s">
        <v>33</v>
      </c>
      <c r="L239" t="s">
        <v>1236</v>
      </c>
      <c r="M239" t="s">
        <v>1238</v>
      </c>
      <c r="N239" s="2">
        <v>51426700</v>
      </c>
      <c r="O239" t="s">
        <v>440</v>
      </c>
      <c r="P239" s="6" t="s">
        <v>36</v>
      </c>
      <c r="Q239" t="s">
        <v>37</v>
      </c>
      <c r="R239" t="s">
        <v>240</v>
      </c>
      <c r="S239" s="9">
        <v>5799.99</v>
      </c>
      <c r="T239" s="9">
        <v>3732</v>
      </c>
      <c r="U239" s="9">
        <v>21645562.68</v>
      </c>
      <c r="V239" s="6" t="s">
        <v>39</v>
      </c>
      <c r="W239" t="s">
        <v>40</v>
      </c>
      <c r="X239">
        <v>7810687137</v>
      </c>
      <c r="Y239">
        <v>781401001</v>
      </c>
      <c r="Z239" s="3">
        <v>45654.770833333336</v>
      </c>
      <c r="AA239" s="6">
        <v>2024</v>
      </c>
      <c r="AB239" s="1">
        <v>45657</v>
      </c>
    </row>
    <row r="240" spans="1:28" x14ac:dyDescent="0.3">
      <c r="A240" t="s">
        <v>1234</v>
      </c>
      <c r="B240" s="6" t="s">
        <v>1235</v>
      </c>
      <c r="C240" s="6" t="s">
        <v>30</v>
      </c>
      <c r="D240">
        <v>3201004917</v>
      </c>
      <c r="E240">
        <v>325701001</v>
      </c>
      <c r="F240" t="s">
        <v>94</v>
      </c>
      <c r="G240" t="s">
        <v>1236</v>
      </c>
      <c r="H240" s="1">
        <v>45434</v>
      </c>
      <c r="I240" t="s">
        <v>1237</v>
      </c>
      <c r="J240" s="8">
        <v>45439</v>
      </c>
      <c r="K240" s="1" t="s">
        <v>33</v>
      </c>
      <c r="L240" t="s">
        <v>1236</v>
      </c>
      <c r="M240" t="s">
        <v>1238</v>
      </c>
      <c r="N240" s="2">
        <v>51426700</v>
      </c>
      <c r="O240" t="s">
        <v>440</v>
      </c>
      <c r="P240" s="6" t="s">
        <v>36</v>
      </c>
      <c r="Q240" t="s">
        <v>37</v>
      </c>
      <c r="R240" t="s">
        <v>240</v>
      </c>
      <c r="S240" s="9">
        <v>5618.85</v>
      </c>
      <c r="T240" s="9">
        <v>9</v>
      </c>
      <c r="U240" s="9">
        <v>50569.65</v>
      </c>
      <c r="V240" s="6" t="s">
        <v>39</v>
      </c>
      <c r="W240" t="s">
        <v>40</v>
      </c>
      <c r="X240">
        <v>7810687137</v>
      </c>
      <c r="Y240">
        <v>781401001</v>
      </c>
      <c r="Z240" s="3">
        <v>45654.770833333336</v>
      </c>
      <c r="AA240" s="6">
        <v>2024</v>
      </c>
      <c r="AB240" s="1">
        <v>45657</v>
      </c>
    </row>
    <row r="241" spans="1:28" x14ac:dyDescent="0.3">
      <c r="A241" t="s">
        <v>1234</v>
      </c>
      <c r="B241" s="6" t="s">
        <v>1235</v>
      </c>
      <c r="C241" s="6" t="s">
        <v>30</v>
      </c>
      <c r="D241">
        <v>3201004917</v>
      </c>
      <c r="E241">
        <v>325701001</v>
      </c>
      <c r="F241" t="s">
        <v>94</v>
      </c>
      <c r="G241" t="s">
        <v>1236</v>
      </c>
      <c r="H241" s="1">
        <v>45434</v>
      </c>
      <c r="I241" t="s">
        <v>1237</v>
      </c>
      <c r="J241" s="8">
        <v>45439</v>
      </c>
      <c r="K241" s="1" t="s">
        <v>33</v>
      </c>
      <c r="L241" t="s">
        <v>1236</v>
      </c>
      <c r="M241" t="s">
        <v>1238</v>
      </c>
      <c r="N241" s="2">
        <v>51426700</v>
      </c>
      <c r="O241" t="s">
        <v>440</v>
      </c>
      <c r="P241" s="6" t="s">
        <v>36</v>
      </c>
      <c r="Q241" t="s">
        <v>37</v>
      </c>
      <c r="R241" t="s">
        <v>240</v>
      </c>
      <c r="S241" s="9">
        <v>5618.92</v>
      </c>
      <c r="T241" s="9">
        <v>1</v>
      </c>
      <c r="U241" s="9">
        <v>5618.92</v>
      </c>
      <c r="V241" s="6" t="s">
        <v>39</v>
      </c>
      <c r="W241" t="s">
        <v>40</v>
      </c>
      <c r="X241">
        <v>7810687137</v>
      </c>
      <c r="Y241">
        <v>781401001</v>
      </c>
      <c r="Z241" s="3">
        <v>45654.770833333336</v>
      </c>
      <c r="AA241" s="6">
        <v>2024</v>
      </c>
      <c r="AB241" s="1">
        <v>45657</v>
      </c>
    </row>
    <row r="242" spans="1:28" x14ac:dyDescent="0.3">
      <c r="A242" t="s">
        <v>1239</v>
      </c>
      <c r="B242" s="6" t="s">
        <v>573</v>
      </c>
      <c r="C242" s="6" t="s">
        <v>405</v>
      </c>
      <c r="D242">
        <v>562044550</v>
      </c>
      <c r="E242">
        <v>57201001</v>
      </c>
      <c r="F242" t="s">
        <v>52</v>
      </c>
      <c r="G242" t="s">
        <v>1240</v>
      </c>
      <c r="H242" s="1">
        <v>45426</v>
      </c>
      <c r="I242" t="s">
        <v>1241</v>
      </c>
      <c r="J242" s="8">
        <v>45439</v>
      </c>
      <c r="K242" s="1" t="s">
        <v>33</v>
      </c>
      <c r="L242" t="s">
        <v>1240</v>
      </c>
      <c r="M242" t="s">
        <v>1242</v>
      </c>
      <c r="N242" s="2">
        <v>45997200</v>
      </c>
      <c r="O242" t="s">
        <v>440</v>
      </c>
      <c r="P242" s="6" t="s">
        <v>36</v>
      </c>
      <c r="Q242" t="s">
        <v>37</v>
      </c>
      <c r="R242" t="s">
        <v>240</v>
      </c>
      <c r="S242" s="9">
        <v>5400</v>
      </c>
      <c r="T242" s="9">
        <v>8518</v>
      </c>
      <c r="U242" s="9">
        <v>45997200</v>
      </c>
      <c r="V242" s="6" t="s">
        <v>39</v>
      </c>
      <c r="W242" t="s">
        <v>40</v>
      </c>
      <c r="X242">
        <v>7810687137</v>
      </c>
      <c r="Y242">
        <v>781401001</v>
      </c>
      <c r="Z242" s="3">
        <v>45495.492361111108</v>
      </c>
      <c r="AA242" s="6">
        <v>2024</v>
      </c>
      <c r="AB242" s="1">
        <v>45657</v>
      </c>
    </row>
    <row r="243" spans="1:28" x14ac:dyDescent="0.3">
      <c r="A243" t="s">
        <v>1243</v>
      </c>
      <c r="B243" s="6" t="s">
        <v>1244</v>
      </c>
      <c r="C243" s="6" t="s">
        <v>640</v>
      </c>
      <c r="D243">
        <v>6904008639</v>
      </c>
      <c r="E243">
        <v>695001001</v>
      </c>
      <c r="F243" t="s">
        <v>52</v>
      </c>
      <c r="G243" t="s">
        <v>1245</v>
      </c>
      <c r="H243" s="1">
        <v>45427</v>
      </c>
      <c r="J243" s="8">
        <v>45439</v>
      </c>
      <c r="K243" s="1" t="s">
        <v>33</v>
      </c>
      <c r="L243">
        <v>2470</v>
      </c>
      <c r="M243" t="s">
        <v>339</v>
      </c>
      <c r="N243" s="2">
        <v>360000</v>
      </c>
      <c r="O243" t="s">
        <v>440</v>
      </c>
      <c r="P243" s="6" t="s">
        <v>36</v>
      </c>
      <c r="Q243" t="s">
        <v>37</v>
      </c>
      <c r="R243" t="s">
        <v>240</v>
      </c>
      <c r="S243" s="9">
        <v>6000</v>
      </c>
      <c r="T243" s="9">
        <v>60</v>
      </c>
      <c r="U243" s="9">
        <v>360000</v>
      </c>
      <c r="V243" s="6" t="s">
        <v>90</v>
      </c>
      <c r="W243" t="s">
        <v>59</v>
      </c>
      <c r="X243">
        <v>5259153331</v>
      </c>
      <c r="Y243">
        <v>525901001</v>
      </c>
      <c r="Z243" s="3">
        <v>45609.492361111108</v>
      </c>
      <c r="AA243" s="6">
        <v>2024</v>
      </c>
      <c r="AB243" s="1">
        <v>45652</v>
      </c>
    </row>
    <row r="244" spans="1:28" x14ac:dyDescent="0.3">
      <c r="A244" t="s">
        <v>1246</v>
      </c>
      <c r="B244" s="6" t="s">
        <v>1235</v>
      </c>
      <c r="C244" s="6" t="s">
        <v>30</v>
      </c>
      <c r="D244">
        <v>3201004917</v>
      </c>
      <c r="E244">
        <v>325701001</v>
      </c>
      <c r="F244" t="s">
        <v>94</v>
      </c>
      <c r="G244" t="s">
        <v>1247</v>
      </c>
      <c r="H244" s="1">
        <v>45434</v>
      </c>
      <c r="I244" t="s">
        <v>1248</v>
      </c>
      <c r="J244" s="8">
        <v>45439</v>
      </c>
      <c r="K244" s="1" t="s">
        <v>33</v>
      </c>
      <c r="L244" t="s">
        <v>1249</v>
      </c>
      <c r="M244" t="s">
        <v>1250</v>
      </c>
      <c r="N244" s="2">
        <v>1145210.25</v>
      </c>
      <c r="O244" t="s">
        <v>1251</v>
      </c>
      <c r="P244" s="6" t="s">
        <v>891</v>
      </c>
      <c r="Q244" t="s">
        <v>37</v>
      </c>
      <c r="R244" t="s">
        <v>38</v>
      </c>
      <c r="S244" s="9">
        <v>5813.25</v>
      </c>
      <c r="T244" s="9">
        <v>142</v>
      </c>
      <c r="U244" s="9">
        <v>825481.5</v>
      </c>
      <c r="V244" s="6" t="s">
        <v>39</v>
      </c>
      <c r="W244" t="s">
        <v>40</v>
      </c>
      <c r="X244">
        <v>7810687137</v>
      </c>
      <c r="Y244">
        <v>781401001</v>
      </c>
      <c r="Z244" s="3">
        <v>45540.65902777778</v>
      </c>
      <c r="AA244" s="6">
        <v>2024</v>
      </c>
      <c r="AB244" s="1">
        <v>45657</v>
      </c>
    </row>
    <row r="245" spans="1:28" x14ac:dyDescent="0.3">
      <c r="A245" t="s">
        <v>1246</v>
      </c>
      <c r="B245" s="6" t="s">
        <v>1235</v>
      </c>
      <c r="C245" s="6" t="s">
        <v>30</v>
      </c>
      <c r="D245">
        <v>3201004917</v>
      </c>
      <c r="E245">
        <v>325701001</v>
      </c>
      <c r="F245" t="s">
        <v>94</v>
      </c>
      <c r="G245" t="s">
        <v>1247</v>
      </c>
      <c r="H245" s="1">
        <v>45434</v>
      </c>
      <c r="I245" t="s">
        <v>1248</v>
      </c>
      <c r="J245" s="8">
        <v>45439</v>
      </c>
      <c r="K245" s="1" t="s">
        <v>33</v>
      </c>
      <c r="L245" t="s">
        <v>1249</v>
      </c>
      <c r="M245" t="s">
        <v>1250</v>
      </c>
      <c r="N245" s="2">
        <v>1145210.25</v>
      </c>
      <c r="O245" t="s">
        <v>1251</v>
      </c>
      <c r="P245" s="6" t="s">
        <v>891</v>
      </c>
      <c r="Q245" t="s">
        <v>37</v>
      </c>
      <c r="R245" t="s">
        <v>38</v>
      </c>
      <c r="S245" s="9">
        <v>5813.25</v>
      </c>
      <c r="T245" s="9">
        <v>55</v>
      </c>
      <c r="U245" s="9">
        <v>319728.75</v>
      </c>
      <c r="V245" s="6" t="s">
        <v>39</v>
      </c>
      <c r="W245" t="s">
        <v>40</v>
      </c>
      <c r="X245">
        <v>7810687137</v>
      </c>
      <c r="Y245">
        <v>781401001</v>
      </c>
      <c r="Z245" s="3">
        <v>45540.65902777778</v>
      </c>
      <c r="AA245" s="6">
        <v>2024</v>
      </c>
      <c r="AB245" s="1">
        <v>45657</v>
      </c>
    </row>
    <row r="246" spans="1:28" x14ac:dyDescent="0.3">
      <c r="A246" t="s">
        <v>1252</v>
      </c>
      <c r="B246" s="6" t="s">
        <v>509</v>
      </c>
      <c r="C246" s="6" t="s">
        <v>395</v>
      </c>
      <c r="D246">
        <v>7202161807</v>
      </c>
      <c r="E246">
        <v>720301001</v>
      </c>
      <c r="F246" t="s">
        <v>52</v>
      </c>
      <c r="G246" t="s">
        <v>1253</v>
      </c>
      <c r="H246" s="1">
        <v>45429</v>
      </c>
      <c r="J246" s="8">
        <v>45440</v>
      </c>
      <c r="K246" s="1" t="s">
        <v>33</v>
      </c>
      <c r="L246" t="s">
        <v>1254</v>
      </c>
      <c r="M246" t="s">
        <v>513</v>
      </c>
      <c r="N246" s="2">
        <v>11115000</v>
      </c>
      <c r="O246" t="s">
        <v>273</v>
      </c>
      <c r="P246" s="6" t="s">
        <v>36</v>
      </c>
      <c r="Q246" t="s">
        <v>37</v>
      </c>
      <c r="R246" t="s">
        <v>240</v>
      </c>
      <c r="S246" s="9">
        <v>6500</v>
      </c>
      <c r="T246" s="9">
        <v>1710</v>
      </c>
      <c r="U246" s="9">
        <v>11115000</v>
      </c>
      <c r="V246" s="6" t="s">
        <v>401</v>
      </c>
      <c r="W246" t="s">
        <v>402</v>
      </c>
      <c r="X246">
        <v>720208302235</v>
      </c>
      <c r="Z246" s="3">
        <v>45551.359722222223</v>
      </c>
      <c r="AA246" s="6">
        <v>2024</v>
      </c>
      <c r="AB246" s="1">
        <v>45654</v>
      </c>
    </row>
    <row r="247" spans="1:28" x14ac:dyDescent="0.3">
      <c r="A247" t="s">
        <v>1255</v>
      </c>
      <c r="B247" s="6" t="s">
        <v>1256</v>
      </c>
      <c r="C247" s="6" t="s">
        <v>1257</v>
      </c>
      <c r="D247">
        <v>601011159</v>
      </c>
      <c r="E247">
        <v>60101001</v>
      </c>
      <c r="F247" t="s">
        <v>52</v>
      </c>
      <c r="G247" t="s">
        <v>1258</v>
      </c>
      <c r="H247" s="1">
        <v>45429</v>
      </c>
      <c r="I247" t="s">
        <v>1259</v>
      </c>
      <c r="J247" s="8">
        <v>45440</v>
      </c>
      <c r="K247" s="1" t="s">
        <v>33</v>
      </c>
      <c r="L247">
        <v>784</v>
      </c>
      <c r="M247" t="s">
        <v>1260</v>
      </c>
      <c r="N247" s="2">
        <v>3876506.07</v>
      </c>
      <c r="O247" t="s">
        <v>440</v>
      </c>
      <c r="P247" s="6" t="s">
        <v>36</v>
      </c>
      <c r="Q247" t="s">
        <v>37</v>
      </c>
      <c r="R247" t="s">
        <v>240</v>
      </c>
      <c r="S247" s="9">
        <v>6262.53</v>
      </c>
      <c r="T247" s="9">
        <v>422</v>
      </c>
      <c r="U247" s="9">
        <v>2642787.66</v>
      </c>
      <c r="V247" s="6" t="s">
        <v>1261</v>
      </c>
      <c r="W247" t="s">
        <v>59</v>
      </c>
      <c r="X247">
        <v>608004104</v>
      </c>
      <c r="Y247">
        <v>60801001</v>
      </c>
      <c r="Z247" s="3">
        <v>45636.765972222223</v>
      </c>
      <c r="AA247" s="6">
        <v>2024</v>
      </c>
      <c r="AB247" s="1">
        <v>45551</v>
      </c>
    </row>
    <row r="248" spans="1:28" x14ac:dyDescent="0.3">
      <c r="A248" t="s">
        <v>1255</v>
      </c>
      <c r="B248" s="6" t="s">
        <v>1256</v>
      </c>
      <c r="C248" s="6" t="s">
        <v>1257</v>
      </c>
      <c r="D248">
        <v>601011159</v>
      </c>
      <c r="E248">
        <v>60101001</v>
      </c>
      <c r="F248" t="s">
        <v>52</v>
      </c>
      <c r="G248" t="s">
        <v>1258</v>
      </c>
      <c r="H248" s="1">
        <v>45429</v>
      </c>
      <c r="I248" t="s">
        <v>1259</v>
      </c>
      <c r="J248" s="8">
        <v>45440</v>
      </c>
      <c r="K248" s="1" t="s">
        <v>33</v>
      </c>
      <c r="L248">
        <v>784</v>
      </c>
      <c r="M248" t="s">
        <v>1260</v>
      </c>
      <c r="N248" s="2">
        <v>3876506.07</v>
      </c>
      <c r="O248" t="s">
        <v>410</v>
      </c>
      <c r="P248" s="6" t="s">
        <v>36</v>
      </c>
      <c r="Q248" t="s">
        <v>37</v>
      </c>
      <c r="R248" t="s">
        <v>240</v>
      </c>
      <c r="S248" s="9">
        <v>6262.53</v>
      </c>
      <c r="T248" s="9">
        <v>197</v>
      </c>
      <c r="U248" s="9">
        <v>1233718.4099999999</v>
      </c>
      <c r="V248" s="6" t="s">
        <v>1261</v>
      </c>
      <c r="W248" t="s">
        <v>59</v>
      </c>
      <c r="X248">
        <v>608004104</v>
      </c>
      <c r="Y248">
        <v>60801001</v>
      </c>
      <c r="Z248" s="3">
        <v>45636.765972222223</v>
      </c>
      <c r="AA248" s="6">
        <v>2024</v>
      </c>
      <c r="AB248" s="1">
        <v>45551</v>
      </c>
    </row>
    <row r="249" spans="1:28" x14ac:dyDescent="0.3">
      <c r="A249" t="s">
        <v>1262</v>
      </c>
      <c r="B249" s="6" t="s">
        <v>1263</v>
      </c>
      <c r="C249" s="6" t="s">
        <v>1225</v>
      </c>
      <c r="D249">
        <v>2309053058</v>
      </c>
      <c r="E249">
        <v>231001001</v>
      </c>
      <c r="F249" t="s">
        <v>52</v>
      </c>
      <c r="G249" t="s">
        <v>1264</v>
      </c>
      <c r="H249" s="1">
        <v>45429</v>
      </c>
      <c r="I249" t="s">
        <v>1265</v>
      </c>
      <c r="J249" s="8">
        <v>45440</v>
      </c>
      <c r="K249" s="1" t="s">
        <v>33</v>
      </c>
      <c r="L249" t="s">
        <v>1266</v>
      </c>
      <c r="M249" t="s">
        <v>1267</v>
      </c>
      <c r="N249" s="2">
        <v>88685543.870000005</v>
      </c>
      <c r="O249" t="s">
        <v>273</v>
      </c>
      <c r="P249" s="6" t="s">
        <v>891</v>
      </c>
      <c r="Q249" t="s">
        <v>37</v>
      </c>
      <c r="R249" t="s">
        <v>240</v>
      </c>
      <c r="S249" s="9">
        <v>5967.67</v>
      </c>
      <c r="T249" s="9">
        <v>7584</v>
      </c>
      <c r="U249" s="9">
        <v>45258809.280000001</v>
      </c>
      <c r="V249" s="6" t="s">
        <v>1268</v>
      </c>
      <c r="W249" t="s">
        <v>1269</v>
      </c>
      <c r="X249">
        <v>2635230089</v>
      </c>
      <c r="Y249">
        <v>773101001</v>
      </c>
      <c r="Z249" s="3">
        <v>45654.432638888888</v>
      </c>
      <c r="AA249" s="6">
        <v>2024</v>
      </c>
      <c r="AB249" s="1">
        <v>45645</v>
      </c>
    </row>
    <row r="250" spans="1:28" x14ac:dyDescent="0.3">
      <c r="A250" t="s">
        <v>1262</v>
      </c>
      <c r="B250" s="6" t="s">
        <v>1263</v>
      </c>
      <c r="C250" s="6" t="s">
        <v>1225</v>
      </c>
      <c r="D250">
        <v>2309053058</v>
      </c>
      <c r="E250">
        <v>231001001</v>
      </c>
      <c r="F250" t="s">
        <v>52</v>
      </c>
      <c r="G250" t="s">
        <v>1264</v>
      </c>
      <c r="H250" s="1">
        <v>45429</v>
      </c>
      <c r="I250" t="s">
        <v>1265</v>
      </c>
      <c r="J250" s="8">
        <v>45440</v>
      </c>
      <c r="K250" s="1" t="s">
        <v>33</v>
      </c>
      <c r="L250" t="s">
        <v>1266</v>
      </c>
      <c r="M250" t="s">
        <v>1267</v>
      </c>
      <c r="N250" s="2">
        <v>88685543.870000005</v>
      </c>
      <c r="O250" t="s">
        <v>273</v>
      </c>
      <c r="P250" s="6" t="s">
        <v>891</v>
      </c>
      <c r="Q250" t="s">
        <v>37</v>
      </c>
      <c r="R250" t="s">
        <v>240</v>
      </c>
      <c r="S250" s="9">
        <v>5967.67</v>
      </c>
      <c r="T250" s="9">
        <v>7277</v>
      </c>
      <c r="U250" s="9">
        <v>43426734.590000004</v>
      </c>
      <c r="V250" s="6" t="s">
        <v>1268</v>
      </c>
      <c r="W250" t="s">
        <v>1269</v>
      </c>
      <c r="X250">
        <v>2635230089</v>
      </c>
      <c r="Y250">
        <v>773101001</v>
      </c>
      <c r="Z250" s="3">
        <v>45654.432638888888</v>
      </c>
      <c r="AA250" s="6">
        <v>2024</v>
      </c>
      <c r="AB250" s="1">
        <v>45645</v>
      </c>
    </row>
    <row r="251" spans="1:28" x14ac:dyDescent="0.3">
      <c r="A251" t="s">
        <v>1270</v>
      </c>
      <c r="B251" s="6" t="s">
        <v>121</v>
      </c>
      <c r="C251" s="6" t="s">
        <v>122</v>
      </c>
      <c r="D251">
        <v>5402155123</v>
      </c>
      <c r="E251">
        <v>540201001</v>
      </c>
      <c r="F251" t="s">
        <v>94</v>
      </c>
      <c r="G251" t="s">
        <v>1271</v>
      </c>
      <c r="H251" s="1">
        <v>45436</v>
      </c>
      <c r="J251" s="8">
        <v>45441</v>
      </c>
      <c r="K251" s="1" t="s">
        <v>33</v>
      </c>
      <c r="L251" t="s">
        <v>1272</v>
      </c>
      <c r="M251" t="s">
        <v>1273</v>
      </c>
      <c r="N251" s="2">
        <v>160920</v>
      </c>
      <c r="O251" t="s">
        <v>694</v>
      </c>
      <c r="P251" s="6" t="s">
        <v>36</v>
      </c>
      <c r="Q251" t="s">
        <v>37</v>
      </c>
      <c r="R251" t="s">
        <v>240</v>
      </c>
      <c r="S251" s="9">
        <v>5960</v>
      </c>
      <c r="T251" s="9">
        <v>27</v>
      </c>
      <c r="U251" s="9">
        <v>160920</v>
      </c>
      <c r="V251" s="6" t="s">
        <v>128</v>
      </c>
      <c r="W251" t="s">
        <v>129</v>
      </c>
      <c r="X251">
        <v>274110679</v>
      </c>
      <c r="Y251">
        <v>500801001</v>
      </c>
      <c r="Z251" s="3">
        <v>45457.43472222222</v>
      </c>
      <c r="AA251" s="6">
        <v>2024</v>
      </c>
      <c r="AB251" s="1">
        <v>45626</v>
      </c>
    </row>
    <row r="252" spans="1:28" x14ac:dyDescent="0.3">
      <c r="A252" t="s">
        <v>1274</v>
      </c>
      <c r="B252" s="6" t="s">
        <v>327</v>
      </c>
      <c r="C252" s="6" t="s">
        <v>213</v>
      </c>
      <c r="D252">
        <v>1659011711</v>
      </c>
      <c r="E252">
        <v>165901001</v>
      </c>
      <c r="F252" t="s">
        <v>52</v>
      </c>
      <c r="G252" t="s">
        <v>1275</v>
      </c>
      <c r="H252" s="1">
        <v>45429</v>
      </c>
      <c r="I252" t="s">
        <v>1276</v>
      </c>
      <c r="J252" s="8">
        <v>45441</v>
      </c>
      <c r="K252" s="1" t="s">
        <v>33</v>
      </c>
      <c r="L252" t="s">
        <v>1277</v>
      </c>
      <c r="M252" t="s">
        <v>331</v>
      </c>
      <c r="N252" s="2">
        <v>960000</v>
      </c>
      <c r="O252" t="s">
        <v>410</v>
      </c>
      <c r="P252" s="6" t="s">
        <v>36</v>
      </c>
      <c r="Q252" t="s">
        <v>37</v>
      </c>
      <c r="R252" t="s">
        <v>240</v>
      </c>
      <c r="S252" s="9">
        <v>6000</v>
      </c>
      <c r="T252" s="9">
        <v>160</v>
      </c>
      <c r="U252" s="9">
        <v>960000</v>
      </c>
      <c r="V252" s="6" t="s">
        <v>90</v>
      </c>
      <c r="W252" t="s">
        <v>59</v>
      </c>
      <c r="X252">
        <v>5259153331</v>
      </c>
      <c r="Y252">
        <v>525901001</v>
      </c>
      <c r="Z252" s="3">
        <v>45553.415972222225</v>
      </c>
      <c r="AA252" s="6">
        <v>2024</v>
      </c>
      <c r="AB252" s="1">
        <v>45657</v>
      </c>
    </row>
    <row r="253" spans="1:28" x14ac:dyDescent="0.3">
      <c r="A253" t="s">
        <v>1278</v>
      </c>
      <c r="B253" s="6" t="s">
        <v>220</v>
      </c>
      <c r="C253" s="6" t="s">
        <v>221</v>
      </c>
      <c r="D253">
        <v>5024068656</v>
      </c>
      <c r="E253">
        <v>502401001</v>
      </c>
      <c r="F253" t="s">
        <v>52</v>
      </c>
      <c r="G253" t="s">
        <v>1279</v>
      </c>
      <c r="H253" s="1">
        <v>45428</v>
      </c>
      <c r="J253" s="8">
        <v>45441</v>
      </c>
      <c r="K253" s="1" t="s">
        <v>33</v>
      </c>
      <c r="L253" t="s">
        <v>1279</v>
      </c>
      <c r="M253" t="s">
        <v>1280</v>
      </c>
      <c r="N253" s="2">
        <v>112321.73</v>
      </c>
      <c r="O253" t="s">
        <v>694</v>
      </c>
      <c r="P253" s="6" t="s">
        <v>36</v>
      </c>
      <c r="Q253" t="s">
        <v>37</v>
      </c>
      <c r="R253" t="s">
        <v>240</v>
      </c>
      <c r="S253" s="9">
        <v>5911.67</v>
      </c>
      <c r="T253" s="9">
        <v>19</v>
      </c>
      <c r="U253" s="9">
        <v>112321.73</v>
      </c>
      <c r="V253" s="6" t="s">
        <v>128</v>
      </c>
      <c r="W253" t="s">
        <v>129</v>
      </c>
      <c r="X253">
        <v>274110679</v>
      </c>
      <c r="Y253">
        <v>500801001</v>
      </c>
      <c r="Z253" s="3">
        <v>45461.507638888892</v>
      </c>
      <c r="AA253" s="6">
        <v>2024</v>
      </c>
      <c r="AB253" s="1">
        <v>45486</v>
      </c>
    </row>
    <row r="254" spans="1:28" x14ac:dyDescent="0.3">
      <c r="A254" t="s">
        <v>1281</v>
      </c>
      <c r="B254" s="6" t="s">
        <v>121</v>
      </c>
      <c r="C254" s="6" t="s">
        <v>122</v>
      </c>
      <c r="D254">
        <v>5402155123</v>
      </c>
      <c r="E254">
        <v>540201001</v>
      </c>
      <c r="F254" t="s">
        <v>94</v>
      </c>
      <c r="G254" t="s">
        <v>1282</v>
      </c>
      <c r="H254" s="1">
        <v>45439</v>
      </c>
      <c r="J254" s="8">
        <v>45442</v>
      </c>
      <c r="K254" s="1" t="s">
        <v>33</v>
      </c>
      <c r="L254" t="s">
        <v>1283</v>
      </c>
      <c r="M254" t="s">
        <v>1284</v>
      </c>
      <c r="N254" s="2">
        <v>154960</v>
      </c>
      <c r="O254" t="s">
        <v>694</v>
      </c>
      <c r="P254" s="6" t="s">
        <v>36</v>
      </c>
      <c r="Q254" t="s">
        <v>37</v>
      </c>
      <c r="R254" t="s">
        <v>240</v>
      </c>
      <c r="S254" s="9">
        <v>5960</v>
      </c>
      <c r="T254" s="9">
        <v>26</v>
      </c>
      <c r="U254" s="9">
        <v>154960</v>
      </c>
      <c r="V254" s="6" t="s">
        <v>128</v>
      </c>
      <c r="W254" t="s">
        <v>129</v>
      </c>
      <c r="X254">
        <v>274110679</v>
      </c>
      <c r="Y254">
        <v>500801001</v>
      </c>
      <c r="Z254" s="3">
        <v>45457.434027777781</v>
      </c>
      <c r="AA254" s="6">
        <v>2024</v>
      </c>
      <c r="AB254" s="1">
        <v>45626</v>
      </c>
    </row>
    <row r="255" spans="1:28" x14ac:dyDescent="0.3">
      <c r="A255" t="s">
        <v>1285</v>
      </c>
      <c r="B255" s="6" t="s">
        <v>1196</v>
      </c>
      <c r="C255" s="6" t="s">
        <v>1197</v>
      </c>
      <c r="D255">
        <v>411008542</v>
      </c>
      <c r="E255">
        <v>41101001</v>
      </c>
      <c r="F255" t="s">
        <v>149</v>
      </c>
      <c r="G255" t="s">
        <v>1286</v>
      </c>
      <c r="H255" s="1">
        <v>45440</v>
      </c>
      <c r="I255" t="s">
        <v>1287</v>
      </c>
      <c r="J255" s="8">
        <v>45443</v>
      </c>
      <c r="K255" s="1" t="s">
        <v>33</v>
      </c>
      <c r="L255" t="s">
        <v>1288</v>
      </c>
      <c r="M255" t="s">
        <v>305</v>
      </c>
      <c r="N255" s="2">
        <v>384300</v>
      </c>
      <c r="O255" t="s">
        <v>305</v>
      </c>
      <c r="P255" s="6" t="s">
        <v>36</v>
      </c>
      <c r="Q255" t="s">
        <v>37</v>
      </c>
      <c r="R255" t="s">
        <v>306</v>
      </c>
      <c r="S255" s="9">
        <v>6100</v>
      </c>
      <c r="T255" s="9">
        <v>63</v>
      </c>
      <c r="U255" s="9">
        <v>384300</v>
      </c>
      <c r="V255" s="6" t="s">
        <v>352</v>
      </c>
      <c r="W255" t="s">
        <v>40</v>
      </c>
      <c r="X255">
        <v>7843014747</v>
      </c>
      <c r="Y255">
        <v>781401001</v>
      </c>
      <c r="Z255" s="3">
        <v>45490.29583333333</v>
      </c>
      <c r="AA255" s="6">
        <v>2024</v>
      </c>
      <c r="AB255" s="1">
        <v>45657</v>
      </c>
    </row>
    <row r="256" spans="1:28" x14ac:dyDescent="0.3">
      <c r="A256" t="s">
        <v>1289</v>
      </c>
      <c r="B256" s="6" t="s">
        <v>1290</v>
      </c>
      <c r="C256" s="6" t="s">
        <v>51</v>
      </c>
      <c r="D256">
        <v>6832008411</v>
      </c>
      <c r="E256">
        <v>682901001</v>
      </c>
      <c r="F256" t="s">
        <v>52</v>
      </c>
      <c r="G256" t="s">
        <v>1291</v>
      </c>
      <c r="H256" s="1">
        <v>45432</v>
      </c>
      <c r="I256" t="s">
        <v>1292</v>
      </c>
      <c r="J256" s="8">
        <v>45443</v>
      </c>
      <c r="K256" s="1" t="s">
        <v>33</v>
      </c>
      <c r="L256" t="s">
        <v>1293</v>
      </c>
      <c r="M256" t="s">
        <v>1294</v>
      </c>
      <c r="N256" s="2">
        <v>47867.6</v>
      </c>
      <c r="O256" t="s">
        <v>440</v>
      </c>
      <c r="P256" s="6" t="s">
        <v>36</v>
      </c>
      <c r="Q256" t="s">
        <v>37</v>
      </c>
      <c r="R256" t="s">
        <v>240</v>
      </c>
      <c r="S256" s="9">
        <v>5983.45</v>
      </c>
      <c r="T256" s="9">
        <v>8</v>
      </c>
      <c r="U256" s="9">
        <v>47867.6</v>
      </c>
      <c r="V256" s="6" t="s">
        <v>90</v>
      </c>
      <c r="W256" t="s">
        <v>59</v>
      </c>
      <c r="X256">
        <v>5259153331</v>
      </c>
      <c r="Y256">
        <v>525901001</v>
      </c>
      <c r="Z256" s="3">
        <v>45492.584722222222</v>
      </c>
      <c r="AA256" s="6">
        <v>2024</v>
      </c>
      <c r="AB256" s="1">
        <v>45503</v>
      </c>
    </row>
    <row r="257" spans="1:28" x14ac:dyDescent="0.3">
      <c r="A257" t="s">
        <v>1295</v>
      </c>
      <c r="B257" s="6" t="s">
        <v>1296</v>
      </c>
      <c r="C257" s="6" t="s">
        <v>164</v>
      </c>
      <c r="D257">
        <v>7720093523</v>
      </c>
      <c r="E257">
        <v>772001001</v>
      </c>
      <c r="F257" t="s">
        <v>52</v>
      </c>
      <c r="G257" t="s">
        <v>1297</v>
      </c>
      <c r="H257" s="1">
        <v>45432</v>
      </c>
      <c r="J257" s="8">
        <v>45443</v>
      </c>
      <c r="K257" s="1" t="s">
        <v>33</v>
      </c>
      <c r="L257" t="s">
        <v>1297</v>
      </c>
      <c r="M257" t="s">
        <v>1298</v>
      </c>
      <c r="N257" s="2">
        <v>875386.4</v>
      </c>
      <c r="O257" t="s">
        <v>1299</v>
      </c>
      <c r="P257" s="6" t="s">
        <v>36</v>
      </c>
      <c r="Q257" t="s">
        <v>37</v>
      </c>
      <c r="R257" t="s">
        <v>240</v>
      </c>
      <c r="S257" s="9">
        <v>10942.33</v>
      </c>
      <c r="T257" s="9">
        <v>80</v>
      </c>
      <c r="U257" s="9">
        <v>875386.4</v>
      </c>
      <c r="V257" s="6" t="s">
        <v>1300</v>
      </c>
      <c r="W257" t="s">
        <v>129</v>
      </c>
      <c r="X257">
        <v>5043073813</v>
      </c>
      <c r="Y257">
        <v>500901001</v>
      </c>
      <c r="Z257" s="3">
        <v>45490.706944444442</v>
      </c>
      <c r="AA257" s="6">
        <v>2024</v>
      </c>
      <c r="AB257" s="1">
        <v>45559</v>
      </c>
    </row>
    <row r="258" spans="1:28" x14ac:dyDescent="0.3">
      <c r="A258" t="s">
        <v>1301</v>
      </c>
      <c r="B258" s="6" t="s">
        <v>946</v>
      </c>
      <c r="C258" s="6" t="s">
        <v>947</v>
      </c>
      <c r="D258">
        <v>7325000951</v>
      </c>
      <c r="E258">
        <v>732501001</v>
      </c>
      <c r="F258" t="s">
        <v>94</v>
      </c>
      <c r="G258" t="s">
        <v>1302</v>
      </c>
      <c r="H258" s="1">
        <v>45440</v>
      </c>
      <c r="I258" t="s">
        <v>1303</v>
      </c>
      <c r="J258" s="8">
        <v>45443</v>
      </c>
      <c r="K258" s="1" t="s">
        <v>33</v>
      </c>
      <c r="L258" t="s">
        <v>1302</v>
      </c>
      <c r="M258" t="s">
        <v>1304</v>
      </c>
      <c r="N258" s="2">
        <v>980400</v>
      </c>
      <c r="O258" t="s">
        <v>440</v>
      </c>
      <c r="P258" s="6" t="s">
        <v>36</v>
      </c>
      <c r="Q258" t="s">
        <v>37</v>
      </c>
      <c r="R258" t="s">
        <v>240</v>
      </c>
      <c r="S258" s="9">
        <v>5700</v>
      </c>
      <c r="T258" s="9">
        <v>172</v>
      </c>
      <c r="U258" s="9">
        <v>980400</v>
      </c>
      <c r="V258" s="6" t="s">
        <v>39</v>
      </c>
      <c r="W258" t="s">
        <v>40</v>
      </c>
      <c r="X258">
        <v>7810687137</v>
      </c>
      <c r="Y258">
        <v>781401001</v>
      </c>
      <c r="Z258" s="3">
        <v>45481.511805555558</v>
      </c>
      <c r="AA258" s="6">
        <v>2024</v>
      </c>
      <c r="AB258" s="1">
        <v>45657</v>
      </c>
    </row>
    <row r="259" spans="1:28" x14ac:dyDescent="0.3">
      <c r="A259" t="s">
        <v>708</v>
      </c>
      <c r="B259" s="6" t="s">
        <v>1305</v>
      </c>
      <c r="C259" s="6" t="s">
        <v>911</v>
      </c>
      <c r="D259">
        <v>1215040598</v>
      </c>
      <c r="E259">
        <v>121501001</v>
      </c>
      <c r="F259" t="s">
        <v>52</v>
      </c>
      <c r="G259" t="s">
        <v>710</v>
      </c>
      <c r="H259" s="1">
        <v>45435</v>
      </c>
      <c r="I259" t="s">
        <v>1306</v>
      </c>
      <c r="J259" s="8">
        <v>45446</v>
      </c>
      <c r="K259" s="1" t="s">
        <v>33</v>
      </c>
      <c r="L259" t="s">
        <v>1307</v>
      </c>
      <c r="M259" t="s">
        <v>483</v>
      </c>
      <c r="N259" s="2">
        <v>240000</v>
      </c>
      <c r="O259" t="s">
        <v>1308</v>
      </c>
      <c r="P259" s="6" t="s">
        <v>36</v>
      </c>
      <c r="Q259" t="s">
        <v>37</v>
      </c>
      <c r="R259" t="s">
        <v>240</v>
      </c>
      <c r="S259" s="9">
        <v>6000</v>
      </c>
      <c r="T259" s="9">
        <v>20</v>
      </c>
      <c r="U259" s="9">
        <v>120000</v>
      </c>
      <c r="V259" s="6" t="s">
        <v>90</v>
      </c>
      <c r="W259" t="s">
        <v>59</v>
      </c>
      <c r="X259">
        <v>5259153331</v>
      </c>
      <c r="Y259">
        <v>525901001</v>
      </c>
      <c r="Z259" s="3">
        <v>45589.311805555553</v>
      </c>
      <c r="AA259" s="6">
        <v>2024</v>
      </c>
      <c r="AB259" s="1">
        <v>45657</v>
      </c>
    </row>
    <row r="260" spans="1:28" x14ac:dyDescent="0.3">
      <c r="A260" t="s">
        <v>708</v>
      </c>
      <c r="B260" s="6" t="s">
        <v>1305</v>
      </c>
      <c r="C260" s="6" t="s">
        <v>911</v>
      </c>
      <c r="D260">
        <v>1215040598</v>
      </c>
      <c r="E260">
        <v>121501001</v>
      </c>
      <c r="F260" t="s">
        <v>52</v>
      </c>
      <c r="G260" t="s">
        <v>710</v>
      </c>
      <c r="H260" s="1">
        <v>45435</v>
      </c>
      <c r="I260" t="s">
        <v>1306</v>
      </c>
      <c r="J260" s="8">
        <v>45446</v>
      </c>
      <c r="K260" s="1" t="s">
        <v>33</v>
      </c>
      <c r="L260" t="s">
        <v>1307</v>
      </c>
      <c r="M260" t="s">
        <v>483</v>
      </c>
      <c r="N260" s="2">
        <v>240000</v>
      </c>
      <c r="O260" t="s">
        <v>1309</v>
      </c>
      <c r="P260" s="6" t="s">
        <v>36</v>
      </c>
      <c r="Q260" t="s">
        <v>37</v>
      </c>
      <c r="R260" t="s">
        <v>240</v>
      </c>
      <c r="S260" s="9">
        <v>6000</v>
      </c>
      <c r="T260" s="9">
        <v>20</v>
      </c>
      <c r="U260" s="9">
        <v>120000</v>
      </c>
      <c r="V260" s="6" t="s">
        <v>90</v>
      </c>
      <c r="W260" t="s">
        <v>59</v>
      </c>
      <c r="X260">
        <v>5259153331</v>
      </c>
      <c r="Y260">
        <v>525901001</v>
      </c>
      <c r="Z260" s="3">
        <v>45589.311805555553</v>
      </c>
      <c r="AA260" s="6">
        <v>2024</v>
      </c>
      <c r="AB260" s="1">
        <v>45657</v>
      </c>
    </row>
    <row r="261" spans="1:28" x14ac:dyDescent="0.3">
      <c r="A261" t="s">
        <v>1310</v>
      </c>
      <c r="B261" s="6" t="s">
        <v>501</v>
      </c>
      <c r="C261" s="6" t="s">
        <v>502</v>
      </c>
      <c r="D261">
        <v>6318197367</v>
      </c>
      <c r="E261">
        <v>631801001</v>
      </c>
      <c r="F261" t="s">
        <v>52</v>
      </c>
      <c r="G261" t="s">
        <v>1311</v>
      </c>
      <c r="H261" s="1">
        <v>45434</v>
      </c>
      <c r="I261" t="s">
        <v>1312</v>
      </c>
      <c r="J261" s="8">
        <v>45446</v>
      </c>
      <c r="K261" s="1" t="s">
        <v>33</v>
      </c>
      <c r="L261" t="s">
        <v>1313</v>
      </c>
      <c r="M261" t="s">
        <v>1314</v>
      </c>
      <c r="N261" s="2">
        <v>18219.900000000001</v>
      </c>
      <c r="O261" t="s">
        <v>1315</v>
      </c>
      <c r="P261" s="6" t="s">
        <v>36</v>
      </c>
      <c r="Q261" t="s">
        <v>37</v>
      </c>
      <c r="R261" t="s">
        <v>306</v>
      </c>
      <c r="S261" s="9">
        <v>6073.3</v>
      </c>
      <c r="T261" s="9">
        <v>3</v>
      </c>
      <c r="U261" s="9">
        <v>18219.900000000001</v>
      </c>
      <c r="V261" s="6" t="s">
        <v>58</v>
      </c>
      <c r="W261" t="s">
        <v>59</v>
      </c>
      <c r="X261">
        <v>5262222144</v>
      </c>
      <c r="Y261">
        <v>526201001</v>
      </c>
      <c r="Z261" s="3">
        <v>45649.449305555558</v>
      </c>
      <c r="AA261" s="6">
        <v>2024</v>
      </c>
      <c r="AB261" s="1">
        <v>45657</v>
      </c>
    </row>
    <row r="262" spans="1:28" x14ac:dyDescent="0.3">
      <c r="A262" t="s">
        <v>1316</v>
      </c>
      <c r="B262" s="6" t="s">
        <v>1317</v>
      </c>
      <c r="C262" s="6" t="s">
        <v>380</v>
      </c>
      <c r="D262">
        <v>4700001180</v>
      </c>
      <c r="E262">
        <v>784201001</v>
      </c>
      <c r="F262" t="s">
        <v>52</v>
      </c>
      <c r="G262" t="s">
        <v>1318</v>
      </c>
      <c r="H262" s="1">
        <v>45433</v>
      </c>
      <c r="J262" s="8">
        <v>45446</v>
      </c>
      <c r="K262" s="1" t="s">
        <v>33</v>
      </c>
      <c r="L262" t="s">
        <v>1319</v>
      </c>
      <c r="M262" t="s">
        <v>1320</v>
      </c>
      <c r="N262" s="2">
        <v>61485800</v>
      </c>
      <c r="O262" t="s">
        <v>440</v>
      </c>
      <c r="P262" s="6" t="s">
        <v>36</v>
      </c>
      <c r="Q262" t="s">
        <v>37</v>
      </c>
      <c r="R262" t="s">
        <v>240</v>
      </c>
      <c r="S262" s="9">
        <v>5800</v>
      </c>
      <c r="T262" s="9">
        <v>10601</v>
      </c>
      <c r="U262" s="9">
        <v>61485800</v>
      </c>
      <c r="V262" s="6" t="s">
        <v>39</v>
      </c>
      <c r="W262" t="s">
        <v>40</v>
      </c>
      <c r="X262">
        <v>7810687137</v>
      </c>
      <c r="Y262">
        <v>781401001</v>
      </c>
      <c r="Z262" s="3">
        <v>45589.45416666667</v>
      </c>
      <c r="AA262" s="6">
        <v>2024</v>
      </c>
      <c r="AB262" s="1">
        <v>45632</v>
      </c>
    </row>
    <row r="263" spans="1:28" x14ac:dyDescent="0.3">
      <c r="A263" t="s">
        <v>1321</v>
      </c>
      <c r="B263" s="6" t="s">
        <v>139</v>
      </c>
      <c r="C263" s="6" t="s">
        <v>140</v>
      </c>
      <c r="D263">
        <v>3444198220</v>
      </c>
      <c r="E263">
        <v>346001001</v>
      </c>
      <c r="F263" t="s">
        <v>52</v>
      </c>
      <c r="G263" t="s">
        <v>1322</v>
      </c>
      <c r="H263" s="1">
        <v>45433</v>
      </c>
      <c r="I263" t="s">
        <v>1323</v>
      </c>
      <c r="J263" s="8">
        <v>45446</v>
      </c>
      <c r="K263" s="1" t="s">
        <v>33</v>
      </c>
      <c r="L263">
        <v>240333</v>
      </c>
      <c r="M263" t="s">
        <v>311</v>
      </c>
      <c r="N263" s="2">
        <v>71313156.090000004</v>
      </c>
      <c r="O263" t="s">
        <v>440</v>
      </c>
      <c r="P263" s="6" t="s">
        <v>36</v>
      </c>
      <c r="Q263" t="s">
        <v>37</v>
      </c>
      <c r="R263" t="s">
        <v>240</v>
      </c>
      <c r="S263" s="9">
        <v>6006.33</v>
      </c>
      <c r="T263" s="9">
        <v>5937</v>
      </c>
      <c r="U263" s="9">
        <v>35659581.210000001</v>
      </c>
      <c r="V263" s="6" t="s">
        <v>145</v>
      </c>
      <c r="W263" t="s">
        <v>40</v>
      </c>
      <c r="X263">
        <v>5321132777</v>
      </c>
      <c r="Y263">
        <v>532101001</v>
      </c>
      <c r="Z263" s="3">
        <v>45561.711805555555</v>
      </c>
      <c r="AA263" s="6">
        <v>2024</v>
      </c>
      <c r="AB263" s="1">
        <v>45657</v>
      </c>
    </row>
    <row r="264" spans="1:28" x14ac:dyDescent="0.3">
      <c r="A264" t="s">
        <v>1321</v>
      </c>
      <c r="B264" s="6" t="s">
        <v>139</v>
      </c>
      <c r="C264" s="6" t="s">
        <v>140</v>
      </c>
      <c r="D264">
        <v>3444198220</v>
      </c>
      <c r="E264">
        <v>346001001</v>
      </c>
      <c r="F264" t="s">
        <v>52</v>
      </c>
      <c r="G264" t="s">
        <v>1322</v>
      </c>
      <c r="H264" s="1">
        <v>45433</v>
      </c>
      <c r="I264" t="s">
        <v>1323</v>
      </c>
      <c r="J264" s="8">
        <v>45446</v>
      </c>
      <c r="K264" s="1" t="s">
        <v>33</v>
      </c>
      <c r="L264">
        <v>240333</v>
      </c>
      <c r="M264" t="s">
        <v>311</v>
      </c>
      <c r="N264" s="2">
        <v>71313156.090000004</v>
      </c>
      <c r="O264" t="s">
        <v>440</v>
      </c>
      <c r="P264" s="6" t="s">
        <v>36</v>
      </c>
      <c r="Q264" t="s">
        <v>37</v>
      </c>
      <c r="R264" t="s">
        <v>240</v>
      </c>
      <c r="S264" s="9">
        <v>6006.33</v>
      </c>
      <c r="T264" s="9">
        <v>5936</v>
      </c>
      <c r="U264" s="9">
        <v>35653574.880000003</v>
      </c>
      <c r="V264" s="6" t="s">
        <v>145</v>
      </c>
      <c r="W264" t="s">
        <v>40</v>
      </c>
      <c r="X264">
        <v>5321132777</v>
      </c>
      <c r="Y264">
        <v>532101001</v>
      </c>
      <c r="Z264" s="3">
        <v>45561.711805555555</v>
      </c>
      <c r="AA264" s="6">
        <v>2024</v>
      </c>
      <c r="AB264" s="1">
        <v>45657</v>
      </c>
    </row>
    <row r="265" spans="1:28" x14ac:dyDescent="0.3">
      <c r="A265" t="s">
        <v>1324</v>
      </c>
      <c r="B265" s="6" t="s">
        <v>1325</v>
      </c>
      <c r="C265" s="6" t="s">
        <v>1257</v>
      </c>
      <c r="D265">
        <v>603005841</v>
      </c>
      <c r="E265">
        <v>60301001</v>
      </c>
      <c r="F265" t="s">
        <v>149</v>
      </c>
      <c r="G265" t="s">
        <v>1326</v>
      </c>
      <c r="H265" s="1">
        <v>45442</v>
      </c>
      <c r="I265" t="s">
        <v>1327</v>
      </c>
      <c r="J265" s="8">
        <v>45447</v>
      </c>
      <c r="K265" s="1" t="s">
        <v>33</v>
      </c>
      <c r="L265">
        <v>1094</v>
      </c>
      <c r="M265" t="s">
        <v>273</v>
      </c>
      <c r="N265" s="2">
        <v>1152000</v>
      </c>
      <c r="O265" t="s">
        <v>1328</v>
      </c>
      <c r="P265" s="6" t="s">
        <v>36</v>
      </c>
      <c r="Q265" t="s">
        <v>37</v>
      </c>
      <c r="R265" t="s">
        <v>240</v>
      </c>
      <c r="S265" s="9">
        <v>6000</v>
      </c>
      <c r="T265" s="9">
        <v>192</v>
      </c>
      <c r="U265" s="9">
        <v>1152000</v>
      </c>
      <c r="V265" s="6" t="s">
        <v>58</v>
      </c>
      <c r="W265" t="s">
        <v>59</v>
      </c>
      <c r="X265">
        <v>5262222144</v>
      </c>
      <c r="Y265">
        <v>526201001</v>
      </c>
      <c r="Z265" s="3">
        <v>45469.768055555556</v>
      </c>
      <c r="AA265" s="6">
        <v>2024</v>
      </c>
      <c r="AB265" s="1">
        <v>45478</v>
      </c>
    </row>
    <row r="266" spans="1:28" x14ac:dyDescent="0.3">
      <c r="A266" t="s">
        <v>1329</v>
      </c>
      <c r="B266" s="6" t="s">
        <v>121</v>
      </c>
      <c r="C266" s="6" t="s">
        <v>122</v>
      </c>
      <c r="D266">
        <v>5402155123</v>
      </c>
      <c r="E266">
        <v>540201001</v>
      </c>
      <c r="F266" t="s">
        <v>52</v>
      </c>
      <c r="G266" t="s">
        <v>1330</v>
      </c>
      <c r="H266" s="1">
        <v>45436</v>
      </c>
      <c r="J266" s="8">
        <v>45448</v>
      </c>
      <c r="K266" s="1" t="s">
        <v>33</v>
      </c>
      <c r="L266" t="s">
        <v>1331</v>
      </c>
      <c r="M266" t="s">
        <v>1332</v>
      </c>
      <c r="N266" s="2">
        <v>3493200</v>
      </c>
      <c r="O266" t="s">
        <v>273</v>
      </c>
      <c r="P266" s="6" t="s">
        <v>464</v>
      </c>
      <c r="Q266" t="s">
        <v>37</v>
      </c>
      <c r="R266" t="s">
        <v>240</v>
      </c>
      <c r="S266" s="9">
        <v>5680</v>
      </c>
      <c r="T266" s="9">
        <v>615</v>
      </c>
      <c r="U266" s="9">
        <v>3493200</v>
      </c>
      <c r="V266" s="6" t="s">
        <v>1183</v>
      </c>
      <c r="W266" t="s">
        <v>1184</v>
      </c>
      <c r="X266">
        <v>6678119558</v>
      </c>
      <c r="Y266">
        <v>667801001</v>
      </c>
      <c r="Z266" s="3">
        <v>45464.445138888892</v>
      </c>
      <c r="AA266" s="6">
        <v>2024</v>
      </c>
      <c r="AB266" s="1">
        <v>45656</v>
      </c>
    </row>
    <row r="267" spans="1:28" x14ac:dyDescent="0.3">
      <c r="A267" t="s">
        <v>1333</v>
      </c>
      <c r="B267" s="6" t="s">
        <v>1190</v>
      </c>
      <c r="C267" s="6" t="s">
        <v>1172</v>
      </c>
      <c r="D267">
        <v>5260037940</v>
      </c>
      <c r="E267">
        <v>526001001</v>
      </c>
      <c r="F267" t="s">
        <v>94</v>
      </c>
      <c r="G267" t="s">
        <v>1334</v>
      </c>
      <c r="H267" s="1">
        <v>45443</v>
      </c>
      <c r="I267" t="s">
        <v>1335</v>
      </c>
      <c r="J267" s="8">
        <v>45448</v>
      </c>
      <c r="K267" s="1" t="s">
        <v>33</v>
      </c>
      <c r="L267" t="s">
        <v>1336</v>
      </c>
      <c r="M267" t="s">
        <v>1337</v>
      </c>
      <c r="N267" s="2">
        <v>145200</v>
      </c>
      <c r="O267" t="s">
        <v>1338</v>
      </c>
      <c r="P267" s="6" t="s">
        <v>464</v>
      </c>
      <c r="Q267" t="s">
        <v>37</v>
      </c>
      <c r="R267" t="s">
        <v>240</v>
      </c>
      <c r="S267" s="9">
        <v>5940</v>
      </c>
      <c r="T267" s="9">
        <v>10</v>
      </c>
      <c r="U267" s="9">
        <v>59400</v>
      </c>
      <c r="V267" s="6" t="s">
        <v>1339</v>
      </c>
      <c r="W267" t="s">
        <v>1340</v>
      </c>
      <c r="X267">
        <v>7724419198</v>
      </c>
      <c r="Y267">
        <v>772401001</v>
      </c>
      <c r="Z267" s="3">
        <v>45509.482638888891</v>
      </c>
      <c r="AA267" s="6">
        <v>2024</v>
      </c>
      <c r="AB267" s="1">
        <v>45702</v>
      </c>
    </row>
    <row r="268" spans="1:28" x14ac:dyDescent="0.3">
      <c r="A268" t="s">
        <v>1341</v>
      </c>
      <c r="B268" s="6" t="s">
        <v>220</v>
      </c>
      <c r="C268" s="6" t="s">
        <v>221</v>
      </c>
      <c r="D268">
        <v>5024068656</v>
      </c>
      <c r="E268">
        <v>502401001</v>
      </c>
      <c r="F268" t="s">
        <v>52</v>
      </c>
      <c r="G268" t="s">
        <v>1342</v>
      </c>
      <c r="H268" s="1">
        <v>45435</v>
      </c>
      <c r="J268" s="8">
        <v>45449</v>
      </c>
      <c r="K268" s="1" t="s">
        <v>33</v>
      </c>
      <c r="L268" t="s">
        <v>1342</v>
      </c>
      <c r="M268" t="s">
        <v>1343</v>
      </c>
      <c r="N268" s="2">
        <v>44923500</v>
      </c>
      <c r="O268" t="s">
        <v>1344</v>
      </c>
      <c r="P268" s="6" t="s">
        <v>36</v>
      </c>
      <c r="Q268" t="s">
        <v>37</v>
      </c>
      <c r="R268" t="s">
        <v>240</v>
      </c>
      <c r="S268" s="9">
        <v>5989.8</v>
      </c>
      <c r="T268" s="9">
        <v>7500</v>
      </c>
      <c r="U268" s="9">
        <v>44923500</v>
      </c>
      <c r="V268" s="6" t="s">
        <v>128</v>
      </c>
      <c r="W268" t="s">
        <v>129</v>
      </c>
      <c r="X268">
        <v>274110679</v>
      </c>
      <c r="Y268">
        <v>500801001</v>
      </c>
      <c r="Z268" s="3">
        <v>45485.479166666664</v>
      </c>
      <c r="AA268" s="6">
        <v>2024</v>
      </c>
      <c r="AB268" s="1">
        <v>45505</v>
      </c>
    </row>
    <row r="269" spans="1:28" x14ac:dyDescent="0.3">
      <c r="A269" t="s">
        <v>1345</v>
      </c>
      <c r="B269" s="6" t="s">
        <v>876</v>
      </c>
      <c r="C269" s="6" t="s">
        <v>877</v>
      </c>
      <c r="D269">
        <v>2540018454</v>
      </c>
      <c r="E269">
        <v>254001001</v>
      </c>
      <c r="F269" t="s">
        <v>52</v>
      </c>
      <c r="G269" t="s">
        <v>1346</v>
      </c>
      <c r="H269" s="1">
        <v>45439</v>
      </c>
      <c r="J269" s="8">
        <v>45450</v>
      </c>
      <c r="K269" s="1" t="s">
        <v>33</v>
      </c>
      <c r="L269" t="s">
        <v>1346</v>
      </c>
      <c r="M269" t="s">
        <v>273</v>
      </c>
      <c r="N269" s="2">
        <v>2065563.5</v>
      </c>
      <c r="O269" t="s">
        <v>1347</v>
      </c>
      <c r="P269" s="6" t="s">
        <v>36</v>
      </c>
      <c r="Q269" t="s">
        <v>37</v>
      </c>
      <c r="R269" t="s">
        <v>240</v>
      </c>
      <c r="S269" s="9">
        <v>5901.61</v>
      </c>
      <c r="T269" s="9">
        <v>350</v>
      </c>
      <c r="U269" s="9">
        <v>2065563.5</v>
      </c>
      <c r="V269" s="6" t="s">
        <v>39</v>
      </c>
      <c r="W269" t="s">
        <v>40</v>
      </c>
      <c r="X269">
        <v>7810687137</v>
      </c>
      <c r="Y269">
        <v>781401001</v>
      </c>
      <c r="Z269" s="3">
        <v>45470.081944444442</v>
      </c>
      <c r="AA269" s="6">
        <v>2024</v>
      </c>
      <c r="AB269" s="1">
        <v>45657</v>
      </c>
    </row>
    <row r="270" spans="1:28" x14ac:dyDescent="0.3">
      <c r="A270" t="s">
        <v>1348</v>
      </c>
      <c r="B270" s="6" t="s">
        <v>1349</v>
      </c>
      <c r="C270" s="6" t="s">
        <v>346</v>
      </c>
      <c r="D270">
        <v>1101486491</v>
      </c>
      <c r="E270">
        <v>110101001</v>
      </c>
      <c r="F270" t="s">
        <v>52</v>
      </c>
      <c r="G270" t="s">
        <v>1350</v>
      </c>
      <c r="H270" s="1">
        <v>45439</v>
      </c>
      <c r="I270" t="s">
        <v>1351</v>
      </c>
      <c r="J270" s="8">
        <v>45450</v>
      </c>
      <c r="K270" s="1" t="s">
        <v>33</v>
      </c>
      <c r="L270" t="s">
        <v>1350</v>
      </c>
      <c r="M270" t="s">
        <v>1352</v>
      </c>
      <c r="N270" s="2">
        <v>31240017.600000001</v>
      </c>
      <c r="O270" t="s">
        <v>440</v>
      </c>
      <c r="P270" s="6" t="s">
        <v>36</v>
      </c>
      <c r="Q270" t="s">
        <v>37</v>
      </c>
      <c r="R270" t="s">
        <v>240</v>
      </c>
      <c r="S270" s="9">
        <v>5916.67</v>
      </c>
      <c r="T270" s="9">
        <v>5280</v>
      </c>
      <c r="U270" s="9">
        <v>31240017.600000001</v>
      </c>
      <c r="V270" s="6" t="s">
        <v>39</v>
      </c>
      <c r="W270" t="s">
        <v>40</v>
      </c>
      <c r="X270">
        <v>7810687137</v>
      </c>
      <c r="Y270">
        <v>781401001</v>
      </c>
      <c r="Z270" s="3">
        <v>45498.654166666667</v>
      </c>
      <c r="AA270" s="6">
        <v>2024</v>
      </c>
      <c r="AB270" s="1">
        <v>45657</v>
      </c>
    </row>
    <row r="271" spans="1:28" x14ac:dyDescent="0.3">
      <c r="A271" t="s">
        <v>1353</v>
      </c>
      <c r="B271" s="6" t="s">
        <v>501</v>
      </c>
      <c r="C271" s="6" t="s">
        <v>502</v>
      </c>
      <c r="D271">
        <v>6318197367</v>
      </c>
      <c r="E271">
        <v>631801001</v>
      </c>
      <c r="F271" t="s">
        <v>52</v>
      </c>
      <c r="G271" t="s">
        <v>1354</v>
      </c>
      <c r="H271" s="1">
        <v>45442</v>
      </c>
      <c r="I271" t="s">
        <v>1355</v>
      </c>
      <c r="J271" s="8">
        <v>45453</v>
      </c>
      <c r="K271" s="1" t="s">
        <v>33</v>
      </c>
      <c r="L271" t="s">
        <v>1356</v>
      </c>
      <c r="M271" t="s">
        <v>1143</v>
      </c>
      <c r="N271" s="2">
        <v>24293.200000000001</v>
      </c>
      <c r="O271" t="s">
        <v>1315</v>
      </c>
      <c r="P271" s="6" t="s">
        <v>36</v>
      </c>
      <c r="Q271" t="s">
        <v>37</v>
      </c>
      <c r="R271" t="s">
        <v>306</v>
      </c>
      <c r="S271" s="9">
        <v>6073.3</v>
      </c>
      <c r="T271" s="9">
        <v>4</v>
      </c>
      <c r="U271" s="9">
        <v>24293.200000000001</v>
      </c>
      <c r="V271" s="6" t="s">
        <v>58</v>
      </c>
      <c r="W271" t="s">
        <v>59</v>
      </c>
      <c r="X271">
        <v>5262222144</v>
      </c>
      <c r="Y271">
        <v>526201001</v>
      </c>
      <c r="Z271" s="3">
        <v>45482.530555555553</v>
      </c>
      <c r="AA271" s="6">
        <v>2024</v>
      </c>
      <c r="AB271" s="1">
        <v>45657</v>
      </c>
    </row>
    <row r="272" spans="1:28" x14ac:dyDescent="0.3">
      <c r="A272" t="s">
        <v>1357</v>
      </c>
      <c r="B272" s="6" t="s">
        <v>1358</v>
      </c>
      <c r="C272" s="6" t="s">
        <v>270</v>
      </c>
      <c r="D272">
        <v>1831044979</v>
      </c>
      <c r="E272">
        <v>184101001</v>
      </c>
      <c r="F272" t="s">
        <v>44</v>
      </c>
      <c r="G272">
        <v>0</v>
      </c>
      <c r="J272" s="8">
        <v>45453</v>
      </c>
      <c r="K272" s="1" t="s">
        <v>33</v>
      </c>
      <c r="L272" t="s">
        <v>1359</v>
      </c>
      <c r="M272" t="s">
        <v>1360</v>
      </c>
      <c r="N272" s="2">
        <v>46566000</v>
      </c>
      <c r="O272" t="s">
        <v>273</v>
      </c>
      <c r="P272" s="6" t="s">
        <v>36</v>
      </c>
      <c r="Q272" t="s">
        <v>37</v>
      </c>
      <c r="R272" t="s">
        <v>240</v>
      </c>
      <c r="S272" s="9">
        <v>5850</v>
      </c>
      <c r="T272" s="9">
        <v>7960</v>
      </c>
      <c r="U272" s="9">
        <v>46566000</v>
      </c>
      <c r="V272" s="6" t="s">
        <v>274</v>
      </c>
      <c r="W272" t="s">
        <v>40</v>
      </c>
      <c r="X272">
        <v>1833000350</v>
      </c>
      <c r="Y272">
        <v>184001001</v>
      </c>
      <c r="Z272" s="3">
        <v>45650.556944444441</v>
      </c>
      <c r="AA272" s="6">
        <v>2024</v>
      </c>
      <c r="AB272" s="1">
        <v>45654</v>
      </c>
    </row>
    <row r="273" spans="1:28" x14ac:dyDescent="0.3">
      <c r="A273" t="s">
        <v>1361</v>
      </c>
      <c r="B273" s="6" t="s">
        <v>1362</v>
      </c>
      <c r="C273" s="6" t="s">
        <v>164</v>
      </c>
      <c r="D273">
        <v>7716035705</v>
      </c>
      <c r="E273">
        <v>771601001</v>
      </c>
      <c r="F273" t="s">
        <v>52</v>
      </c>
      <c r="G273" t="s">
        <v>1363</v>
      </c>
      <c r="H273" s="1">
        <v>45442</v>
      </c>
      <c r="J273" s="8">
        <v>45453</v>
      </c>
      <c r="K273" s="1" t="s">
        <v>33</v>
      </c>
      <c r="L273" t="s">
        <v>1364</v>
      </c>
      <c r="M273" t="s">
        <v>1365</v>
      </c>
      <c r="N273" s="2">
        <v>900400.5</v>
      </c>
      <c r="O273" t="s">
        <v>1366</v>
      </c>
      <c r="P273" s="6" t="s">
        <v>36</v>
      </c>
      <c r="Q273" t="s">
        <v>37</v>
      </c>
      <c r="R273" t="s">
        <v>240</v>
      </c>
      <c r="S273" s="9">
        <v>6002.67</v>
      </c>
      <c r="T273" s="9">
        <v>150</v>
      </c>
      <c r="U273" s="9">
        <v>900400.5</v>
      </c>
      <c r="V273" s="6" t="s">
        <v>90</v>
      </c>
      <c r="W273" t="s">
        <v>59</v>
      </c>
      <c r="X273">
        <v>5259153331</v>
      </c>
      <c r="Y273">
        <v>525901001</v>
      </c>
      <c r="Z273" s="3">
        <v>45593.390277777777</v>
      </c>
      <c r="AA273" s="6">
        <v>2024</v>
      </c>
      <c r="AB273" s="1">
        <v>45626</v>
      </c>
    </row>
    <row r="274" spans="1:28" x14ac:dyDescent="0.3">
      <c r="A274" t="s">
        <v>1367</v>
      </c>
      <c r="B274" s="6" t="s">
        <v>1368</v>
      </c>
      <c r="C274" s="6" t="s">
        <v>1048</v>
      </c>
      <c r="D274">
        <v>2901070303</v>
      </c>
      <c r="E274">
        <v>290101001</v>
      </c>
      <c r="F274" t="s">
        <v>52</v>
      </c>
      <c r="G274" t="s">
        <v>1369</v>
      </c>
      <c r="H274" s="1">
        <v>45441</v>
      </c>
      <c r="I274" t="s">
        <v>1370</v>
      </c>
      <c r="J274" s="8">
        <v>45453</v>
      </c>
      <c r="K274" s="1" t="s">
        <v>33</v>
      </c>
      <c r="L274" t="s">
        <v>1371</v>
      </c>
      <c r="M274" t="s">
        <v>1372</v>
      </c>
      <c r="N274" s="2">
        <v>45435065.130000003</v>
      </c>
      <c r="O274" t="s">
        <v>1366</v>
      </c>
      <c r="P274" s="6" t="s">
        <v>36</v>
      </c>
      <c r="Q274" t="s">
        <v>37</v>
      </c>
      <c r="R274" t="s">
        <v>240</v>
      </c>
      <c r="S274" s="9">
        <v>6026.67</v>
      </c>
      <c r="T274" s="9">
        <v>7539</v>
      </c>
      <c r="U274" s="9">
        <v>45435065.130000003</v>
      </c>
      <c r="V274" s="6" t="s">
        <v>58</v>
      </c>
      <c r="W274" t="s">
        <v>59</v>
      </c>
      <c r="X274">
        <v>5262222144</v>
      </c>
      <c r="Y274">
        <v>526201001</v>
      </c>
      <c r="Z274" s="3">
        <v>45476.694444444445</v>
      </c>
      <c r="AA274" s="6">
        <v>2024</v>
      </c>
      <c r="AB274" s="1">
        <v>45657</v>
      </c>
    </row>
    <row r="275" spans="1:28" x14ac:dyDescent="0.3">
      <c r="A275" t="s">
        <v>1373</v>
      </c>
      <c r="B275" s="6" t="s">
        <v>530</v>
      </c>
      <c r="C275" s="6" t="s">
        <v>453</v>
      </c>
      <c r="D275">
        <v>2221007858</v>
      </c>
      <c r="E275">
        <v>222101001</v>
      </c>
      <c r="F275" t="s">
        <v>52</v>
      </c>
      <c r="G275" t="s">
        <v>1374</v>
      </c>
      <c r="H275" s="1">
        <v>45442</v>
      </c>
      <c r="I275" t="s">
        <v>1375</v>
      </c>
      <c r="J275" s="8">
        <v>45453</v>
      </c>
      <c r="K275" s="1" t="s">
        <v>33</v>
      </c>
      <c r="L275" t="s">
        <v>1376</v>
      </c>
      <c r="M275" t="s">
        <v>534</v>
      </c>
      <c r="N275" s="2">
        <v>31960300</v>
      </c>
      <c r="O275" t="s">
        <v>273</v>
      </c>
      <c r="P275" s="6" t="s">
        <v>36</v>
      </c>
      <c r="Q275" t="s">
        <v>37</v>
      </c>
      <c r="R275" t="s">
        <v>240</v>
      </c>
      <c r="S275" s="9">
        <v>5900</v>
      </c>
      <c r="T275" s="9">
        <v>5417</v>
      </c>
      <c r="U275" s="9">
        <v>31960300</v>
      </c>
      <c r="V275" s="6" t="s">
        <v>536</v>
      </c>
      <c r="W275" t="s">
        <v>59</v>
      </c>
      <c r="X275">
        <v>2222874211</v>
      </c>
      <c r="Y275">
        <v>222201001</v>
      </c>
      <c r="Z275" s="3">
        <v>45545.331250000003</v>
      </c>
      <c r="AA275" s="6">
        <v>2024</v>
      </c>
      <c r="AB275" s="1">
        <v>45558</v>
      </c>
    </row>
    <row r="276" spans="1:28" x14ac:dyDescent="0.3">
      <c r="A276" t="s">
        <v>1377</v>
      </c>
      <c r="B276" s="6" t="s">
        <v>220</v>
      </c>
      <c r="C276" s="6" t="s">
        <v>221</v>
      </c>
      <c r="D276">
        <v>5024068656</v>
      </c>
      <c r="E276">
        <v>502401001</v>
      </c>
      <c r="F276" t="s">
        <v>52</v>
      </c>
      <c r="G276" t="s">
        <v>1378</v>
      </c>
      <c r="H276" s="1">
        <v>45440</v>
      </c>
      <c r="J276" s="8">
        <v>45453</v>
      </c>
      <c r="K276" s="1" t="s">
        <v>33</v>
      </c>
      <c r="L276" t="s">
        <v>1378</v>
      </c>
      <c r="M276" t="s">
        <v>1379</v>
      </c>
      <c r="N276" s="2">
        <v>48679730.399999999</v>
      </c>
      <c r="O276" t="s">
        <v>1344</v>
      </c>
      <c r="P276" s="6" t="s">
        <v>36</v>
      </c>
      <c r="Q276" t="s">
        <v>37</v>
      </c>
      <c r="R276" t="s">
        <v>240</v>
      </c>
      <c r="S276" s="9">
        <v>5989.8</v>
      </c>
      <c r="T276" s="9">
        <v>7500</v>
      </c>
      <c r="U276" s="9">
        <v>44923500</v>
      </c>
      <c r="V276" s="6" t="s">
        <v>128</v>
      </c>
      <c r="W276" t="s">
        <v>129</v>
      </c>
      <c r="X276">
        <v>274110679</v>
      </c>
      <c r="Y276">
        <v>500801001</v>
      </c>
      <c r="Z276" s="3">
        <v>45485.479861111111</v>
      </c>
      <c r="AA276" s="6">
        <v>2024</v>
      </c>
      <c r="AB276" s="1">
        <v>45509</v>
      </c>
    </row>
    <row r="277" spans="1:28" x14ac:dyDescent="0.3">
      <c r="A277" t="s">
        <v>1377</v>
      </c>
      <c r="B277" s="6" t="s">
        <v>220</v>
      </c>
      <c r="C277" s="6" t="s">
        <v>221</v>
      </c>
      <c r="D277">
        <v>5024068656</v>
      </c>
      <c r="E277">
        <v>502401001</v>
      </c>
      <c r="F277" t="s">
        <v>52</v>
      </c>
      <c r="G277" t="s">
        <v>1378</v>
      </c>
      <c r="H277" s="1">
        <v>45440</v>
      </c>
      <c r="J277" s="8">
        <v>45453</v>
      </c>
      <c r="K277" s="1" t="s">
        <v>33</v>
      </c>
      <c r="L277" t="s">
        <v>1378</v>
      </c>
      <c r="M277" t="s">
        <v>1379</v>
      </c>
      <c r="N277" s="2">
        <v>48679730.399999999</v>
      </c>
      <c r="O277" t="s">
        <v>694</v>
      </c>
      <c r="P277" s="6" t="s">
        <v>36</v>
      </c>
      <c r="Q277" t="s">
        <v>37</v>
      </c>
      <c r="R277" t="s">
        <v>240</v>
      </c>
      <c r="S277" s="9">
        <v>6019.6</v>
      </c>
      <c r="T277" s="9">
        <v>624</v>
      </c>
      <c r="U277" s="9">
        <v>3756230.4</v>
      </c>
      <c r="V277" s="6" t="s">
        <v>128</v>
      </c>
      <c r="W277" t="s">
        <v>129</v>
      </c>
      <c r="X277">
        <v>274110679</v>
      </c>
      <c r="Y277">
        <v>500801001</v>
      </c>
      <c r="Z277" s="3">
        <v>45485.479861111111</v>
      </c>
      <c r="AA277" s="6">
        <v>2024</v>
      </c>
      <c r="AB277" s="1">
        <v>45509</v>
      </c>
    </row>
    <row r="278" spans="1:28" x14ac:dyDescent="0.3">
      <c r="A278" t="s">
        <v>1377</v>
      </c>
      <c r="B278" s="6" t="s">
        <v>220</v>
      </c>
      <c r="C278" s="6" t="s">
        <v>221</v>
      </c>
      <c r="G278" t="s">
        <v>1378</v>
      </c>
      <c r="J278" s="8">
        <v>45453</v>
      </c>
      <c r="K278" s="1" t="s">
        <v>33</v>
      </c>
      <c r="L278" t="s">
        <v>1378</v>
      </c>
      <c r="N278" s="2">
        <v>48679730.399999999</v>
      </c>
      <c r="O278" t="s">
        <v>188</v>
      </c>
      <c r="P278" s="6" t="s">
        <v>36</v>
      </c>
      <c r="Q278" t="s">
        <v>37</v>
      </c>
      <c r="S278" s="9">
        <v>5990</v>
      </c>
      <c r="T278" s="9">
        <f>U278/S278</f>
        <v>8126.8331218697831</v>
      </c>
      <c r="U278" s="9">
        <v>48679730.399999999</v>
      </c>
      <c r="V278" s="6" t="s">
        <v>128</v>
      </c>
      <c r="W278" t="s">
        <v>129</v>
      </c>
      <c r="Z278" s="3"/>
      <c r="AA278" s="6">
        <v>2024</v>
      </c>
      <c r="AB278" s="1">
        <v>45657</v>
      </c>
    </row>
    <row r="279" spans="1:28" x14ac:dyDescent="0.3">
      <c r="A279" t="s">
        <v>1380</v>
      </c>
      <c r="B279" s="6" t="s">
        <v>113</v>
      </c>
      <c r="C279" s="6" t="s">
        <v>114</v>
      </c>
      <c r="D279">
        <v>8601035838</v>
      </c>
      <c r="E279">
        <v>860201001</v>
      </c>
      <c r="F279" t="s">
        <v>52</v>
      </c>
      <c r="G279" t="s">
        <v>1381</v>
      </c>
      <c r="H279" s="1">
        <v>45441</v>
      </c>
      <c r="J279" s="8">
        <v>45453</v>
      </c>
      <c r="K279" s="1" t="s">
        <v>33</v>
      </c>
      <c r="L279">
        <v>24003239</v>
      </c>
      <c r="M279" t="s">
        <v>1382</v>
      </c>
      <c r="N279" s="2">
        <v>467985</v>
      </c>
      <c r="O279" t="s">
        <v>440</v>
      </c>
      <c r="P279" s="6" t="s">
        <v>36</v>
      </c>
      <c r="Q279" t="s">
        <v>37</v>
      </c>
      <c r="R279" t="s">
        <v>240</v>
      </c>
      <c r="S279" s="9">
        <v>6685.5</v>
      </c>
      <c r="T279" s="9">
        <v>70</v>
      </c>
      <c r="U279" s="9">
        <v>467985</v>
      </c>
      <c r="V279" s="6" t="s">
        <v>119</v>
      </c>
      <c r="W279" t="s">
        <v>59</v>
      </c>
      <c r="X279">
        <v>7810776309</v>
      </c>
      <c r="Y279">
        <v>780601001</v>
      </c>
      <c r="Z279" s="3">
        <v>45484.597916666666</v>
      </c>
      <c r="AA279" s="6">
        <v>2024</v>
      </c>
      <c r="AB279" s="1">
        <v>45538</v>
      </c>
    </row>
    <row r="280" spans="1:28" x14ac:dyDescent="0.3">
      <c r="A280" t="s">
        <v>156</v>
      </c>
      <c r="B280" s="6" t="s">
        <v>1383</v>
      </c>
      <c r="C280" s="6" t="s">
        <v>388</v>
      </c>
      <c r="D280">
        <v>3812014690</v>
      </c>
      <c r="E280">
        <v>381201001</v>
      </c>
      <c r="F280" t="s">
        <v>52</v>
      </c>
      <c r="G280" t="s">
        <v>158</v>
      </c>
      <c r="H280" s="1">
        <v>45443</v>
      </c>
      <c r="J280" s="8">
        <v>45454</v>
      </c>
      <c r="K280" s="1" t="s">
        <v>33</v>
      </c>
      <c r="L280" t="s">
        <v>1384</v>
      </c>
      <c r="M280" t="s">
        <v>1385</v>
      </c>
      <c r="N280" s="2">
        <v>300000</v>
      </c>
      <c r="O280" t="s">
        <v>440</v>
      </c>
      <c r="P280" s="6" t="s">
        <v>36</v>
      </c>
      <c r="Q280" t="s">
        <v>37</v>
      </c>
      <c r="R280" t="s">
        <v>240</v>
      </c>
      <c r="S280" s="9">
        <v>6000</v>
      </c>
      <c r="T280" s="9">
        <v>50</v>
      </c>
      <c r="U280" s="9">
        <v>300000</v>
      </c>
      <c r="V280" s="6" t="s">
        <v>90</v>
      </c>
      <c r="W280" t="s">
        <v>59</v>
      </c>
      <c r="X280">
        <v>5259153331</v>
      </c>
      <c r="Y280">
        <v>525901001</v>
      </c>
      <c r="Z280" s="3">
        <v>45590.231944444444</v>
      </c>
      <c r="AA280" s="6">
        <v>2024</v>
      </c>
      <c r="AB280" s="1">
        <v>45716</v>
      </c>
    </row>
    <row r="281" spans="1:28" x14ac:dyDescent="0.3">
      <c r="A281" t="s">
        <v>1386</v>
      </c>
      <c r="B281" s="6" t="s">
        <v>121</v>
      </c>
      <c r="C281" s="6" t="s">
        <v>122</v>
      </c>
      <c r="D281">
        <v>5402155123</v>
      </c>
      <c r="E281">
        <v>540201001</v>
      </c>
      <c r="F281" t="s">
        <v>52</v>
      </c>
      <c r="G281" t="s">
        <v>1387</v>
      </c>
      <c r="H281" s="1">
        <v>45446</v>
      </c>
      <c r="J281" s="8">
        <v>45457</v>
      </c>
      <c r="K281" s="1" t="s">
        <v>33</v>
      </c>
      <c r="L281" t="s">
        <v>1388</v>
      </c>
      <c r="M281" t="s">
        <v>1389</v>
      </c>
      <c r="N281" s="2">
        <v>130640</v>
      </c>
      <c r="O281" t="s">
        <v>273</v>
      </c>
      <c r="P281" s="6" t="s">
        <v>464</v>
      </c>
      <c r="Q281" t="s">
        <v>37</v>
      </c>
      <c r="R281" t="s">
        <v>240</v>
      </c>
      <c r="S281" s="9">
        <v>5680</v>
      </c>
      <c r="T281" s="9">
        <v>23</v>
      </c>
      <c r="U281" s="9">
        <v>130640</v>
      </c>
      <c r="V281" s="6" t="s">
        <v>1183</v>
      </c>
      <c r="W281" t="s">
        <v>1184</v>
      </c>
      <c r="X281">
        <v>6678119558</v>
      </c>
      <c r="Y281">
        <v>667801001</v>
      </c>
      <c r="Z281" s="3">
        <v>45673.290277777778</v>
      </c>
      <c r="AA281" s="6">
        <v>2024</v>
      </c>
      <c r="AB281" s="1">
        <v>45641</v>
      </c>
    </row>
    <row r="282" spans="1:28" x14ac:dyDescent="0.3">
      <c r="A282" t="s">
        <v>1390</v>
      </c>
      <c r="B282" s="6" t="s">
        <v>478</v>
      </c>
      <c r="C282" s="6" t="s">
        <v>479</v>
      </c>
      <c r="D282">
        <v>5503053520</v>
      </c>
      <c r="E282">
        <v>550301001</v>
      </c>
      <c r="F282" t="s">
        <v>149</v>
      </c>
      <c r="G282" t="s">
        <v>1391</v>
      </c>
      <c r="H282" s="1">
        <v>45453</v>
      </c>
      <c r="J282" s="8">
        <v>45457</v>
      </c>
      <c r="K282" s="1" t="s">
        <v>33</v>
      </c>
      <c r="L282">
        <v>116756790</v>
      </c>
      <c r="M282" t="s">
        <v>273</v>
      </c>
      <c r="N282" s="2">
        <v>3537498.4</v>
      </c>
      <c r="O282" t="s">
        <v>440</v>
      </c>
      <c r="P282" s="6" t="s">
        <v>36</v>
      </c>
      <c r="Q282" t="s">
        <v>37</v>
      </c>
      <c r="R282" t="s">
        <v>240</v>
      </c>
      <c r="S282" s="9">
        <v>5995.76</v>
      </c>
      <c r="T282" s="9">
        <v>590</v>
      </c>
      <c r="U282" s="9">
        <v>3537498.4</v>
      </c>
      <c r="V282" s="6" t="s">
        <v>58</v>
      </c>
      <c r="W282" t="s">
        <v>59</v>
      </c>
      <c r="X282">
        <v>5262222144</v>
      </c>
      <c r="Y282">
        <v>526201001</v>
      </c>
      <c r="Z282" s="3">
        <v>45503.513194444444</v>
      </c>
      <c r="AA282" s="6">
        <v>2024</v>
      </c>
      <c r="AB282" s="1">
        <v>45657</v>
      </c>
    </row>
    <row r="283" spans="1:28" x14ac:dyDescent="0.3">
      <c r="A283" t="s">
        <v>1392</v>
      </c>
      <c r="B283" s="6" t="s">
        <v>1393</v>
      </c>
      <c r="C283" s="6" t="s">
        <v>105</v>
      </c>
      <c r="D283">
        <v>6658027450</v>
      </c>
      <c r="E283">
        <v>665801001</v>
      </c>
      <c r="F283" t="s">
        <v>31</v>
      </c>
      <c r="G283" t="s">
        <v>1394</v>
      </c>
      <c r="J283" s="8">
        <v>45460</v>
      </c>
      <c r="K283" s="1" t="s">
        <v>33</v>
      </c>
      <c r="L283" t="s">
        <v>1395</v>
      </c>
      <c r="M283" t="s">
        <v>1396</v>
      </c>
      <c r="N283" s="2">
        <v>3480000</v>
      </c>
      <c r="O283" t="s">
        <v>1397</v>
      </c>
      <c r="P283" s="6" t="s">
        <v>36</v>
      </c>
      <c r="Q283" t="s">
        <v>37</v>
      </c>
      <c r="R283" t="s">
        <v>66</v>
      </c>
      <c r="S283" s="9">
        <v>5800</v>
      </c>
      <c r="T283" s="9">
        <v>600</v>
      </c>
      <c r="U283" s="9">
        <v>3480000</v>
      </c>
      <c r="V283" s="6" t="s">
        <v>58</v>
      </c>
      <c r="W283" t="s">
        <v>59</v>
      </c>
      <c r="Z283" s="3"/>
      <c r="AA283" s="6">
        <v>2024</v>
      </c>
      <c r="AB283" s="1">
        <v>45657</v>
      </c>
    </row>
    <row r="284" spans="1:28" x14ac:dyDescent="0.3">
      <c r="A284" t="s">
        <v>1398</v>
      </c>
      <c r="B284" s="6" t="s">
        <v>1399</v>
      </c>
      <c r="C284" s="6" t="s">
        <v>93</v>
      </c>
      <c r="D284">
        <v>4501025099</v>
      </c>
      <c r="E284">
        <v>450101001</v>
      </c>
      <c r="F284" t="s">
        <v>52</v>
      </c>
      <c r="G284" t="s">
        <v>1400</v>
      </c>
      <c r="H284" s="1">
        <v>45447</v>
      </c>
      <c r="I284" t="s">
        <v>1401</v>
      </c>
      <c r="J284" s="8">
        <v>45460</v>
      </c>
      <c r="K284" s="1" t="s">
        <v>33</v>
      </c>
      <c r="L284" t="s">
        <v>1402</v>
      </c>
      <c r="M284" t="s">
        <v>1403</v>
      </c>
      <c r="N284" s="2">
        <v>306800</v>
      </c>
      <c r="O284" t="s">
        <v>440</v>
      </c>
      <c r="P284" s="6" t="s">
        <v>36</v>
      </c>
      <c r="Q284" t="s">
        <v>37</v>
      </c>
      <c r="R284" t="s">
        <v>240</v>
      </c>
      <c r="S284" s="9">
        <v>5900</v>
      </c>
      <c r="T284" s="9">
        <v>52</v>
      </c>
      <c r="U284" s="9">
        <v>306800</v>
      </c>
      <c r="V284" s="6" t="s">
        <v>39</v>
      </c>
      <c r="W284" t="s">
        <v>40</v>
      </c>
      <c r="X284">
        <v>7810687137</v>
      </c>
      <c r="Y284">
        <v>781401001</v>
      </c>
      <c r="Z284" s="3">
        <v>45601.304861111108</v>
      </c>
      <c r="AA284" s="6">
        <v>2024</v>
      </c>
      <c r="AB284" s="1">
        <v>45596</v>
      </c>
    </row>
    <row r="285" spans="1:28" x14ac:dyDescent="0.3">
      <c r="A285" t="s">
        <v>1404</v>
      </c>
      <c r="B285" s="6" t="s">
        <v>472</v>
      </c>
      <c r="C285" s="6" t="s">
        <v>473</v>
      </c>
      <c r="D285">
        <v>3729010595</v>
      </c>
      <c r="E285">
        <v>370201001</v>
      </c>
      <c r="F285" t="s">
        <v>52</v>
      </c>
      <c r="G285" t="s">
        <v>1405</v>
      </c>
      <c r="H285" s="1">
        <v>45448</v>
      </c>
      <c r="I285" t="s">
        <v>1406</v>
      </c>
      <c r="J285" s="8">
        <v>45460</v>
      </c>
      <c r="K285" s="1" t="s">
        <v>33</v>
      </c>
      <c r="L285" t="s">
        <v>1405</v>
      </c>
      <c r="M285" t="s">
        <v>476</v>
      </c>
      <c r="N285" s="2">
        <v>780347.1</v>
      </c>
      <c r="O285" t="s">
        <v>440</v>
      </c>
      <c r="P285" s="6" t="s">
        <v>36</v>
      </c>
      <c r="Q285" t="s">
        <v>37</v>
      </c>
      <c r="R285" t="s">
        <v>240</v>
      </c>
      <c r="S285" s="9">
        <v>6002.67</v>
      </c>
      <c r="T285" s="9">
        <v>130</v>
      </c>
      <c r="U285" s="9">
        <v>780347.1</v>
      </c>
      <c r="V285" s="6" t="s">
        <v>58</v>
      </c>
      <c r="W285" t="s">
        <v>59</v>
      </c>
      <c r="X285">
        <v>5262222144</v>
      </c>
      <c r="Y285">
        <v>526201001</v>
      </c>
      <c r="Z285" s="3">
        <v>45527.515277777777</v>
      </c>
      <c r="AA285" s="6">
        <v>2024</v>
      </c>
      <c r="AB285" s="1">
        <v>45653</v>
      </c>
    </row>
    <row r="286" spans="1:28" x14ac:dyDescent="0.3">
      <c r="A286" t="s">
        <v>1407</v>
      </c>
      <c r="B286" s="6" t="s">
        <v>121</v>
      </c>
      <c r="C286" s="6" t="s">
        <v>122</v>
      </c>
      <c r="D286">
        <v>5402155123</v>
      </c>
      <c r="E286">
        <v>540201001</v>
      </c>
      <c r="F286" t="s">
        <v>52</v>
      </c>
      <c r="G286" t="s">
        <v>1408</v>
      </c>
      <c r="H286" s="1">
        <v>45449</v>
      </c>
      <c r="I286" t="s">
        <v>1409</v>
      </c>
      <c r="J286" s="8">
        <v>45461</v>
      </c>
      <c r="K286" s="1" t="s">
        <v>33</v>
      </c>
      <c r="L286" t="s">
        <v>1410</v>
      </c>
      <c r="M286" t="s">
        <v>1411</v>
      </c>
      <c r="N286" s="2">
        <v>47371200</v>
      </c>
      <c r="O286" t="s">
        <v>273</v>
      </c>
      <c r="P286" s="6" t="s">
        <v>464</v>
      </c>
      <c r="Q286" t="s">
        <v>37</v>
      </c>
      <c r="R286" t="s">
        <v>240</v>
      </c>
      <c r="S286" s="9">
        <v>5680</v>
      </c>
      <c r="T286" s="9">
        <v>8340</v>
      </c>
      <c r="U286" s="9">
        <v>47371200</v>
      </c>
      <c r="V286" s="6" t="s">
        <v>1412</v>
      </c>
      <c r="W286" t="s">
        <v>1413</v>
      </c>
      <c r="X286">
        <v>6670355472</v>
      </c>
      <c r="Y286">
        <v>665801001</v>
      </c>
      <c r="Z286" s="3">
        <v>45485.476388888892</v>
      </c>
      <c r="AA286" s="6">
        <v>2024</v>
      </c>
      <c r="AB286" s="1">
        <v>45656</v>
      </c>
    </row>
    <row r="287" spans="1:28" x14ac:dyDescent="0.3">
      <c r="A287" t="s">
        <v>1414</v>
      </c>
      <c r="B287" s="6" t="s">
        <v>538</v>
      </c>
      <c r="C287" s="6" t="s">
        <v>539</v>
      </c>
      <c r="D287">
        <v>7808043833</v>
      </c>
      <c r="E287">
        <v>784101001</v>
      </c>
      <c r="F287" t="s">
        <v>94</v>
      </c>
      <c r="G287" t="s">
        <v>1415</v>
      </c>
      <c r="H287" s="1">
        <v>45456</v>
      </c>
      <c r="I287" t="s">
        <v>1416</v>
      </c>
      <c r="J287" s="8">
        <v>45461</v>
      </c>
      <c r="K287" s="1" t="s">
        <v>33</v>
      </c>
      <c r="L287" t="s">
        <v>1415</v>
      </c>
      <c r="M287" t="s">
        <v>1417</v>
      </c>
      <c r="N287" s="2">
        <v>36400000</v>
      </c>
      <c r="O287" t="s">
        <v>440</v>
      </c>
      <c r="P287" s="6" t="s">
        <v>36</v>
      </c>
      <c r="Q287" t="s">
        <v>37</v>
      </c>
      <c r="R287" t="s">
        <v>66</v>
      </c>
      <c r="S287" s="9">
        <v>5200</v>
      </c>
      <c r="T287" s="9">
        <v>7000</v>
      </c>
      <c r="U287" s="9">
        <v>36400000</v>
      </c>
      <c r="V287" s="6" t="s">
        <v>39</v>
      </c>
      <c r="W287" t="s">
        <v>40</v>
      </c>
      <c r="X287">
        <v>7810687137</v>
      </c>
      <c r="Y287">
        <v>781401001</v>
      </c>
      <c r="Z287" s="3">
        <v>45483.490972222222</v>
      </c>
      <c r="AA287" s="6">
        <v>2024</v>
      </c>
      <c r="AB287" s="1">
        <v>45657</v>
      </c>
    </row>
    <row r="288" spans="1:28" x14ac:dyDescent="0.3">
      <c r="A288" t="s">
        <v>1418</v>
      </c>
      <c r="B288" s="6" t="s">
        <v>245</v>
      </c>
      <c r="C288" s="6" t="s">
        <v>246</v>
      </c>
      <c r="D288">
        <v>7107006311</v>
      </c>
      <c r="E288">
        <v>710701001</v>
      </c>
      <c r="F288" t="s">
        <v>94</v>
      </c>
      <c r="G288" t="s">
        <v>1419</v>
      </c>
      <c r="H288" s="1">
        <v>45456</v>
      </c>
      <c r="J288" s="8">
        <v>45461</v>
      </c>
      <c r="K288" s="1" t="s">
        <v>33</v>
      </c>
      <c r="L288" t="s">
        <v>1420</v>
      </c>
      <c r="M288" t="s">
        <v>1421</v>
      </c>
      <c r="N288" s="2">
        <v>1693600</v>
      </c>
      <c r="O288" t="s">
        <v>377</v>
      </c>
      <c r="P288" s="6" t="s">
        <v>891</v>
      </c>
      <c r="Q288" t="s">
        <v>37</v>
      </c>
      <c r="R288" t="s">
        <v>38</v>
      </c>
      <c r="S288" s="9">
        <v>5800</v>
      </c>
      <c r="T288" s="9">
        <v>292</v>
      </c>
      <c r="U288" s="9">
        <v>1693600</v>
      </c>
      <c r="V288" s="6" t="s">
        <v>1422</v>
      </c>
      <c r="W288" t="s">
        <v>252</v>
      </c>
      <c r="X288">
        <v>7704413624</v>
      </c>
      <c r="Y288">
        <v>507401001</v>
      </c>
      <c r="Z288" s="3">
        <v>45498.740972222222</v>
      </c>
      <c r="AA288" s="6">
        <v>2024</v>
      </c>
      <c r="AB288" s="1">
        <v>45656</v>
      </c>
    </row>
    <row r="289" spans="1:28" x14ac:dyDescent="0.3">
      <c r="A289" t="s">
        <v>1423</v>
      </c>
      <c r="B289" s="6" t="s">
        <v>1424</v>
      </c>
      <c r="C289" s="6" t="s">
        <v>132</v>
      </c>
      <c r="D289">
        <v>6027024000</v>
      </c>
      <c r="E289">
        <v>602701001</v>
      </c>
      <c r="F289" t="s">
        <v>149</v>
      </c>
      <c r="G289" t="s">
        <v>1425</v>
      </c>
      <c r="H289" s="1">
        <v>45457</v>
      </c>
      <c r="I289" t="s">
        <v>1426</v>
      </c>
      <c r="J289" s="8">
        <v>45462</v>
      </c>
      <c r="K289" s="1" t="s">
        <v>33</v>
      </c>
      <c r="L289" t="s">
        <v>1427</v>
      </c>
      <c r="M289" t="s">
        <v>273</v>
      </c>
      <c r="N289" s="2">
        <v>3445200</v>
      </c>
      <c r="O289" t="s">
        <v>440</v>
      </c>
      <c r="P289" s="6" t="s">
        <v>36</v>
      </c>
      <c r="Q289" t="s">
        <v>37</v>
      </c>
      <c r="R289" t="s">
        <v>240</v>
      </c>
      <c r="S289" s="9">
        <v>5800</v>
      </c>
      <c r="T289" s="9">
        <v>594</v>
      </c>
      <c r="U289" s="9">
        <v>3445200</v>
      </c>
      <c r="V289" s="6" t="s">
        <v>39</v>
      </c>
      <c r="W289" t="s">
        <v>40</v>
      </c>
      <c r="X289">
        <v>7810687137</v>
      </c>
      <c r="Y289">
        <v>781401001</v>
      </c>
      <c r="Z289" s="3">
        <v>45521.61041666667</v>
      </c>
      <c r="AA289" s="6">
        <v>2024</v>
      </c>
      <c r="AB289" s="1">
        <v>45482</v>
      </c>
    </row>
    <row r="290" spans="1:28" x14ac:dyDescent="0.3">
      <c r="A290" t="s">
        <v>1428</v>
      </c>
      <c r="B290" s="6" t="s">
        <v>516</v>
      </c>
      <c r="C290" s="6" t="s">
        <v>517</v>
      </c>
      <c r="D290">
        <v>9204023281</v>
      </c>
      <c r="E290">
        <v>920401001</v>
      </c>
      <c r="F290" t="s">
        <v>94</v>
      </c>
      <c r="G290" t="s">
        <v>1429</v>
      </c>
      <c r="H290" s="1">
        <v>45456</v>
      </c>
      <c r="I290" t="s">
        <v>1430</v>
      </c>
      <c r="J290" s="8">
        <v>45464</v>
      </c>
      <c r="K290" s="1" t="s">
        <v>33</v>
      </c>
      <c r="L290" t="s">
        <v>1431</v>
      </c>
      <c r="M290" t="s">
        <v>1432</v>
      </c>
      <c r="N290" s="2">
        <v>6828110</v>
      </c>
      <c r="O290" t="s">
        <v>377</v>
      </c>
      <c r="P290" s="6" t="s">
        <v>891</v>
      </c>
      <c r="Q290" t="s">
        <v>37</v>
      </c>
      <c r="R290" t="s">
        <v>38</v>
      </c>
      <c r="S290" s="9">
        <v>5780</v>
      </c>
      <c r="T290" s="9">
        <v>508</v>
      </c>
      <c r="U290" s="9">
        <v>2936240</v>
      </c>
      <c r="V290" s="6" t="s">
        <v>39</v>
      </c>
      <c r="W290" t="s">
        <v>40</v>
      </c>
      <c r="X290">
        <v>7810687137</v>
      </c>
      <c r="Y290">
        <v>781401001</v>
      </c>
      <c r="Z290" s="3">
        <v>45628.747916666667</v>
      </c>
      <c r="AA290" s="6">
        <v>2024</v>
      </c>
      <c r="AB290" s="1">
        <v>45582</v>
      </c>
    </row>
    <row r="291" spans="1:28" x14ac:dyDescent="0.3">
      <c r="A291" t="s">
        <v>1428</v>
      </c>
      <c r="B291" s="6" t="s">
        <v>516</v>
      </c>
      <c r="C291" s="6" t="s">
        <v>517</v>
      </c>
      <c r="D291">
        <v>9204023281</v>
      </c>
      <c r="E291">
        <v>920401001</v>
      </c>
      <c r="F291" t="s">
        <v>94</v>
      </c>
      <c r="G291" t="s">
        <v>1429</v>
      </c>
      <c r="H291" s="1">
        <v>45456</v>
      </c>
      <c r="I291" t="s">
        <v>1430</v>
      </c>
      <c r="J291" s="8">
        <v>45464</v>
      </c>
      <c r="K291" s="1" t="s">
        <v>33</v>
      </c>
      <c r="L291" t="s">
        <v>1431</v>
      </c>
      <c r="M291" t="s">
        <v>1432</v>
      </c>
      <c r="N291" s="2">
        <v>6828110</v>
      </c>
      <c r="O291" t="s">
        <v>377</v>
      </c>
      <c r="P291" s="6" t="s">
        <v>891</v>
      </c>
      <c r="Q291" t="s">
        <v>37</v>
      </c>
      <c r="R291" t="s">
        <v>38</v>
      </c>
      <c r="S291" s="9">
        <v>5800</v>
      </c>
      <c r="T291" s="9">
        <v>489</v>
      </c>
      <c r="U291" s="9">
        <v>2836200</v>
      </c>
      <c r="V291" s="6" t="s">
        <v>39</v>
      </c>
      <c r="W291" t="s">
        <v>40</v>
      </c>
      <c r="X291">
        <v>7810687137</v>
      </c>
      <c r="Y291">
        <v>781401001</v>
      </c>
      <c r="Z291" s="3">
        <v>45628.747916666667</v>
      </c>
      <c r="AA291" s="6">
        <v>2024</v>
      </c>
      <c r="AB291" s="1">
        <v>45582</v>
      </c>
    </row>
    <row r="292" spans="1:28" x14ac:dyDescent="0.3">
      <c r="A292" t="s">
        <v>1428</v>
      </c>
      <c r="B292" s="6" t="s">
        <v>516</v>
      </c>
      <c r="C292" s="6" t="s">
        <v>517</v>
      </c>
      <c r="D292">
        <v>9204023281</v>
      </c>
      <c r="E292">
        <v>920401001</v>
      </c>
      <c r="F292" t="s">
        <v>94</v>
      </c>
      <c r="G292" t="s">
        <v>1429</v>
      </c>
      <c r="H292" s="1">
        <v>45456</v>
      </c>
      <c r="I292" t="s">
        <v>1430</v>
      </c>
      <c r="J292" s="8">
        <v>45464</v>
      </c>
      <c r="K292" s="1" t="s">
        <v>33</v>
      </c>
      <c r="L292" t="s">
        <v>1431</v>
      </c>
      <c r="M292" t="s">
        <v>1432</v>
      </c>
      <c r="N292" s="2">
        <v>6828110</v>
      </c>
      <c r="O292" t="s">
        <v>377</v>
      </c>
      <c r="P292" s="6" t="s">
        <v>891</v>
      </c>
      <c r="Q292" t="s">
        <v>37</v>
      </c>
      <c r="R292" t="s">
        <v>38</v>
      </c>
      <c r="S292" s="9">
        <v>5646</v>
      </c>
      <c r="T292" s="9">
        <v>80</v>
      </c>
      <c r="U292" s="9">
        <v>451680</v>
      </c>
      <c r="V292" s="6" t="s">
        <v>39</v>
      </c>
      <c r="W292" t="s">
        <v>40</v>
      </c>
      <c r="X292">
        <v>7810687137</v>
      </c>
      <c r="Y292">
        <v>781401001</v>
      </c>
      <c r="Z292" s="3">
        <v>45628.747916666667</v>
      </c>
      <c r="AA292" s="6">
        <v>2024</v>
      </c>
      <c r="AB292" s="1">
        <v>45582</v>
      </c>
    </row>
    <row r="293" spans="1:28" x14ac:dyDescent="0.3">
      <c r="A293" t="s">
        <v>1428</v>
      </c>
      <c r="B293" s="6" t="s">
        <v>516</v>
      </c>
      <c r="C293" s="6" t="s">
        <v>517</v>
      </c>
      <c r="D293">
        <v>9204023281</v>
      </c>
      <c r="E293">
        <v>920401001</v>
      </c>
      <c r="F293" t="s">
        <v>94</v>
      </c>
      <c r="G293" t="s">
        <v>1429</v>
      </c>
      <c r="H293" s="1">
        <v>45456</v>
      </c>
      <c r="I293" t="s">
        <v>1430</v>
      </c>
      <c r="J293" s="8">
        <v>45464</v>
      </c>
      <c r="K293" s="1" t="s">
        <v>33</v>
      </c>
      <c r="L293" t="s">
        <v>1431</v>
      </c>
      <c r="M293" t="s">
        <v>1432</v>
      </c>
      <c r="N293" s="2">
        <v>6828110</v>
      </c>
      <c r="O293" t="s">
        <v>377</v>
      </c>
      <c r="P293" s="6" t="s">
        <v>891</v>
      </c>
      <c r="Q293" t="s">
        <v>37</v>
      </c>
      <c r="R293" t="s">
        <v>38</v>
      </c>
      <c r="S293" s="9">
        <v>5800</v>
      </c>
      <c r="T293" s="9">
        <v>77</v>
      </c>
      <c r="U293" s="9">
        <v>446600</v>
      </c>
      <c r="V293" s="6" t="s">
        <v>39</v>
      </c>
      <c r="W293" t="s">
        <v>40</v>
      </c>
      <c r="X293">
        <v>7810687137</v>
      </c>
      <c r="Y293">
        <v>781401001</v>
      </c>
      <c r="Z293" s="3">
        <v>45628.747916666667</v>
      </c>
      <c r="AA293" s="6">
        <v>2024</v>
      </c>
      <c r="AB293" s="1">
        <v>45582</v>
      </c>
    </row>
    <row r="294" spans="1:28" x14ac:dyDescent="0.3">
      <c r="A294" t="s">
        <v>1428</v>
      </c>
      <c r="B294" s="6" t="s">
        <v>516</v>
      </c>
      <c r="C294" s="6" t="s">
        <v>517</v>
      </c>
      <c r="D294">
        <v>9204023281</v>
      </c>
      <c r="E294">
        <v>920401001</v>
      </c>
      <c r="F294" t="s">
        <v>94</v>
      </c>
      <c r="G294" t="s">
        <v>1429</v>
      </c>
      <c r="H294" s="1">
        <v>45456</v>
      </c>
      <c r="I294" t="s">
        <v>1430</v>
      </c>
      <c r="J294" s="8">
        <v>45464</v>
      </c>
      <c r="K294" s="1" t="s">
        <v>33</v>
      </c>
      <c r="L294" t="s">
        <v>1431</v>
      </c>
      <c r="M294" t="s">
        <v>1432</v>
      </c>
      <c r="N294" s="2">
        <v>6828110</v>
      </c>
      <c r="O294" t="s">
        <v>377</v>
      </c>
      <c r="P294" s="6" t="s">
        <v>891</v>
      </c>
      <c r="Q294" t="s">
        <v>37</v>
      </c>
      <c r="R294" t="s">
        <v>38</v>
      </c>
      <c r="S294" s="9">
        <v>5602</v>
      </c>
      <c r="T294" s="9">
        <v>25</v>
      </c>
      <c r="U294" s="9">
        <v>140050</v>
      </c>
      <c r="V294" s="6" t="s">
        <v>39</v>
      </c>
      <c r="W294" t="s">
        <v>40</v>
      </c>
      <c r="X294">
        <v>7810687137</v>
      </c>
      <c r="Y294">
        <v>781401001</v>
      </c>
      <c r="Z294" s="3">
        <v>45628.747916666667</v>
      </c>
      <c r="AA294" s="6">
        <v>2024</v>
      </c>
      <c r="AB294" s="1">
        <v>45582</v>
      </c>
    </row>
    <row r="295" spans="1:28" x14ac:dyDescent="0.3">
      <c r="A295" t="s">
        <v>1428</v>
      </c>
      <c r="B295" s="6" t="s">
        <v>516</v>
      </c>
      <c r="C295" s="6" t="s">
        <v>517</v>
      </c>
      <c r="D295">
        <v>9204023281</v>
      </c>
      <c r="E295">
        <v>920401001</v>
      </c>
      <c r="F295" t="s">
        <v>94</v>
      </c>
      <c r="G295" t="s">
        <v>1429</v>
      </c>
      <c r="H295" s="1">
        <v>45456</v>
      </c>
      <c r="I295" t="s">
        <v>1430</v>
      </c>
      <c r="J295" s="8">
        <v>45464</v>
      </c>
      <c r="K295" s="1" t="s">
        <v>33</v>
      </c>
      <c r="L295" t="s">
        <v>1431</v>
      </c>
      <c r="M295" t="s">
        <v>1432</v>
      </c>
      <c r="N295" s="2">
        <v>6828110</v>
      </c>
      <c r="O295" t="s">
        <v>377</v>
      </c>
      <c r="P295" s="6" t="s">
        <v>891</v>
      </c>
      <c r="Q295" t="s">
        <v>37</v>
      </c>
      <c r="R295" t="s">
        <v>38</v>
      </c>
      <c r="S295" s="9">
        <v>5780</v>
      </c>
      <c r="T295" s="9">
        <v>3</v>
      </c>
      <c r="U295" s="9">
        <v>17340</v>
      </c>
      <c r="V295" s="6" t="s">
        <v>39</v>
      </c>
      <c r="W295" t="s">
        <v>40</v>
      </c>
      <c r="X295">
        <v>7810687137</v>
      </c>
      <c r="Y295">
        <v>781401001</v>
      </c>
      <c r="Z295" s="3">
        <v>45628.747916666667</v>
      </c>
      <c r="AA295" s="6">
        <v>2024</v>
      </c>
      <c r="AB295" s="1">
        <v>45582</v>
      </c>
    </row>
    <row r="296" spans="1:28" x14ac:dyDescent="0.3">
      <c r="A296" t="s">
        <v>1433</v>
      </c>
      <c r="B296" s="6" t="s">
        <v>530</v>
      </c>
      <c r="C296" s="6" t="s">
        <v>453</v>
      </c>
      <c r="D296">
        <v>2221007858</v>
      </c>
      <c r="E296">
        <v>222101001</v>
      </c>
      <c r="F296" t="s">
        <v>52</v>
      </c>
      <c r="G296" t="s">
        <v>1434</v>
      </c>
      <c r="H296" s="1">
        <v>45456</v>
      </c>
      <c r="I296" t="s">
        <v>1435</v>
      </c>
      <c r="J296" s="8">
        <v>45467</v>
      </c>
      <c r="K296" s="1" t="s">
        <v>33</v>
      </c>
      <c r="L296" t="s">
        <v>1436</v>
      </c>
      <c r="M296" t="s">
        <v>534</v>
      </c>
      <c r="N296" s="2">
        <v>2340240</v>
      </c>
      <c r="O296" t="s">
        <v>1437</v>
      </c>
      <c r="P296" s="6" t="s">
        <v>891</v>
      </c>
      <c r="Q296" t="s">
        <v>37</v>
      </c>
      <c r="R296" t="s">
        <v>38</v>
      </c>
      <c r="S296" s="9">
        <v>5572</v>
      </c>
      <c r="T296" s="9">
        <v>420</v>
      </c>
      <c r="U296" s="9">
        <v>2340240</v>
      </c>
      <c r="V296" s="6" t="s">
        <v>90</v>
      </c>
      <c r="W296" t="s">
        <v>59</v>
      </c>
      <c r="X296">
        <v>5259153331</v>
      </c>
      <c r="Y296">
        <v>525901001</v>
      </c>
      <c r="Z296" s="3">
        <v>45629.363888888889</v>
      </c>
      <c r="AA296" s="6">
        <v>2024</v>
      </c>
      <c r="AB296" s="1">
        <v>45601</v>
      </c>
    </row>
    <row r="297" spans="1:28" x14ac:dyDescent="0.3">
      <c r="A297" t="s">
        <v>1438</v>
      </c>
      <c r="B297" s="6" t="s">
        <v>472</v>
      </c>
      <c r="C297" s="6" t="s">
        <v>473</v>
      </c>
      <c r="D297">
        <v>3729010595</v>
      </c>
      <c r="E297">
        <v>370201001</v>
      </c>
      <c r="F297" t="s">
        <v>94</v>
      </c>
      <c r="G297" t="s">
        <v>1439</v>
      </c>
      <c r="H297" s="1">
        <v>45462</v>
      </c>
      <c r="I297" t="s">
        <v>1440</v>
      </c>
      <c r="J297" s="8">
        <v>45467</v>
      </c>
      <c r="K297" s="1" t="s">
        <v>33</v>
      </c>
      <c r="L297" t="s">
        <v>1441</v>
      </c>
      <c r="M297" t="s">
        <v>1442</v>
      </c>
      <c r="N297" s="2">
        <v>973500</v>
      </c>
      <c r="O297" t="s">
        <v>1251</v>
      </c>
      <c r="P297" s="6" t="s">
        <v>891</v>
      </c>
      <c r="Q297" t="s">
        <v>37</v>
      </c>
      <c r="R297" t="s">
        <v>38</v>
      </c>
      <c r="S297" s="9">
        <v>5500</v>
      </c>
      <c r="T297" s="9">
        <v>177</v>
      </c>
      <c r="U297" s="9">
        <v>973500</v>
      </c>
      <c r="V297" s="6" t="s">
        <v>39</v>
      </c>
      <c r="W297" t="s">
        <v>40</v>
      </c>
      <c r="X297">
        <v>7810687137</v>
      </c>
      <c r="Y297">
        <v>781401001</v>
      </c>
      <c r="Z297" s="3">
        <v>45642.82916666667</v>
      </c>
      <c r="AA297" s="6">
        <v>2024</v>
      </c>
      <c r="AB297" s="1">
        <v>45650</v>
      </c>
    </row>
    <row r="298" spans="1:28" x14ac:dyDescent="0.3">
      <c r="A298" t="s">
        <v>1443</v>
      </c>
      <c r="B298" s="6" t="s">
        <v>730</v>
      </c>
      <c r="C298" s="6" t="s">
        <v>731</v>
      </c>
      <c r="D298">
        <v>5837008741</v>
      </c>
      <c r="E298">
        <v>583701001</v>
      </c>
      <c r="F298" t="s">
        <v>52</v>
      </c>
      <c r="G298" t="s">
        <v>1444</v>
      </c>
      <c r="H298" s="1">
        <v>45457</v>
      </c>
      <c r="I298" t="s">
        <v>1445</v>
      </c>
      <c r="J298" s="8">
        <v>45468</v>
      </c>
      <c r="K298" s="1" t="s">
        <v>33</v>
      </c>
      <c r="L298" t="s">
        <v>1444</v>
      </c>
      <c r="M298" t="s">
        <v>787</v>
      </c>
      <c r="N298" s="2">
        <v>492750</v>
      </c>
      <c r="O298" t="s">
        <v>1446</v>
      </c>
      <c r="P298" s="6" t="s">
        <v>464</v>
      </c>
      <c r="Q298" t="s">
        <v>37</v>
      </c>
      <c r="R298" t="s">
        <v>240</v>
      </c>
      <c r="S298" s="9">
        <v>6750</v>
      </c>
      <c r="T298" s="9">
        <v>73</v>
      </c>
      <c r="U298" s="9">
        <v>492750</v>
      </c>
      <c r="V298" s="6" t="s">
        <v>1068</v>
      </c>
      <c r="W298" t="s">
        <v>1069</v>
      </c>
      <c r="X298">
        <v>7731241639</v>
      </c>
      <c r="Y298">
        <v>500301001</v>
      </c>
      <c r="Z298" s="3">
        <v>45560.410416666666</v>
      </c>
      <c r="AA298" s="6">
        <v>2024</v>
      </c>
      <c r="AB298" s="1">
        <v>45602</v>
      </c>
    </row>
    <row r="299" spans="1:28" x14ac:dyDescent="0.3">
      <c r="A299" t="s">
        <v>1447</v>
      </c>
      <c r="B299" s="6" t="s">
        <v>1448</v>
      </c>
      <c r="C299" s="6" t="s">
        <v>947</v>
      </c>
      <c r="D299">
        <v>7300016734</v>
      </c>
      <c r="E299">
        <v>730001001</v>
      </c>
      <c r="F299" t="s">
        <v>94</v>
      </c>
      <c r="G299" t="s">
        <v>1449</v>
      </c>
      <c r="H299" s="1">
        <v>45461</v>
      </c>
      <c r="I299" t="s">
        <v>1450</v>
      </c>
      <c r="J299" s="8">
        <v>45468</v>
      </c>
      <c r="K299" s="1" t="s">
        <v>33</v>
      </c>
      <c r="L299" t="s">
        <v>1449</v>
      </c>
      <c r="M299" t="s">
        <v>273</v>
      </c>
      <c r="N299" s="2">
        <v>9913000</v>
      </c>
      <c r="O299" t="s">
        <v>273</v>
      </c>
      <c r="P299" s="6" t="s">
        <v>36</v>
      </c>
      <c r="Q299" t="s">
        <v>37</v>
      </c>
      <c r="R299" t="s">
        <v>240</v>
      </c>
      <c r="S299" s="9">
        <v>5750</v>
      </c>
      <c r="T299" s="9">
        <v>1724</v>
      </c>
      <c r="U299" s="9">
        <v>9913000</v>
      </c>
      <c r="V299" s="6" t="s">
        <v>352</v>
      </c>
      <c r="W299" t="s">
        <v>40</v>
      </c>
      <c r="X299">
        <v>7843014747</v>
      </c>
      <c r="Y299">
        <v>781401001</v>
      </c>
      <c r="Z299" s="3">
        <v>45527.578472222223</v>
      </c>
      <c r="AA299" s="6">
        <v>2024</v>
      </c>
      <c r="AB299" s="1">
        <v>45657</v>
      </c>
    </row>
    <row r="300" spans="1:28" x14ac:dyDescent="0.3">
      <c r="A300" t="s">
        <v>1451</v>
      </c>
      <c r="B300" s="6" t="s">
        <v>121</v>
      </c>
      <c r="C300" s="6" t="s">
        <v>122</v>
      </c>
      <c r="D300">
        <v>5402155123</v>
      </c>
      <c r="E300">
        <v>540201001</v>
      </c>
      <c r="F300" t="s">
        <v>52</v>
      </c>
      <c r="G300" t="s">
        <v>1452</v>
      </c>
      <c r="H300" s="1">
        <v>45456</v>
      </c>
      <c r="I300" t="s">
        <v>1453</v>
      </c>
      <c r="J300" s="8">
        <v>45468</v>
      </c>
      <c r="K300" s="1" t="s">
        <v>33</v>
      </c>
      <c r="L300" t="s">
        <v>1454</v>
      </c>
      <c r="M300" t="s">
        <v>1455</v>
      </c>
      <c r="N300" s="2">
        <v>1291528.2</v>
      </c>
      <c r="O300" t="s">
        <v>377</v>
      </c>
      <c r="P300" s="6" t="s">
        <v>891</v>
      </c>
      <c r="Q300" t="s">
        <v>37</v>
      </c>
      <c r="R300" t="s">
        <v>38</v>
      </c>
      <c r="S300" s="9">
        <v>5615.34</v>
      </c>
      <c r="T300" s="9">
        <v>230</v>
      </c>
      <c r="U300" s="9">
        <v>1291528.2</v>
      </c>
      <c r="V300" s="6" t="s">
        <v>1456</v>
      </c>
      <c r="W300" t="s">
        <v>59</v>
      </c>
      <c r="X300">
        <v>6658399963</v>
      </c>
      <c r="Y300">
        <v>665801001</v>
      </c>
      <c r="Z300" s="3">
        <v>45576.347916666666</v>
      </c>
      <c r="AA300" s="6">
        <v>2024</v>
      </c>
      <c r="AB300" s="1">
        <v>45641</v>
      </c>
    </row>
    <row r="301" spans="1:28" x14ac:dyDescent="0.3">
      <c r="A301" t="s">
        <v>1457</v>
      </c>
      <c r="B301" s="6" t="s">
        <v>491</v>
      </c>
      <c r="C301" s="6" t="s">
        <v>492</v>
      </c>
      <c r="D301">
        <v>2724041260</v>
      </c>
      <c r="E301">
        <v>272101001</v>
      </c>
      <c r="F301" t="s">
        <v>149</v>
      </c>
      <c r="G301" t="s">
        <v>1458</v>
      </c>
      <c r="H301" s="1">
        <v>45467</v>
      </c>
      <c r="J301" s="8">
        <v>45470</v>
      </c>
      <c r="K301" s="1" t="s">
        <v>33</v>
      </c>
      <c r="L301" t="s">
        <v>1458</v>
      </c>
      <c r="M301" t="s">
        <v>273</v>
      </c>
      <c r="N301" s="2">
        <v>2192400</v>
      </c>
      <c r="O301" t="s">
        <v>440</v>
      </c>
      <c r="P301" s="6" t="s">
        <v>36</v>
      </c>
      <c r="Q301" t="s">
        <v>37</v>
      </c>
      <c r="R301" t="s">
        <v>240</v>
      </c>
      <c r="S301" s="9">
        <v>5800</v>
      </c>
      <c r="T301" s="9">
        <v>378</v>
      </c>
      <c r="U301" s="9">
        <v>2192400</v>
      </c>
      <c r="V301" s="6" t="s">
        <v>39</v>
      </c>
      <c r="W301" t="s">
        <v>40</v>
      </c>
      <c r="X301">
        <v>7810687137</v>
      </c>
      <c r="Y301">
        <v>781401001</v>
      </c>
      <c r="Z301" s="3">
        <v>45526.372916666667</v>
      </c>
      <c r="AA301" s="6">
        <v>2024</v>
      </c>
      <c r="AB301" s="1">
        <v>45544</v>
      </c>
    </row>
    <row r="302" spans="1:28" x14ac:dyDescent="0.3">
      <c r="A302" t="s">
        <v>1459</v>
      </c>
      <c r="B302" s="6" t="s">
        <v>1448</v>
      </c>
      <c r="C302" s="6" t="s">
        <v>947</v>
      </c>
      <c r="D302">
        <v>7300016734</v>
      </c>
      <c r="E302">
        <v>730001001</v>
      </c>
      <c r="F302" t="s">
        <v>94</v>
      </c>
      <c r="G302" t="s">
        <v>1460</v>
      </c>
      <c r="H302" s="1">
        <v>45467</v>
      </c>
      <c r="I302" t="s">
        <v>1461</v>
      </c>
      <c r="J302" s="8">
        <v>45470</v>
      </c>
      <c r="K302" s="1" t="s">
        <v>33</v>
      </c>
      <c r="L302" t="s">
        <v>1460</v>
      </c>
      <c r="M302" t="s">
        <v>273</v>
      </c>
      <c r="N302" s="2">
        <v>1955000</v>
      </c>
      <c r="O302" t="s">
        <v>273</v>
      </c>
      <c r="P302" s="6" t="s">
        <v>36</v>
      </c>
      <c r="Q302" t="s">
        <v>37</v>
      </c>
      <c r="R302" t="s">
        <v>240</v>
      </c>
      <c r="S302" s="9">
        <v>5750</v>
      </c>
      <c r="T302" s="9">
        <v>340</v>
      </c>
      <c r="U302" s="9">
        <v>1955000</v>
      </c>
      <c r="V302" s="6" t="s">
        <v>352</v>
      </c>
      <c r="W302" t="s">
        <v>40</v>
      </c>
      <c r="X302">
        <v>7843014747</v>
      </c>
      <c r="Y302">
        <v>781401001</v>
      </c>
      <c r="Z302" s="3">
        <v>45526.572222222225</v>
      </c>
      <c r="AA302" s="6">
        <v>2024</v>
      </c>
      <c r="AB302" s="1">
        <v>45657</v>
      </c>
    </row>
    <row r="303" spans="1:28" x14ac:dyDescent="0.3">
      <c r="A303" t="s">
        <v>1462</v>
      </c>
      <c r="B303" s="6" t="s">
        <v>1463</v>
      </c>
      <c r="C303" s="6" t="s">
        <v>1257</v>
      </c>
      <c r="D303">
        <v>602000713</v>
      </c>
      <c r="E303">
        <v>60601001</v>
      </c>
      <c r="F303" t="s">
        <v>149</v>
      </c>
      <c r="G303" t="s">
        <v>1464</v>
      </c>
      <c r="H303" s="1">
        <v>45463</v>
      </c>
      <c r="I303" t="s">
        <v>1465</v>
      </c>
      <c r="J303" s="8">
        <v>45470</v>
      </c>
      <c r="K303" s="1" t="s">
        <v>33</v>
      </c>
      <c r="L303">
        <v>1233</v>
      </c>
      <c r="M303" t="s">
        <v>273</v>
      </c>
      <c r="N303" s="2">
        <v>4608000</v>
      </c>
      <c r="O303" t="s">
        <v>273</v>
      </c>
      <c r="P303" s="6" t="s">
        <v>36</v>
      </c>
      <c r="Q303" t="s">
        <v>37</v>
      </c>
      <c r="R303" t="s">
        <v>240</v>
      </c>
      <c r="S303" s="9">
        <v>6000</v>
      </c>
      <c r="T303" s="9">
        <v>768</v>
      </c>
      <c r="U303" s="9">
        <v>4608000</v>
      </c>
      <c r="V303" s="6" t="s">
        <v>58</v>
      </c>
      <c r="W303" t="s">
        <v>59</v>
      </c>
      <c r="X303">
        <v>5262222144</v>
      </c>
      <c r="Y303">
        <v>526201001</v>
      </c>
      <c r="Z303" s="3">
        <v>45503.507638888892</v>
      </c>
      <c r="AA303" s="6">
        <v>2024</v>
      </c>
      <c r="AB303" s="1">
        <v>45516</v>
      </c>
    </row>
    <row r="304" spans="1:28" x14ac:dyDescent="0.3">
      <c r="A304" t="s">
        <v>1466</v>
      </c>
      <c r="B304" s="6" t="s">
        <v>524</v>
      </c>
      <c r="C304" s="6" t="s">
        <v>525</v>
      </c>
      <c r="D304">
        <v>721060278</v>
      </c>
      <c r="E304">
        <v>72501001</v>
      </c>
      <c r="F304" t="s">
        <v>94</v>
      </c>
      <c r="G304" t="s">
        <v>1467</v>
      </c>
      <c r="H304" s="1">
        <v>45467</v>
      </c>
      <c r="I304" t="s">
        <v>1468</v>
      </c>
      <c r="J304" s="8">
        <v>45471</v>
      </c>
      <c r="K304" s="1" t="s">
        <v>33</v>
      </c>
      <c r="L304" t="s">
        <v>1469</v>
      </c>
      <c r="M304" t="s">
        <v>1470</v>
      </c>
      <c r="N304" s="2">
        <v>302100</v>
      </c>
      <c r="O304" t="s">
        <v>440</v>
      </c>
      <c r="P304" s="6" t="s">
        <v>36</v>
      </c>
      <c r="Q304" t="s">
        <v>37</v>
      </c>
      <c r="R304" t="s">
        <v>240</v>
      </c>
      <c r="S304" s="9">
        <v>5700</v>
      </c>
      <c r="T304" s="9">
        <v>53</v>
      </c>
      <c r="U304" s="9">
        <v>302100</v>
      </c>
      <c r="V304" s="6" t="s">
        <v>39</v>
      </c>
      <c r="W304" t="s">
        <v>40</v>
      </c>
      <c r="X304">
        <v>7810687137</v>
      </c>
      <c r="Y304">
        <v>781401001</v>
      </c>
      <c r="Z304" s="3">
        <v>45506.77847222222</v>
      </c>
      <c r="AA304" s="6">
        <v>2024</v>
      </c>
      <c r="AB304" s="1">
        <v>45657</v>
      </c>
    </row>
    <row r="305" spans="1:28" x14ac:dyDescent="0.3">
      <c r="A305" t="s">
        <v>1471</v>
      </c>
      <c r="B305" s="6" t="s">
        <v>1472</v>
      </c>
      <c r="C305" s="6" t="s">
        <v>1473</v>
      </c>
      <c r="D305">
        <v>3123448020</v>
      </c>
      <c r="E305">
        <v>312301001</v>
      </c>
      <c r="F305" t="s">
        <v>52</v>
      </c>
      <c r="G305" t="s">
        <v>1474</v>
      </c>
      <c r="H305" s="1">
        <v>45457</v>
      </c>
      <c r="J305" s="8">
        <v>45471</v>
      </c>
      <c r="K305" s="1" t="s">
        <v>33</v>
      </c>
      <c r="L305" t="s">
        <v>1475</v>
      </c>
      <c r="M305" t="s">
        <v>1476</v>
      </c>
      <c r="N305" s="2">
        <v>1401658.5</v>
      </c>
      <c r="O305" t="s">
        <v>1251</v>
      </c>
      <c r="P305" s="6" t="s">
        <v>891</v>
      </c>
      <c r="Q305" t="s">
        <v>37</v>
      </c>
      <c r="R305" t="s">
        <v>38</v>
      </c>
      <c r="S305" s="9">
        <v>5329.5</v>
      </c>
      <c r="T305" s="9">
        <v>263</v>
      </c>
      <c r="U305" s="9">
        <v>1401658.5</v>
      </c>
      <c r="V305" s="6" t="s">
        <v>39</v>
      </c>
      <c r="W305" t="s">
        <v>40</v>
      </c>
      <c r="X305">
        <v>7810687137</v>
      </c>
      <c r="Y305">
        <v>781401001</v>
      </c>
      <c r="Z305" s="3">
        <v>45630.61041666667</v>
      </c>
      <c r="AA305" s="6">
        <v>2024</v>
      </c>
      <c r="AB305" s="1">
        <v>45657</v>
      </c>
    </row>
    <row r="306" spans="1:28" x14ac:dyDescent="0.3">
      <c r="A306" t="s">
        <v>1477</v>
      </c>
      <c r="B306" s="6" t="s">
        <v>602</v>
      </c>
      <c r="C306" s="6" t="s">
        <v>548</v>
      </c>
      <c r="D306">
        <v>1901130110</v>
      </c>
      <c r="E306">
        <v>190101001</v>
      </c>
      <c r="F306" t="s">
        <v>52</v>
      </c>
      <c r="G306" t="s">
        <v>1478</v>
      </c>
      <c r="H306" s="1">
        <v>45460</v>
      </c>
      <c r="J306" s="8">
        <v>45474</v>
      </c>
      <c r="K306" s="1" t="s">
        <v>1479</v>
      </c>
      <c r="L306" t="s">
        <v>1480</v>
      </c>
      <c r="M306" t="s">
        <v>896</v>
      </c>
      <c r="N306" s="2">
        <v>192240</v>
      </c>
      <c r="O306" t="s">
        <v>440</v>
      </c>
      <c r="P306" s="6" t="s">
        <v>36</v>
      </c>
      <c r="Q306" t="s">
        <v>37</v>
      </c>
      <c r="R306" t="s">
        <v>240</v>
      </c>
      <c r="S306" s="9">
        <v>6007.5</v>
      </c>
      <c r="T306" s="9">
        <v>32</v>
      </c>
      <c r="U306" s="9">
        <v>192240</v>
      </c>
      <c r="V306" s="6" t="s">
        <v>352</v>
      </c>
      <c r="W306" t="s">
        <v>40</v>
      </c>
      <c r="X306">
        <v>7843014747</v>
      </c>
      <c r="Y306">
        <v>781401001</v>
      </c>
      <c r="Z306" s="3">
        <v>45511.28402777778</v>
      </c>
      <c r="AA306" s="6">
        <v>2024</v>
      </c>
      <c r="AB306" s="1">
        <v>45565</v>
      </c>
    </row>
    <row r="307" spans="1:28" x14ac:dyDescent="0.3">
      <c r="A307" t="s">
        <v>1481</v>
      </c>
      <c r="B307" s="6" t="s">
        <v>501</v>
      </c>
      <c r="C307" s="6" t="s">
        <v>502</v>
      </c>
      <c r="D307">
        <v>6318197367</v>
      </c>
      <c r="E307">
        <v>631801001</v>
      </c>
      <c r="F307" t="s">
        <v>52</v>
      </c>
      <c r="G307" t="s">
        <v>1482</v>
      </c>
      <c r="H307" s="1">
        <v>45461</v>
      </c>
      <c r="I307" t="s">
        <v>1483</v>
      </c>
      <c r="J307" s="8">
        <v>45474</v>
      </c>
      <c r="K307" s="1" t="s">
        <v>1479</v>
      </c>
      <c r="L307" t="s">
        <v>1484</v>
      </c>
      <c r="M307" t="s">
        <v>1143</v>
      </c>
      <c r="N307" s="2">
        <v>753344.67</v>
      </c>
      <c r="O307" t="s">
        <v>273</v>
      </c>
      <c r="P307" s="6" t="s">
        <v>36</v>
      </c>
      <c r="Q307" t="s">
        <v>37</v>
      </c>
      <c r="R307" t="s">
        <v>240</v>
      </c>
      <c r="S307" s="9">
        <v>5342.87</v>
      </c>
      <c r="T307" s="9">
        <v>141</v>
      </c>
      <c r="U307" s="9">
        <v>753344.67</v>
      </c>
      <c r="V307" s="6" t="s">
        <v>750</v>
      </c>
      <c r="W307" t="s">
        <v>59</v>
      </c>
      <c r="X307">
        <v>540123954976</v>
      </c>
      <c r="Z307" s="3">
        <v>45510.616666666669</v>
      </c>
      <c r="AA307" s="6">
        <v>2024</v>
      </c>
      <c r="AB307" s="1">
        <v>45657</v>
      </c>
    </row>
    <row r="308" spans="1:28" x14ac:dyDescent="0.3">
      <c r="A308" t="s">
        <v>1485</v>
      </c>
      <c r="B308" s="6" t="s">
        <v>1448</v>
      </c>
      <c r="C308" s="6" t="s">
        <v>947</v>
      </c>
      <c r="D308">
        <v>7300016734</v>
      </c>
      <c r="E308">
        <v>730001001</v>
      </c>
      <c r="F308" t="s">
        <v>52</v>
      </c>
      <c r="G308" t="s">
        <v>1486</v>
      </c>
      <c r="H308" s="1">
        <v>45462</v>
      </c>
      <c r="I308" t="s">
        <v>1487</v>
      </c>
      <c r="J308" s="8">
        <v>45474</v>
      </c>
      <c r="K308" s="1" t="s">
        <v>1479</v>
      </c>
      <c r="L308" t="s">
        <v>1486</v>
      </c>
      <c r="M308" t="s">
        <v>273</v>
      </c>
      <c r="N308" s="2">
        <v>24075800</v>
      </c>
      <c r="O308" t="s">
        <v>273</v>
      </c>
      <c r="P308" s="6" t="s">
        <v>36</v>
      </c>
      <c r="Q308" t="s">
        <v>37</v>
      </c>
      <c r="R308" t="s">
        <v>240</v>
      </c>
      <c r="S308" s="9">
        <v>5800</v>
      </c>
      <c r="T308" s="9">
        <v>4151</v>
      </c>
      <c r="U308" s="9">
        <v>24075800</v>
      </c>
      <c r="V308" s="6" t="s">
        <v>39</v>
      </c>
      <c r="W308" t="s">
        <v>40</v>
      </c>
      <c r="X308">
        <v>7810687137</v>
      </c>
      <c r="Y308">
        <v>781401001</v>
      </c>
      <c r="Z308" s="3">
        <v>45527.577777777777</v>
      </c>
      <c r="AA308" s="6">
        <v>2024</v>
      </c>
      <c r="AB308" s="1">
        <v>45657</v>
      </c>
    </row>
    <row r="309" spans="1:28" x14ac:dyDescent="0.3">
      <c r="A309" t="s">
        <v>1488</v>
      </c>
      <c r="B309" s="6" t="s">
        <v>113</v>
      </c>
      <c r="C309" s="6" t="s">
        <v>114</v>
      </c>
      <c r="D309">
        <v>8601035838</v>
      </c>
      <c r="E309">
        <v>860201001</v>
      </c>
      <c r="F309" t="s">
        <v>52</v>
      </c>
      <c r="G309" t="s">
        <v>1489</v>
      </c>
      <c r="H309" s="1">
        <v>45462</v>
      </c>
      <c r="J309" s="8">
        <v>45474</v>
      </c>
      <c r="K309" s="1" t="s">
        <v>1479</v>
      </c>
      <c r="L309">
        <v>24003646</v>
      </c>
      <c r="M309" t="s">
        <v>1490</v>
      </c>
      <c r="N309" s="2">
        <v>4044727.5</v>
      </c>
      <c r="O309" t="s">
        <v>1491</v>
      </c>
      <c r="P309" s="6" t="s">
        <v>36</v>
      </c>
      <c r="Q309" t="s">
        <v>37</v>
      </c>
      <c r="R309" t="s">
        <v>240</v>
      </c>
      <c r="S309" s="9">
        <v>6685.5</v>
      </c>
      <c r="T309" s="9">
        <v>605</v>
      </c>
      <c r="U309" s="9">
        <v>4044727.5</v>
      </c>
      <c r="V309" s="6" t="s">
        <v>119</v>
      </c>
      <c r="W309" t="s">
        <v>59</v>
      </c>
      <c r="X309">
        <v>7810776309</v>
      </c>
      <c r="Y309">
        <v>780601001</v>
      </c>
      <c r="Z309" s="3">
        <v>45523.626388888886</v>
      </c>
      <c r="AA309" s="6">
        <v>2024</v>
      </c>
      <c r="AB309" s="1">
        <v>45558</v>
      </c>
    </row>
    <row r="310" spans="1:28" x14ac:dyDescent="0.3">
      <c r="A310" t="s">
        <v>1492</v>
      </c>
      <c r="B310" s="6" t="s">
        <v>1263</v>
      </c>
      <c r="C310" s="6" t="s">
        <v>1225</v>
      </c>
      <c r="D310">
        <v>2309053058</v>
      </c>
      <c r="E310">
        <v>231001001</v>
      </c>
      <c r="F310" t="s">
        <v>52</v>
      </c>
      <c r="G310" t="s">
        <v>1493</v>
      </c>
      <c r="H310" s="1">
        <v>45468</v>
      </c>
      <c r="I310" t="s">
        <v>1494</v>
      </c>
      <c r="J310" s="8">
        <v>45481</v>
      </c>
      <c r="K310" s="1" t="s">
        <v>1479</v>
      </c>
      <c r="L310" t="s">
        <v>1495</v>
      </c>
      <c r="M310" t="s">
        <v>1496</v>
      </c>
      <c r="N310" s="2">
        <v>175739038</v>
      </c>
      <c r="O310" t="s">
        <v>377</v>
      </c>
      <c r="P310" s="6" t="s">
        <v>891</v>
      </c>
      <c r="Q310" t="s">
        <v>37</v>
      </c>
      <c r="R310" t="s">
        <v>38</v>
      </c>
      <c r="S310" s="9">
        <f>11603/2</f>
        <v>5801.5</v>
      </c>
      <c r="T310" s="9">
        <f>12500*2</f>
        <v>25000</v>
      </c>
      <c r="U310" s="9">
        <v>145037500</v>
      </c>
      <c r="V310" s="6" t="s">
        <v>1497</v>
      </c>
      <c r="W310" t="s">
        <v>1269</v>
      </c>
      <c r="X310">
        <v>234606565699</v>
      </c>
      <c r="Z310" s="3">
        <v>45667.655555555553</v>
      </c>
      <c r="AA310" s="6">
        <v>2024</v>
      </c>
      <c r="AB310" s="1">
        <v>45568</v>
      </c>
    </row>
    <row r="311" spans="1:28" x14ac:dyDescent="0.3">
      <c r="A311" t="s">
        <v>1492</v>
      </c>
      <c r="B311" s="6" t="s">
        <v>1263</v>
      </c>
      <c r="C311" s="6" t="s">
        <v>1225</v>
      </c>
      <c r="D311">
        <v>2309053058</v>
      </c>
      <c r="E311">
        <v>231001001</v>
      </c>
      <c r="F311" t="s">
        <v>52</v>
      </c>
      <c r="G311" t="s">
        <v>1493</v>
      </c>
      <c r="H311" s="1">
        <v>45468</v>
      </c>
      <c r="I311" t="s">
        <v>1494</v>
      </c>
      <c r="J311" s="8">
        <v>45481</v>
      </c>
      <c r="K311" s="1" t="s">
        <v>1479</v>
      </c>
      <c r="L311" t="s">
        <v>1495</v>
      </c>
      <c r="M311" t="s">
        <v>1496</v>
      </c>
      <c r="N311" s="2">
        <v>175739038</v>
      </c>
      <c r="O311" t="s">
        <v>377</v>
      </c>
      <c r="P311" s="6" t="s">
        <v>891</v>
      </c>
      <c r="Q311" t="s">
        <v>37</v>
      </c>
      <c r="R311" t="s">
        <v>38</v>
      </c>
      <c r="S311" s="9">
        <f>11603/2</f>
        <v>5801.5</v>
      </c>
      <c r="T311" s="9">
        <f>2646*2</f>
        <v>5292</v>
      </c>
      <c r="U311" s="9">
        <v>30701538</v>
      </c>
      <c r="V311" s="6" t="s">
        <v>1497</v>
      </c>
      <c r="W311" t="s">
        <v>1269</v>
      </c>
      <c r="X311">
        <v>234606565699</v>
      </c>
      <c r="Z311" s="3">
        <v>45667.655555555553</v>
      </c>
      <c r="AA311" s="6">
        <v>2024</v>
      </c>
      <c r="AB311" s="1">
        <v>45568</v>
      </c>
    </row>
    <row r="312" spans="1:28" x14ac:dyDescent="0.3">
      <c r="A312" t="s">
        <v>1498</v>
      </c>
      <c r="B312" s="6" t="s">
        <v>121</v>
      </c>
      <c r="C312" s="6" t="s">
        <v>122</v>
      </c>
      <c r="D312">
        <v>5402155123</v>
      </c>
      <c r="E312">
        <v>540201001</v>
      </c>
      <c r="F312" t="s">
        <v>52</v>
      </c>
      <c r="G312" t="s">
        <v>1499</v>
      </c>
      <c r="H312" s="1">
        <v>45468</v>
      </c>
      <c r="J312" s="8">
        <v>45481</v>
      </c>
      <c r="K312" s="1" t="s">
        <v>1479</v>
      </c>
      <c r="L312" t="s">
        <v>1500</v>
      </c>
      <c r="M312" t="s">
        <v>1501</v>
      </c>
      <c r="N312" s="2">
        <v>2990400</v>
      </c>
      <c r="O312" t="s">
        <v>377</v>
      </c>
      <c r="P312" s="6" t="s">
        <v>464</v>
      </c>
      <c r="Q312" t="s">
        <v>37</v>
      </c>
      <c r="R312" t="s">
        <v>38</v>
      </c>
      <c r="S312" s="9">
        <v>4984</v>
      </c>
      <c r="T312" s="9">
        <v>600</v>
      </c>
      <c r="U312" s="9">
        <v>2990400</v>
      </c>
      <c r="V312" s="6" t="s">
        <v>1502</v>
      </c>
      <c r="W312" t="s">
        <v>1503</v>
      </c>
      <c r="X312">
        <v>1658196026</v>
      </c>
      <c r="Y312">
        <v>168301001</v>
      </c>
      <c r="Z312" s="3">
        <v>45576.345833333333</v>
      </c>
      <c r="AA312" s="6">
        <v>2024</v>
      </c>
      <c r="AB312" s="1">
        <v>45626</v>
      </c>
    </row>
    <row r="313" spans="1:28" x14ac:dyDescent="0.3">
      <c r="A313" t="s">
        <v>1504</v>
      </c>
      <c r="B313" s="6" t="s">
        <v>830</v>
      </c>
      <c r="C313" s="6" t="s">
        <v>831</v>
      </c>
      <c r="D313">
        <v>6163049814</v>
      </c>
      <c r="E313">
        <v>616601001</v>
      </c>
      <c r="F313" t="s">
        <v>52</v>
      </c>
      <c r="G313" t="s">
        <v>1505</v>
      </c>
      <c r="H313" s="1">
        <v>45469</v>
      </c>
      <c r="J313" s="8">
        <v>45481</v>
      </c>
      <c r="K313" s="1" t="s">
        <v>1479</v>
      </c>
      <c r="L313">
        <v>24000821</v>
      </c>
      <c r="M313" t="s">
        <v>1506</v>
      </c>
      <c r="N313" s="2">
        <v>98148466.799999997</v>
      </c>
      <c r="O313" t="s">
        <v>440</v>
      </c>
      <c r="P313" s="6" t="s">
        <v>36</v>
      </c>
      <c r="Q313" t="s">
        <v>37</v>
      </c>
      <c r="R313" t="s">
        <v>240</v>
      </c>
      <c r="S313" s="9">
        <v>5821.38</v>
      </c>
      <c r="T313" s="9">
        <v>16860</v>
      </c>
      <c r="U313" s="9">
        <v>98148466.799999997</v>
      </c>
      <c r="V313" s="6" t="s">
        <v>145</v>
      </c>
      <c r="W313" t="s">
        <v>59</v>
      </c>
      <c r="X313">
        <v>5321132777</v>
      </c>
      <c r="Y313">
        <v>532101001</v>
      </c>
      <c r="Z313" s="3">
        <v>45654.63958333333</v>
      </c>
      <c r="AA313" s="6">
        <v>2024</v>
      </c>
      <c r="AB313" s="1">
        <v>45511</v>
      </c>
    </row>
    <row r="314" spans="1:28" x14ac:dyDescent="0.3">
      <c r="A314" t="s">
        <v>1507</v>
      </c>
      <c r="B314" s="6" t="s">
        <v>1508</v>
      </c>
      <c r="C314" s="6" t="s">
        <v>1257</v>
      </c>
      <c r="D314">
        <v>602006930</v>
      </c>
      <c r="E314">
        <v>60601001</v>
      </c>
      <c r="F314" t="s">
        <v>94</v>
      </c>
      <c r="G314" t="s">
        <v>1509</v>
      </c>
      <c r="H314" s="1">
        <v>45469</v>
      </c>
      <c r="I314" t="s">
        <v>1510</v>
      </c>
      <c r="J314" s="8">
        <v>45481</v>
      </c>
      <c r="K314" s="1" t="s">
        <v>1479</v>
      </c>
      <c r="L314">
        <v>1212</v>
      </c>
      <c r="M314" t="s">
        <v>1511</v>
      </c>
      <c r="N314" s="2">
        <v>761100</v>
      </c>
      <c r="O314" t="s">
        <v>440</v>
      </c>
      <c r="P314" s="6" t="s">
        <v>36</v>
      </c>
      <c r="Q314" t="s">
        <v>37</v>
      </c>
      <c r="R314" t="s">
        <v>240</v>
      </c>
      <c r="S314" s="9">
        <v>5900</v>
      </c>
      <c r="T314" s="9">
        <v>129</v>
      </c>
      <c r="U314" s="9">
        <v>761100</v>
      </c>
      <c r="V314" s="6" t="s">
        <v>58</v>
      </c>
      <c r="W314" t="s">
        <v>59</v>
      </c>
      <c r="X314">
        <v>5262222144</v>
      </c>
      <c r="Y314">
        <v>526201001</v>
      </c>
      <c r="Z314" s="3">
        <v>45545.786111111112</v>
      </c>
      <c r="AA314" s="6">
        <v>2024</v>
      </c>
      <c r="AB314" s="1">
        <v>45497</v>
      </c>
    </row>
    <row r="315" spans="1:28" x14ac:dyDescent="0.3">
      <c r="A315" s="4" t="s">
        <v>1512</v>
      </c>
      <c r="B315" s="6" t="s">
        <v>491</v>
      </c>
      <c r="C315" s="6" t="s">
        <v>492</v>
      </c>
      <c r="D315">
        <v>2724041260</v>
      </c>
      <c r="E315">
        <v>272101001</v>
      </c>
      <c r="F315" t="s">
        <v>149</v>
      </c>
      <c r="G315" t="s">
        <v>1513</v>
      </c>
      <c r="H315" s="1">
        <v>45476</v>
      </c>
      <c r="I315" t="s">
        <v>1514</v>
      </c>
      <c r="J315" s="8">
        <v>45481</v>
      </c>
      <c r="K315" s="1" t="s">
        <v>1479</v>
      </c>
      <c r="L315" t="s">
        <v>1515</v>
      </c>
      <c r="M315" t="s">
        <v>377</v>
      </c>
      <c r="N315" s="2">
        <v>1767780</v>
      </c>
      <c r="O315" t="s">
        <v>377</v>
      </c>
      <c r="P315" s="6" t="s">
        <v>891</v>
      </c>
      <c r="Q315" t="s">
        <v>37</v>
      </c>
      <c r="R315" t="s">
        <v>38</v>
      </c>
      <c r="S315" s="9">
        <v>5490</v>
      </c>
      <c r="T315" s="9">
        <v>322</v>
      </c>
      <c r="U315" s="9">
        <v>1767780</v>
      </c>
      <c r="V315" s="6" t="s">
        <v>90</v>
      </c>
      <c r="W315" t="s">
        <v>59</v>
      </c>
      <c r="X315">
        <v>5259153331</v>
      </c>
      <c r="Y315">
        <v>525901001</v>
      </c>
      <c r="Z315" s="3">
        <v>45604.237500000003</v>
      </c>
      <c r="AA315" s="6">
        <v>2024</v>
      </c>
      <c r="AB315" s="1">
        <v>45568</v>
      </c>
    </row>
    <row r="316" spans="1:28" x14ac:dyDescent="0.3">
      <c r="A316" t="s">
        <v>1516</v>
      </c>
      <c r="B316" s="6" t="s">
        <v>782</v>
      </c>
      <c r="C316" s="6" t="s">
        <v>783</v>
      </c>
      <c r="D316">
        <v>6231025123</v>
      </c>
      <c r="E316">
        <v>623401001</v>
      </c>
      <c r="F316" t="s">
        <v>94</v>
      </c>
      <c r="G316" t="s">
        <v>1517</v>
      </c>
      <c r="H316" s="1">
        <v>45476</v>
      </c>
      <c r="J316" s="8">
        <v>45481</v>
      </c>
      <c r="K316" s="1" t="s">
        <v>1479</v>
      </c>
      <c r="L316" t="s">
        <v>1518</v>
      </c>
      <c r="M316" t="s">
        <v>1519</v>
      </c>
      <c r="N316" s="2">
        <v>590000</v>
      </c>
      <c r="O316" t="s">
        <v>377</v>
      </c>
      <c r="P316" s="6" t="s">
        <v>891</v>
      </c>
      <c r="Q316" t="s">
        <v>37</v>
      </c>
      <c r="R316" t="s">
        <v>38</v>
      </c>
      <c r="S316" s="9">
        <v>5900</v>
      </c>
      <c r="T316" s="9">
        <v>100</v>
      </c>
      <c r="U316" s="9">
        <v>590000</v>
      </c>
      <c r="V316" s="6" t="s">
        <v>39</v>
      </c>
      <c r="W316" t="s">
        <v>40</v>
      </c>
      <c r="X316">
        <v>7810687137</v>
      </c>
      <c r="Y316">
        <v>781401001</v>
      </c>
      <c r="Z316" s="3">
        <v>45565.726388888892</v>
      </c>
      <c r="AA316" s="6">
        <v>2024</v>
      </c>
      <c r="AB316" s="1">
        <v>45565</v>
      </c>
    </row>
    <row r="317" spans="1:28" x14ac:dyDescent="0.3">
      <c r="A317" t="s">
        <v>1520</v>
      </c>
      <c r="B317" s="6" t="s">
        <v>472</v>
      </c>
      <c r="C317" s="6" t="s">
        <v>473</v>
      </c>
      <c r="D317">
        <v>3729010595</v>
      </c>
      <c r="E317">
        <v>370201001</v>
      </c>
      <c r="F317" t="s">
        <v>52</v>
      </c>
      <c r="G317" t="s">
        <v>1521</v>
      </c>
      <c r="H317" s="1">
        <v>45471</v>
      </c>
      <c r="I317" t="s">
        <v>1522</v>
      </c>
      <c r="J317" s="8">
        <v>45482</v>
      </c>
      <c r="K317" s="1" t="s">
        <v>1479</v>
      </c>
      <c r="L317" t="s">
        <v>1521</v>
      </c>
      <c r="M317" t="s">
        <v>1523</v>
      </c>
      <c r="N317" s="2">
        <v>36226113.450000003</v>
      </c>
      <c r="O317" t="s">
        <v>440</v>
      </c>
      <c r="P317" s="6" t="s">
        <v>36</v>
      </c>
      <c r="Q317" t="s">
        <v>37</v>
      </c>
      <c r="R317" t="s">
        <v>240</v>
      </c>
      <c r="S317" s="9">
        <v>6002.67</v>
      </c>
      <c r="T317" s="9">
        <v>6035</v>
      </c>
      <c r="U317" s="9">
        <v>36226113.450000003</v>
      </c>
      <c r="V317" s="6" t="s">
        <v>58</v>
      </c>
      <c r="W317" t="s">
        <v>59</v>
      </c>
      <c r="X317">
        <v>5262222144</v>
      </c>
      <c r="Y317">
        <v>526201001</v>
      </c>
      <c r="Z317" s="3">
        <v>45593.643750000003</v>
      </c>
      <c r="AA317" s="6">
        <v>2024</v>
      </c>
      <c r="AB317" s="1">
        <v>45650</v>
      </c>
    </row>
    <row r="318" spans="1:28" x14ac:dyDescent="0.3">
      <c r="A318" t="s">
        <v>1524</v>
      </c>
      <c r="B318" s="6" t="s">
        <v>1525</v>
      </c>
      <c r="C318" s="6" t="s">
        <v>164</v>
      </c>
      <c r="D318">
        <v>7734091519</v>
      </c>
      <c r="E318">
        <v>773401001</v>
      </c>
      <c r="F318" t="s">
        <v>52</v>
      </c>
      <c r="G318" t="s">
        <v>1526</v>
      </c>
      <c r="H318" s="1">
        <v>45470</v>
      </c>
      <c r="J318" s="8">
        <v>45483</v>
      </c>
      <c r="K318" s="1" t="s">
        <v>1479</v>
      </c>
      <c r="L318" t="s">
        <v>1527</v>
      </c>
      <c r="M318" t="s">
        <v>1528</v>
      </c>
      <c r="N318" s="2">
        <v>119666.6</v>
      </c>
      <c r="O318" t="s">
        <v>273</v>
      </c>
      <c r="P318" s="6" t="s">
        <v>36</v>
      </c>
      <c r="Q318" t="s">
        <v>37</v>
      </c>
      <c r="R318" t="s">
        <v>240</v>
      </c>
      <c r="S318" s="9">
        <v>5983.33</v>
      </c>
      <c r="T318" s="9">
        <v>20</v>
      </c>
      <c r="U318" s="9">
        <v>119666.6</v>
      </c>
      <c r="V318" s="6" t="s">
        <v>190</v>
      </c>
      <c r="W318" t="s">
        <v>129</v>
      </c>
      <c r="X318">
        <v>5027264000</v>
      </c>
      <c r="Y318">
        <v>502701001</v>
      </c>
      <c r="Z318" s="3">
        <v>45516.709027777775</v>
      </c>
      <c r="AA318" s="6">
        <v>2024</v>
      </c>
      <c r="AB318" s="1">
        <v>45700</v>
      </c>
    </row>
    <row r="319" spans="1:28" x14ac:dyDescent="0.3">
      <c r="A319" t="s">
        <v>1529</v>
      </c>
      <c r="B319" s="6" t="s">
        <v>672</v>
      </c>
      <c r="C319" s="6" t="s">
        <v>673</v>
      </c>
      <c r="D319">
        <v>6455046666</v>
      </c>
      <c r="E319">
        <v>645501001</v>
      </c>
      <c r="F319" t="s">
        <v>52</v>
      </c>
      <c r="G319" t="s">
        <v>1530</v>
      </c>
      <c r="H319" s="1">
        <v>45470</v>
      </c>
      <c r="J319" s="8">
        <v>45483</v>
      </c>
      <c r="K319" s="1" t="s">
        <v>1479</v>
      </c>
      <c r="L319" t="s">
        <v>1530</v>
      </c>
      <c r="M319" t="s">
        <v>676</v>
      </c>
      <c r="N319" s="2">
        <v>2933701.65</v>
      </c>
      <c r="O319" t="s">
        <v>273</v>
      </c>
      <c r="P319" s="6" t="s">
        <v>464</v>
      </c>
      <c r="Q319" t="s">
        <v>37</v>
      </c>
      <c r="R319" t="s">
        <v>66</v>
      </c>
      <c r="S319" s="9">
        <v>4889.5</v>
      </c>
      <c r="T319" s="9">
        <v>600</v>
      </c>
      <c r="U319" s="9">
        <v>2933701.65</v>
      </c>
      <c r="V319" s="6" t="s">
        <v>678</v>
      </c>
      <c r="W319" t="s">
        <v>679</v>
      </c>
      <c r="X319">
        <v>6454070874</v>
      </c>
      <c r="Y319">
        <v>645001001</v>
      </c>
      <c r="Z319" s="3">
        <v>45509.668055555558</v>
      </c>
      <c r="AA319" s="6">
        <v>2024</v>
      </c>
      <c r="AB319" s="1">
        <v>45533</v>
      </c>
    </row>
    <row r="320" spans="1:28" x14ac:dyDescent="0.3">
      <c r="A320" t="s">
        <v>1531</v>
      </c>
      <c r="B320" s="6" t="s">
        <v>491</v>
      </c>
      <c r="C320" s="6" t="s">
        <v>492</v>
      </c>
      <c r="D320">
        <v>2724041260</v>
      </c>
      <c r="E320">
        <v>272101001</v>
      </c>
      <c r="F320" t="s">
        <v>149</v>
      </c>
      <c r="G320" t="s">
        <v>1532</v>
      </c>
      <c r="H320" s="1">
        <v>45481</v>
      </c>
      <c r="J320" s="8">
        <v>45484</v>
      </c>
      <c r="K320" s="1" t="s">
        <v>1479</v>
      </c>
      <c r="L320" t="s">
        <v>1532</v>
      </c>
      <c r="M320" t="s">
        <v>273</v>
      </c>
      <c r="N320" s="2">
        <v>1252800</v>
      </c>
      <c r="O320" t="s">
        <v>273</v>
      </c>
      <c r="P320" s="6" t="s">
        <v>36</v>
      </c>
      <c r="Q320" t="s">
        <v>37</v>
      </c>
      <c r="R320" t="s">
        <v>240</v>
      </c>
      <c r="S320" s="9">
        <v>5800</v>
      </c>
      <c r="T320" s="9">
        <v>216</v>
      </c>
      <c r="U320" s="9">
        <v>1252800</v>
      </c>
      <c r="V320" s="6" t="s">
        <v>39</v>
      </c>
      <c r="W320" t="s">
        <v>40</v>
      </c>
      <c r="X320">
        <v>7810687137</v>
      </c>
      <c r="Y320">
        <v>781401001</v>
      </c>
      <c r="Z320" s="3">
        <v>45589.115972222222</v>
      </c>
      <c r="AA320" s="6">
        <v>2024</v>
      </c>
      <c r="AB320" s="1">
        <v>45567</v>
      </c>
    </row>
    <row r="321" spans="1:28" x14ac:dyDescent="0.3">
      <c r="A321" t="s">
        <v>1533</v>
      </c>
      <c r="B321" s="6" t="s">
        <v>435</v>
      </c>
      <c r="C321" s="6" t="s">
        <v>436</v>
      </c>
      <c r="D321">
        <v>7604044726</v>
      </c>
      <c r="E321">
        <v>760401001</v>
      </c>
      <c r="F321" t="s">
        <v>52</v>
      </c>
      <c r="G321" t="s">
        <v>1534</v>
      </c>
      <c r="H321" s="1">
        <v>45476</v>
      </c>
      <c r="J321" s="8">
        <v>45488</v>
      </c>
      <c r="K321" s="1" t="s">
        <v>1479</v>
      </c>
      <c r="L321" t="s">
        <v>1535</v>
      </c>
      <c r="M321" t="s">
        <v>439</v>
      </c>
      <c r="N321" s="2">
        <v>13272000</v>
      </c>
      <c r="O321" t="s">
        <v>273</v>
      </c>
      <c r="P321" s="6" t="s">
        <v>36</v>
      </c>
      <c r="Q321" t="s">
        <v>37</v>
      </c>
      <c r="R321" t="s">
        <v>240</v>
      </c>
      <c r="S321" s="9">
        <v>6000</v>
      </c>
      <c r="T321" s="9">
        <v>2212</v>
      </c>
      <c r="U321" s="9">
        <v>13272000</v>
      </c>
      <c r="V321" s="6" t="s">
        <v>441</v>
      </c>
      <c r="W321" t="s">
        <v>40</v>
      </c>
      <c r="X321">
        <v>7725285067</v>
      </c>
      <c r="Y321">
        <v>772501001</v>
      </c>
      <c r="Z321" s="3">
        <v>45513.482638888891</v>
      </c>
      <c r="AA321" s="6">
        <v>2024</v>
      </c>
      <c r="AB321" s="1">
        <v>45565</v>
      </c>
    </row>
    <row r="322" spans="1:28" x14ac:dyDescent="0.3">
      <c r="A322" t="s">
        <v>1536</v>
      </c>
      <c r="B322" s="6" t="s">
        <v>435</v>
      </c>
      <c r="C322" s="6" t="s">
        <v>436</v>
      </c>
      <c r="D322">
        <v>7604044726</v>
      </c>
      <c r="E322">
        <v>760401001</v>
      </c>
      <c r="F322" t="s">
        <v>52</v>
      </c>
      <c r="G322" t="s">
        <v>1537</v>
      </c>
      <c r="H322" s="1">
        <v>45476</v>
      </c>
      <c r="J322" s="8">
        <v>45488</v>
      </c>
      <c r="K322" s="1" t="s">
        <v>1479</v>
      </c>
      <c r="L322" t="s">
        <v>1538</v>
      </c>
      <c r="M322" t="s">
        <v>439</v>
      </c>
      <c r="N322" s="2">
        <v>15000000</v>
      </c>
      <c r="O322" t="s">
        <v>273</v>
      </c>
      <c r="P322" s="6" t="s">
        <v>36</v>
      </c>
      <c r="Q322" t="s">
        <v>37</v>
      </c>
      <c r="R322" t="s">
        <v>240</v>
      </c>
      <c r="S322" s="9">
        <v>6000</v>
      </c>
      <c r="T322" s="9">
        <v>2500</v>
      </c>
      <c r="U322" s="9">
        <v>15000000</v>
      </c>
      <c r="V322" s="6" t="s">
        <v>441</v>
      </c>
      <c r="W322" t="s">
        <v>40</v>
      </c>
      <c r="X322">
        <v>7725285067</v>
      </c>
      <c r="Y322">
        <v>772501001</v>
      </c>
      <c r="Z322" s="3">
        <v>45518.439583333333</v>
      </c>
      <c r="AA322" s="6">
        <v>2024</v>
      </c>
      <c r="AB322" s="1">
        <v>45565</v>
      </c>
    </row>
    <row r="323" spans="1:28" x14ac:dyDescent="0.3">
      <c r="A323" t="s">
        <v>1539</v>
      </c>
      <c r="B323" s="6" t="s">
        <v>554</v>
      </c>
      <c r="C323" s="6" t="s">
        <v>555</v>
      </c>
      <c r="D323">
        <v>7453135827</v>
      </c>
      <c r="E323">
        <v>745301001</v>
      </c>
      <c r="F323" t="s">
        <v>52</v>
      </c>
      <c r="G323" t="s">
        <v>1540</v>
      </c>
      <c r="H323" s="1">
        <v>45476</v>
      </c>
      <c r="I323" t="s">
        <v>1541</v>
      </c>
      <c r="J323" s="8">
        <v>45488</v>
      </c>
      <c r="K323" s="1" t="s">
        <v>1479</v>
      </c>
      <c r="L323" t="s">
        <v>1542</v>
      </c>
      <c r="M323" t="s">
        <v>1543</v>
      </c>
      <c r="N323" s="2">
        <v>57122916.240000002</v>
      </c>
      <c r="O323" t="s">
        <v>440</v>
      </c>
      <c r="P323" s="6" t="s">
        <v>36</v>
      </c>
      <c r="Q323" t="s">
        <v>37</v>
      </c>
      <c r="R323" t="s">
        <v>240</v>
      </c>
      <c r="S323" s="9">
        <v>5799.76</v>
      </c>
      <c r="T323" s="9">
        <v>5349</v>
      </c>
      <c r="U323" s="9">
        <v>31022916.239999998</v>
      </c>
      <c r="V323" s="6" t="s">
        <v>58</v>
      </c>
      <c r="W323" t="s">
        <v>59</v>
      </c>
      <c r="X323">
        <v>5262222144</v>
      </c>
      <c r="Y323">
        <v>526201001</v>
      </c>
      <c r="Z323" s="3">
        <v>45623.618750000001</v>
      </c>
      <c r="AA323" s="6">
        <v>2024</v>
      </c>
      <c r="AB323" s="1">
        <v>45657</v>
      </c>
    </row>
    <row r="324" spans="1:28" x14ac:dyDescent="0.3">
      <c r="A324" t="s">
        <v>1539</v>
      </c>
      <c r="B324" s="6" t="s">
        <v>554</v>
      </c>
      <c r="C324" s="6" t="s">
        <v>555</v>
      </c>
      <c r="D324">
        <v>7453135827</v>
      </c>
      <c r="E324">
        <v>745301001</v>
      </c>
      <c r="F324" t="s">
        <v>52</v>
      </c>
      <c r="G324" t="s">
        <v>1540</v>
      </c>
      <c r="H324" s="1">
        <v>45476</v>
      </c>
      <c r="I324" t="s">
        <v>1541</v>
      </c>
      <c r="J324" s="8">
        <v>45488</v>
      </c>
      <c r="K324" s="1" t="s">
        <v>1479</v>
      </c>
      <c r="L324" t="s">
        <v>1542</v>
      </c>
      <c r="M324" t="s">
        <v>1543</v>
      </c>
      <c r="N324" s="2">
        <v>57122916.240000002</v>
      </c>
      <c r="O324" t="s">
        <v>440</v>
      </c>
      <c r="P324" s="6" t="s">
        <v>36</v>
      </c>
      <c r="Q324" t="s">
        <v>37</v>
      </c>
      <c r="R324" t="s">
        <v>240</v>
      </c>
      <c r="S324" s="9">
        <v>5800</v>
      </c>
      <c r="T324" s="9">
        <v>4500</v>
      </c>
      <c r="U324" s="9">
        <v>26100000</v>
      </c>
      <c r="V324" s="6" t="s">
        <v>58</v>
      </c>
      <c r="W324" t="s">
        <v>59</v>
      </c>
      <c r="X324">
        <v>5262222144</v>
      </c>
      <c r="Y324">
        <v>526201001</v>
      </c>
      <c r="Z324" s="3">
        <v>45623.618750000001</v>
      </c>
      <c r="AA324" s="6">
        <v>2024</v>
      </c>
      <c r="AB324" s="1">
        <v>45657</v>
      </c>
    </row>
    <row r="325" spans="1:28" x14ac:dyDescent="0.3">
      <c r="A325" t="s">
        <v>1544</v>
      </c>
      <c r="B325" s="6" t="s">
        <v>530</v>
      </c>
      <c r="C325" s="6" t="s">
        <v>453</v>
      </c>
      <c r="D325">
        <v>2221007858</v>
      </c>
      <c r="E325">
        <v>222101001</v>
      </c>
      <c r="F325" t="s">
        <v>52</v>
      </c>
      <c r="G325" t="s">
        <v>1545</v>
      </c>
      <c r="H325" s="1">
        <v>45477</v>
      </c>
      <c r="I325" t="s">
        <v>1546</v>
      </c>
      <c r="J325" s="8">
        <v>45488</v>
      </c>
      <c r="K325" s="1" t="s">
        <v>1479</v>
      </c>
      <c r="L325" t="s">
        <v>1547</v>
      </c>
      <c r="M325" t="s">
        <v>534</v>
      </c>
      <c r="N325" s="2">
        <v>5900000</v>
      </c>
      <c r="O325" t="s">
        <v>273</v>
      </c>
      <c r="P325" s="6" t="s">
        <v>36</v>
      </c>
      <c r="Q325" t="s">
        <v>37</v>
      </c>
      <c r="R325" t="s">
        <v>240</v>
      </c>
      <c r="S325" s="9">
        <v>5900</v>
      </c>
      <c r="T325" s="9">
        <v>1000</v>
      </c>
      <c r="U325" s="9">
        <v>5900000</v>
      </c>
      <c r="V325" s="6" t="s">
        <v>536</v>
      </c>
      <c r="W325" t="s">
        <v>59</v>
      </c>
      <c r="X325">
        <v>2222874211</v>
      </c>
      <c r="Y325">
        <v>222201001</v>
      </c>
      <c r="Z325" s="3">
        <v>45509.431944444441</v>
      </c>
      <c r="AA325" s="6">
        <v>2024</v>
      </c>
      <c r="AB325" s="1">
        <v>45553</v>
      </c>
    </row>
    <row r="326" spans="1:28" x14ac:dyDescent="0.3">
      <c r="A326" t="s">
        <v>1548</v>
      </c>
      <c r="B326" s="6" t="s">
        <v>917</v>
      </c>
      <c r="C326" s="6" t="s">
        <v>918</v>
      </c>
      <c r="D326">
        <v>1325126625</v>
      </c>
      <c r="E326">
        <v>132601001</v>
      </c>
      <c r="F326" t="s">
        <v>149</v>
      </c>
      <c r="G326" t="s">
        <v>1549</v>
      </c>
      <c r="H326" s="1">
        <v>45483</v>
      </c>
      <c r="J326" s="8">
        <v>45488</v>
      </c>
      <c r="K326" s="1" t="s">
        <v>1479</v>
      </c>
      <c r="L326" t="s">
        <v>1550</v>
      </c>
      <c r="M326" t="s">
        <v>273</v>
      </c>
      <c r="N326" s="2">
        <v>3442800</v>
      </c>
      <c r="O326" t="s">
        <v>273</v>
      </c>
      <c r="P326" s="6" t="s">
        <v>36</v>
      </c>
      <c r="Q326" t="s">
        <v>37</v>
      </c>
      <c r="R326" t="s">
        <v>240</v>
      </c>
      <c r="S326" s="9">
        <v>5700</v>
      </c>
      <c r="T326" s="9">
        <v>604</v>
      </c>
      <c r="U326" s="9">
        <v>3442800</v>
      </c>
      <c r="V326" s="6" t="s">
        <v>58</v>
      </c>
      <c r="W326" t="s">
        <v>59</v>
      </c>
      <c r="X326">
        <v>5262222144</v>
      </c>
      <c r="Y326">
        <v>526201001</v>
      </c>
      <c r="Z326" s="3">
        <v>45555.505555555559</v>
      </c>
      <c r="AA326" s="6">
        <v>2024</v>
      </c>
      <c r="AB326" s="1">
        <v>45657</v>
      </c>
    </row>
    <row r="327" spans="1:28" x14ac:dyDescent="0.3">
      <c r="A327" t="s">
        <v>1551</v>
      </c>
      <c r="B327" s="6" t="s">
        <v>639</v>
      </c>
      <c r="C327" s="6" t="s">
        <v>640</v>
      </c>
      <c r="D327">
        <v>6905044950</v>
      </c>
      <c r="E327">
        <v>695001001</v>
      </c>
      <c r="F327" t="s">
        <v>94</v>
      </c>
      <c r="G327" t="s">
        <v>1552</v>
      </c>
      <c r="H327" s="1">
        <v>45483</v>
      </c>
      <c r="J327" s="8">
        <v>45488</v>
      </c>
      <c r="K327" s="1" t="s">
        <v>1479</v>
      </c>
      <c r="L327" t="s">
        <v>1552</v>
      </c>
      <c r="M327" t="s">
        <v>1553</v>
      </c>
      <c r="N327" s="2">
        <v>742000</v>
      </c>
      <c r="O327" t="s">
        <v>377</v>
      </c>
      <c r="P327" s="6" t="s">
        <v>544</v>
      </c>
      <c r="Q327" t="s">
        <v>37</v>
      </c>
      <c r="R327" t="s">
        <v>38</v>
      </c>
      <c r="S327" s="9">
        <v>3500</v>
      </c>
      <c r="T327" s="9">
        <v>212</v>
      </c>
      <c r="U327" s="9">
        <v>742000</v>
      </c>
      <c r="V327" s="6" t="s">
        <v>352</v>
      </c>
      <c r="W327" t="s">
        <v>40</v>
      </c>
      <c r="X327">
        <v>7843014747</v>
      </c>
      <c r="Y327">
        <v>781401001</v>
      </c>
      <c r="Z327" s="3">
        <v>45512.395138888889</v>
      </c>
      <c r="AA327" s="6">
        <v>2024</v>
      </c>
      <c r="AB327" s="1">
        <v>45565</v>
      </c>
    </row>
    <row r="328" spans="1:28" x14ac:dyDescent="0.3">
      <c r="A328" t="s">
        <v>1554</v>
      </c>
      <c r="B328" s="6" t="s">
        <v>910</v>
      </c>
      <c r="C328" s="6" t="s">
        <v>911</v>
      </c>
      <c r="D328">
        <v>1200000881</v>
      </c>
      <c r="E328">
        <v>121501001</v>
      </c>
      <c r="F328" t="s">
        <v>52</v>
      </c>
      <c r="G328" t="s">
        <v>1555</v>
      </c>
      <c r="H328" s="1">
        <v>45478</v>
      </c>
      <c r="J328" s="8">
        <v>45489</v>
      </c>
      <c r="K328" s="1" t="s">
        <v>1479</v>
      </c>
      <c r="L328" t="s">
        <v>1556</v>
      </c>
      <c r="M328" t="s">
        <v>1557</v>
      </c>
      <c r="N328" s="2">
        <v>5010600</v>
      </c>
      <c r="O328" t="s">
        <v>1112</v>
      </c>
      <c r="P328" s="6" t="s">
        <v>36</v>
      </c>
      <c r="Q328" t="s">
        <v>37</v>
      </c>
      <c r="R328" t="s">
        <v>240</v>
      </c>
      <c r="S328" s="9">
        <v>5965</v>
      </c>
      <c r="T328" s="9">
        <v>840</v>
      </c>
      <c r="U328" s="9">
        <v>5010600</v>
      </c>
      <c r="V328" s="6" t="s">
        <v>111</v>
      </c>
      <c r="W328" t="s">
        <v>59</v>
      </c>
      <c r="X328">
        <v>5262258091</v>
      </c>
      <c r="Y328">
        <v>526201001</v>
      </c>
      <c r="Z328" s="3">
        <v>45560.451388888891</v>
      </c>
      <c r="AA328" s="6">
        <v>2024</v>
      </c>
      <c r="AB328" s="1">
        <v>45657</v>
      </c>
    </row>
    <row r="329" spans="1:28" x14ac:dyDescent="0.3">
      <c r="A329" t="s">
        <v>1558</v>
      </c>
      <c r="B329" s="6" t="s">
        <v>220</v>
      </c>
      <c r="C329" s="6" t="s">
        <v>221</v>
      </c>
      <c r="D329">
        <v>5024068656</v>
      </c>
      <c r="E329">
        <v>502401001</v>
      </c>
      <c r="F329" t="s">
        <v>52</v>
      </c>
      <c r="G329" t="s">
        <v>1559</v>
      </c>
      <c r="H329" s="1">
        <v>45477</v>
      </c>
      <c r="J329" s="8">
        <v>45489</v>
      </c>
      <c r="K329" s="1" t="s">
        <v>1479</v>
      </c>
      <c r="L329" t="s">
        <v>1559</v>
      </c>
      <c r="M329" t="s">
        <v>1560</v>
      </c>
      <c r="N329" s="2">
        <v>6892442</v>
      </c>
      <c r="O329" t="s">
        <v>440</v>
      </c>
      <c r="P329" s="6" t="s">
        <v>36</v>
      </c>
      <c r="Q329" t="s">
        <v>37</v>
      </c>
      <c r="R329" t="s">
        <v>240</v>
      </c>
      <c r="S329" s="9">
        <v>6019.6</v>
      </c>
      <c r="T329" s="9">
        <v>1145</v>
      </c>
      <c r="U329" s="9">
        <v>6892442</v>
      </c>
      <c r="V329" s="6" t="s">
        <v>128</v>
      </c>
      <c r="W329" t="s">
        <v>129</v>
      </c>
      <c r="X329">
        <v>274110679</v>
      </c>
      <c r="Y329">
        <v>500801001</v>
      </c>
      <c r="Z329" s="3">
        <v>45509.449305555558</v>
      </c>
      <c r="AA329" s="6">
        <v>2024</v>
      </c>
      <c r="AB329" s="1">
        <v>45545</v>
      </c>
    </row>
    <row r="330" spans="1:28" x14ac:dyDescent="0.3">
      <c r="A330" t="s">
        <v>1561</v>
      </c>
      <c r="B330" s="6" t="s">
        <v>418</v>
      </c>
      <c r="C330" s="6" t="s">
        <v>148</v>
      </c>
      <c r="D330">
        <v>274157821</v>
      </c>
      <c r="E330">
        <v>27401001</v>
      </c>
      <c r="F330" t="s">
        <v>52</v>
      </c>
      <c r="G330" t="s">
        <v>1562</v>
      </c>
      <c r="H330" s="1">
        <v>45476</v>
      </c>
      <c r="I330" t="s">
        <v>1563</v>
      </c>
      <c r="J330" s="8">
        <v>45490</v>
      </c>
      <c r="K330" s="1" t="s">
        <v>1479</v>
      </c>
      <c r="L330" t="s">
        <v>1562</v>
      </c>
      <c r="M330" t="s">
        <v>1564</v>
      </c>
      <c r="N330" s="2">
        <v>6567920</v>
      </c>
      <c r="O330" t="s">
        <v>1112</v>
      </c>
      <c r="P330" s="6" t="s">
        <v>36</v>
      </c>
      <c r="Q330" t="s">
        <v>37</v>
      </c>
      <c r="R330" t="s">
        <v>240</v>
      </c>
      <c r="S330" s="9">
        <v>5960</v>
      </c>
      <c r="T330" s="9">
        <v>848</v>
      </c>
      <c r="U330" s="9">
        <v>5054080</v>
      </c>
      <c r="V330" s="6" t="s">
        <v>128</v>
      </c>
      <c r="W330" t="s">
        <v>129</v>
      </c>
      <c r="X330">
        <v>274110679</v>
      </c>
      <c r="Y330">
        <v>500801001</v>
      </c>
      <c r="Z330" s="3">
        <v>45637.568749999999</v>
      </c>
      <c r="AA330" s="6">
        <v>2024</v>
      </c>
      <c r="AB330" s="1">
        <v>45657</v>
      </c>
    </row>
    <row r="331" spans="1:28" x14ac:dyDescent="0.3">
      <c r="A331" t="s">
        <v>1561</v>
      </c>
      <c r="B331" s="6" t="s">
        <v>418</v>
      </c>
      <c r="C331" s="6" t="s">
        <v>148</v>
      </c>
      <c r="D331">
        <v>274157821</v>
      </c>
      <c r="E331">
        <v>27401001</v>
      </c>
      <c r="F331" t="s">
        <v>52</v>
      </c>
      <c r="G331" t="s">
        <v>1562</v>
      </c>
      <c r="H331" s="1">
        <v>45476</v>
      </c>
      <c r="I331" t="s">
        <v>1563</v>
      </c>
      <c r="J331" s="8">
        <v>45490</v>
      </c>
      <c r="K331" s="1" t="s">
        <v>1479</v>
      </c>
      <c r="L331" t="s">
        <v>1562</v>
      </c>
      <c r="M331" t="s">
        <v>1564</v>
      </c>
      <c r="N331" s="2">
        <v>6567920</v>
      </c>
      <c r="O331" t="s">
        <v>1565</v>
      </c>
      <c r="P331" s="6" t="s">
        <v>36</v>
      </c>
      <c r="Q331" t="s">
        <v>37</v>
      </c>
      <c r="R331" t="s">
        <v>240</v>
      </c>
      <c r="S331" s="9">
        <v>5960</v>
      </c>
      <c r="T331" s="9">
        <v>254</v>
      </c>
      <c r="U331" s="9">
        <v>1513840</v>
      </c>
      <c r="V331" s="6" t="s">
        <v>128</v>
      </c>
      <c r="W331" t="s">
        <v>129</v>
      </c>
      <c r="X331">
        <v>274110679</v>
      </c>
      <c r="Y331">
        <v>500801001</v>
      </c>
      <c r="Z331" s="3">
        <v>45637.568749999999</v>
      </c>
      <c r="AA331" s="6">
        <v>2024</v>
      </c>
      <c r="AB331" s="1">
        <v>45657</v>
      </c>
    </row>
    <row r="332" spans="1:28" x14ac:dyDescent="0.3">
      <c r="A332" t="s">
        <v>1566</v>
      </c>
      <c r="B332" s="6" t="s">
        <v>746</v>
      </c>
      <c r="C332" s="6" t="s">
        <v>122</v>
      </c>
      <c r="D332">
        <v>5408100138</v>
      </c>
      <c r="E332">
        <v>540843001</v>
      </c>
      <c r="F332" t="s">
        <v>94</v>
      </c>
      <c r="G332" t="s">
        <v>1567</v>
      </c>
      <c r="H332" s="1">
        <v>45489</v>
      </c>
      <c r="J332" s="8">
        <v>45492</v>
      </c>
      <c r="K332" s="1" t="s">
        <v>1479</v>
      </c>
      <c r="L332" t="s">
        <v>1567</v>
      </c>
      <c r="M332" t="s">
        <v>1568</v>
      </c>
      <c r="N332" s="2">
        <v>560181</v>
      </c>
      <c r="O332" t="s">
        <v>377</v>
      </c>
      <c r="P332" s="6" t="s">
        <v>464</v>
      </c>
      <c r="Q332" t="s">
        <v>37</v>
      </c>
      <c r="R332" t="s">
        <v>38</v>
      </c>
      <c r="S332" s="9">
        <v>28009.05</v>
      </c>
      <c r="T332" s="9">
        <v>20</v>
      </c>
      <c r="U332" s="9">
        <v>560181</v>
      </c>
      <c r="V332" s="6" t="s">
        <v>1569</v>
      </c>
      <c r="W332" t="s">
        <v>1570</v>
      </c>
      <c r="X332">
        <v>5445015258</v>
      </c>
      <c r="Y332">
        <v>544501001</v>
      </c>
      <c r="Z332" s="3">
        <v>45526.272222222222</v>
      </c>
      <c r="AA332" s="6">
        <v>2024</v>
      </c>
      <c r="AB332" s="1">
        <v>45687</v>
      </c>
    </row>
    <row r="333" spans="1:28" x14ac:dyDescent="0.3">
      <c r="A333" t="s">
        <v>1571</v>
      </c>
      <c r="B333" s="6" t="s">
        <v>509</v>
      </c>
      <c r="C333" s="6" t="s">
        <v>395</v>
      </c>
      <c r="D333">
        <v>7202161807</v>
      </c>
      <c r="E333">
        <v>720301001</v>
      </c>
      <c r="F333" t="s">
        <v>52</v>
      </c>
      <c r="G333" t="s">
        <v>1572</v>
      </c>
      <c r="H333" s="1">
        <v>45483</v>
      </c>
      <c r="J333" s="8">
        <v>45495</v>
      </c>
      <c r="K333" s="1" t="s">
        <v>1479</v>
      </c>
      <c r="L333" t="s">
        <v>1573</v>
      </c>
      <c r="M333" t="s">
        <v>1574</v>
      </c>
      <c r="N333" s="2">
        <v>275000</v>
      </c>
      <c r="O333" t="s">
        <v>273</v>
      </c>
      <c r="P333" s="6" t="s">
        <v>36</v>
      </c>
      <c r="Q333" t="s">
        <v>37</v>
      </c>
      <c r="R333" t="s">
        <v>240</v>
      </c>
      <c r="S333" s="9">
        <v>5500</v>
      </c>
      <c r="T333" s="9">
        <v>50</v>
      </c>
      <c r="U333" s="9">
        <v>275000</v>
      </c>
      <c r="V333" s="6" t="s">
        <v>401</v>
      </c>
      <c r="W333" t="s">
        <v>402</v>
      </c>
      <c r="X333">
        <v>720208302235</v>
      </c>
      <c r="Z333" s="3">
        <v>45611.37777777778</v>
      </c>
      <c r="AA333" s="6">
        <v>2024</v>
      </c>
      <c r="AB333" s="1">
        <v>45654</v>
      </c>
    </row>
    <row r="334" spans="1:28" x14ac:dyDescent="0.3">
      <c r="A334" t="s">
        <v>1575</v>
      </c>
      <c r="B334" s="6" t="s">
        <v>83</v>
      </c>
      <c r="C334" s="6" t="s">
        <v>84</v>
      </c>
      <c r="D334">
        <v>3666031335</v>
      </c>
      <c r="E334">
        <v>366601001</v>
      </c>
      <c r="F334" t="s">
        <v>52</v>
      </c>
      <c r="G334" t="s">
        <v>1576</v>
      </c>
      <c r="H334" s="1">
        <v>45484</v>
      </c>
      <c r="I334" t="s">
        <v>1577</v>
      </c>
      <c r="J334" s="8">
        <v>45495</v>
      </c>
      <c r="K334" s="1" t="s">
        <v>1479</v>
      </c>
      <c r="L334" t="s">
        <v>1578</v>
      </c>
      <c r="M334" t="s">
        <v>1579</v>
      </c>
      <c r="N334" s="2">
        <v>2002000</v>
      </c>
      <c r="O334" t="s">
        <v>377</v>
      </c>
      <c r="P334" s="6" t="s">
        <v>891</v>
      </c>
      <c r="Q334" t="s">
        <v>37</v>
      </c>
      <c r="R334" t="s">
        <v>38</v>
      </c>
      <c r="S334" s="9">
        <v>5720</v>
      </c>
      <c r="T334" s="9">
        <v>350</v>
      </c>
      <c r="U334" s="9">
        <v>2002000</v>
      </c>
      <c r="V334" s="6" t="s">
        <v>39</v>
      </c>
      <c r="W334" t="s">
        <v>40</v>
      </c>
      <c r="X334">
        <v>7810687137</v>
      </c>
      <c r="Y334">
        <v>781401001</v>
      </c>
      <c r="Z334" s="3">
        <v>45530.467361111114</v>
      </c>
      <c r="AA334" s="6">
        <v>2024</v>
      </c>
      <c r="AB334" s="1">
        <v>45657</v>
      </c>
    </row>
    <row r="335" spans="1:28" x14ac:dyDescent="0.3">
      <c r="A335" t="s">
        <v>1580</v>
      </c>
      <c r="B335" s="6" t="s">
        <v>1581</v>
      </c>
      <c r="C335" s="6" t="s">
        <v>221</v>
      </c>
      <c r="D335">
        <v>7725093735</v>
      </c>
      <c r="E335">
        <v>502901001</v>
      </c>
      <c r="F335" t="s">
        <v>94</v>
      </c>
      <c r="G335" t="s">
        <v>1582</v>
      </c>
      <c r="H335" s="1">
        <v>45495</v>
      </c>
      <c r="J335" s="8">
        <v>45498</v>
      </c>
      <c r="K335" s="1" t="s">
        <v>1479</v>
      </c>
      <c r="L335">
        <v>24000096</v>
      </c>
      <c r="M335" t="s">
        <v>1583</v>
      </c>
      <c r="N335" s="2">
        <v>220000</v>
      </c>
      <c r="O335" t="s">
        <v>440</v>
      </c>
      <c r="P335" s="6" t="s">
        <v>36</v>
      </c>
      <c r="Q335" t="s">
        <v>37</v>
      </c>
      <c r="R335" t="s">
        <v>240</v>
      </c>
      <c r="S335" s="9">
        <v>5500</v>
      </c>
      <c r="T335" s="9">
        <v>40</v>
      </c>
      <c r="U335" s="9">
        <v>220000</v>
      </c>
      <c r="V335" s="6" t="s">
        <v>111</v>
      </c>
      <c r="W335" t="s">
        <v>59</v>
      </c>
      <c r="X335">
        <v>5262258091</v>
      </c>
      <c r="Y335">
        <v>526201001</v>
      </c>
      <c r="Z335" s="3">
        <v>45540.680555555555</v>
      </c>
      <c r="AA335" s="6">
        <v>2024</v>
      </c>
      <c r="AB335" s="1">
        <v>45688</v>
      </c>
    </row>
    <row r="336" spans="1:28" x14ac:dyDescent="0.3">
      <c r="A336" s="4" t="s">
        <v>1584</v>
      </c>
      <c r="B336" s="6" t="s">
        <v>276</v>
      </c>
      <c r="C336" s="6" t="s">
        <v>277</v>
      </c>
      <c r="D336">
        <v>9102012869</v>
      </c>
      <c r="E336">
        <v>910201001</v>
      </c>
      <c r="F336" t="s">
        <v>52</v>
      </c>
      <c r="G336" t="s">
        <v>1585</v>
      </c>
      <c r="H336" s="1">
        <v>45488</v>
      </c>
      <c r="I336" t="s">
        <v>1586</v>
      </c>
      <c r="J336" s="8">
        <v>45499</v>
      </c>
      <c r="K336" s="1" t="s">
        <v>1479</v>
      </c>
      <c r="L336" t="s">
        <v>1587</v>
      </c>
      <c r="M336" t="s">
        <v>1588</v>
      </c>
      <c r="N336" s="2">
        <v>58090000</v>
      </c>
      <c r="O336" t="s">
        <v>377</v>
      </c>
      <c r="P336" s="6" t="s">
        <v>891</v>
      </c>
      <c r="Q336" t="s">
        <v>37</v>
      </c>
      <c r="R336" t="s">
        <v>38</v>
      </c>
      <c r="S336" s="9">
        <v>5809</v>
      </c>
      <c r="T336" s="9">
        <v>10000</v>
      </c>
      <c r="U336" s="9">
        <v>58090000</v>
      </c>
      <c r="V336" s="6" t="s">
        <v>1497</v>
      </c>
      <c r="W336" t="s">
        <v>1269</v>
      </c>
      <c r="X336">
        <v>234606565699</v>
      </c>
      <c r="Z336" s="3">
        <v>45566.524305555555</v>
      </c>
      <c r="AA336" s="6">
        <v>2024</v>
      </c>
      <c r="AB336" s="1">
        <v>45656</v>
      </c>
    </row>
    <row r="337" spans="1:28" x14ac:dyDescent="0.3">
      <c r="A337" t="s">
        <v>1589</v>
      </c>
      <c r="B337" s="6" t="s">
        <v>121</v>
      </c>
      <c r="C337" s="6" t="s">
        <v>122</v>
      </c>
      <c r="D337">
        <v>5402155123</v>
      </c>
      <c r="E337">
        <v>540201001</v>
      </c>
      <c r="F337" t="s">
        <v>52</v>
      </c>
      <c r="G337" t="s">
        <v>1590</v>
      </c>
      <c r="H337" s="1">
        <v>45488</v>
      </c>
      <c r="I337" t="s">
        <v>1591</v>
      </c>
      <c r="J337" s="8">
        <v>45499</v>
      </c>
      <c r="K337" s="1" t="s">
        <v>1479</v>
      </c>
      <c r="L337" t="s">
        <v>1592</v>
      </c>
      <c r="M337" t="s">
        <v>1593</v>
      </c>
      <c r="N337" s="2">
        <v>8147320</v>
      </c>
      <c r="O337" t="s">
        <v>440</v>
      </c>
      <c r="P337" s="6" t="s">
        <v>36</v>
      </c>
      <c r="Q337" t="s">
        <v>37</v>
      </c>
      <c r="R337" t="s">
        <v>240</v>
      </c>
      <c r="S337" s="9">
        <v>5960</v>
      </c>
      <c r="T337" s="9">
        <v>1367</v>
      </c>
      <c r="U337" s="9">
        <v>8147320</v>
      </c>
      <c r="V337" s="6" t="s">
        <v>1594</v>
      </c>
      <c r="W337" t="s">
        <v>59</v>
      </c>
      <c r="X337">
        <v>7716871971</v>
      </c>
      <c r="Y337">
        <v>773501001</v>
      </c>
      <c r="Z337" s="3">
        <v>45579.177777777775</v>
      </c>
      <c r="AA337" s="6">
        <v>2024</v>
      </c>
      <c r="AB337" s="1">
        <v>45656</v>
      </c>
    </row>
    <row r="338" spans="1:28" x14ac:dyDescent="0.3">
      <c r="A338" t="s">
        <v>1595</v>
      </c>
      <c r="B338" s="6" t="s">
        <v>1596</v>
      </c>
      <c r="C338" s="6" t="s">
        <v>285</v>
      </c>
      <c r="D338">
        <v>3325008103</v>
      </c>
      <c r="E338">
        <v>332501001</v>
      </c>
      <c r="F338" t="s">
        <v>52</v>
      </c>
      <c r="G338" t="s">
        <v>1597</v>
      </c>
      <c r="H338" s="1">
        <v>45484</v>
      </c>
      <c r="I338" t="s">
        <v>1598</v>
      </c>
      <c r="J338" s="8">
        <v>45499</v>
      </c>
      <c r="K338" s="1" t="s">
        <v>1479</v>
      </c>
      <c r="L338" t="s">
        <v>1597</v>
      </c>
      <c r="M338" t="s">
        <v>1599</v>
      </c>
      <c r="N338" s="2">
        <v>42126643</v>
      </c>
      <c r="O338" t="s">
        <v>440</v>
      </c>
      <c r="P338" s="6" t="s">
        <v>36</v>
      </c>
      <c r="Q338" t="s">
        <v>37</v>
      </c>
      <c r="R338" t="s">
        <v>240</v>
      </c>
      <c r="S338" s="9">
        <v>5933.33</v>
      </c>
      <c r="T338" s="9">
        <v>7100</v>
      </c>
      <c r="U338" s="9">
        <v>42126643</v>
      </c>
      <c r="V338" s="6" t="s">
        <v>128</v>
      </c>
      <c r="W338" t="s">
        <v>129</v>
      </c>
      <c r="X338">
        <v>274110679</v>
      </c>
      <c r="Y338">
        <v>500801001</v>
      </c>
      <c r="Z338" s="3">
        <v>45519.601388888892</v>
      </c>
      <c r="AA338" s="6">
        <v>2024</v>
      </c>
      <c r="AB338" s="1">
        <v>45551</v>
      </c>
    </row>
    <row r="339" spans="1:28" x14ac:dyDescent="0.3">
      <c r="A339" t="s">
        <v>1600</v>
      </c>
      <c r="B339" s="6" t="s">
        <v>212</v>
      </c>
      <c r="C339" s="6" t="s">
        <v>213</v>
      </c>
      <c r="D339">
        <v>1659013660</v>
      </c>
      <c r="E339">
        <v>165901001</v>
      </c>
      <c r="F339" t="s">
        <v>52</v>
      </c>
      <c r="G339" t="s">
        <v>1601</v>
      </c>
      <c r="H339" s="1">
        <v>45489</v>
      </c>
      <c r="I339" t="s">
        <v>1602</v>
      </c>
      <c r="J339" s="8">
        <v>45502</v>
      </c>
      <c r="K339" s="1" t="s">
        <v>1479</v>
      </c>
      <c r="L339" t="s">
        <v>1603</v>
      </c>
      <c r="M339" t="s">
        <v>1604</v>
      </c>
      <c r="N339" s="2">
        <v>41905.22</v>
      </c>
      <c r="O339" t="s">
        <v>440</v>
      </c>
      <c r="P339" s="6" t="s">
        <v>36</v>
      </c>
      <c r="Q339" t="s">
        <v>37</v>
      </c>
      <c r="R339" t="s">
        <v>240</v>
      </c>
      <c r="S339" s="9">
        <v>5986.46</v>
      </c>
      <c r="T339" s="9">
        <v>7</v>
      </c>
      <c r="U339" s="9">
        <v>41905.22</v>
      </c>
      <c r="V339" s="6" t="s">
        <v>111</v>
      </c>
      <c r="W339" t="s">
        <v>59</v>
      </c>
      <c r="X339">
        <v>5262258091</v>
      </c>
      <c r="Y339">
        <v>526201001</v>
      </c>
      <c r="Z339" s="3">
        <v>45616.431250000001</v>
      </c>
      <c r="AA339" s="6">
        <v>2024</v>
      </c>
      <c r="AB339" s="1">
        <v>45657</v>
      </c>
    </row>
    <row r="340" spans="1:28" x14ac:dyDescent="0.3">
      <c r="A340" t="s">
        <v>1605</v>
      </c>
      <c r="B340" s="6" t="s">
        <v>361</v>
      </c>
      <c r="C340" s="6" t="s">
        <v>164</v>
      </c>
      <c r="D340">
        <v>7714338609</v>
      </c>
      <c r="E340">
        <v>771401001</v>
      </c>
      <c r="F340" t="s">
        <v>52</v>
      </c>
      <c r="G340" t="s">
        <v>1606</v>
      </c>
      <c r="H340" s="1">
        <v>45490</v>
      </c>
      <c r="I340" t="s">
        <v>1607</v>
      </c>
      <c r="J340" s="8">
        <v>45502</v>
      </c>
      <c r="K340" s="1" t="s">
        <v>1479</v>
      </c>
      <c r="L340" t="s">
        <v>1608</v>
      </c>
      <c r="M340" t="s">
        <v>1609</v>
      </c>
      <c r="N340" s="2">
        <v>6625000</v>
      </c>
      <c r="O340" t="s">
        <v>1610</v>
      </c>
      <c r="P340" s="6" t="s">
        <v>891</v>
      </c>
      <c r="Q340" t="s">
        <v>37</v>
      </c>
      <c r="R340" t="s">
        <v>1611</v>
      </c>
      <c r="S340" s="9">
        <v>5300</v>
      </c>
      <c r="T340" s="9">
        <f>U340/S340</f>
        <v>1250</v>
      </c>
      <c r="U340" s="9">
        <v>6625000</v>
      </c>
      <c r="V340" s="6" t="s">
        <v>1612</v>
      </c>
      <c r="W340" t="s">
        <v>1613</v>
      </c>
      <c r="X340">
        <v>9727026181</v>
      </c>
      <c r="Y340">
        <v>770601001</v>
      </c>
      <c r="Z340" s="3">
        <v>45622.446527777778</v>
      </c>
      <c r="AA340" s="6">
        <v>2024</v>
      </c>
      <c r="AB340" s="1">
        <v>45657</v>
      </c>
    </row>
    <row r="341" spans="1:28" x14ac:dyDescent="0.3">
      <c r="A341" t="s">
        <v>1614</v>
      </c>
      <c r="B341" s="6" t="s">
        <v>1615</v>
      </c>
      <c r="C341" s="6" t="s">
        <v>198</v>
      </c>
      <c r="D341">
        <v>1001334128</v>
      </c>
      <c r="E341">
        <v>100101001</v>
      </c>
      <c r="F341" t="s">
        <v>52</v>
      </c>
      <c r="G341" t="s">
        <v>1616</v>
      </c>
      <c r="H341" s="1">
        <v>45492</v>
      </c>
      <c r="I341" t="s">
        <v>1617</v>
      </c>
      <c r="J341" s="8">
        <v>45503</v>
      </c>
      <c r="K341" s="1" t="s">
        <v>1479</v>
      </c>
      <c r="L341" t="s">
        <v>1618</v>
      </c>
      <c r="M341" t="s">
        <v>1619</v>
      </c>
      <c r="N341" s="2">
        <v>936300</v>
      </c>
      <c r="O341" t="s">
        <v>440</v>
      </c>
      <c r="P341" s="6" t="s">
        <v>36</v>
      </c>
      <c r="Q341" t="s">
        <v>37</v>
      </c>
      <c r="R341" t="s">
        <v>240</v>
      </c>
      <c r="S341" s="9">
        <v>6242</v>
      </c>
      <c r="T341" s="9">
        <v>75</v>
      </c>
      <c r="U341" s="9">
        <v>468150</v>
      </c>
      <c r="V341" s="6" t="s">
        <v>39</v>
      </c>
      <c r="W341" t="s">
        <v>40</v>
      </c>
      <c r="X341">
        <v>7810687137</v>
      </c>
      <c r="Y341">
        <v>781401001</v>
      </c>
      <c r="Z341" s="3">
        <v>45654.599305555559</v>
      </c>
      <c r="AA341" s="6">
        <v>2024</v>
      </c>
      <c r="AB341" s="1">
        <v>45688</v>
      </c>
    </row>
    <row r="342" spans="1:28" x14ac:dyDescent="0.3">
      <c r="A342" t="s">
        <v>1614</v>
      </c>
      <c r="B342" s="6" t="s">
        <v>1615</v>
      </c>
      <c r="C342" s="6" t="s">
        <v>198</v>
      </c>
      <c r="D342">
        <v>1001334128</v>
      </c>
      <c r="E342">
        <v>100101001</v>
      </c>
      <c r="F342" t="s">
        <v>52</v>
      </c>
      <c r="G342" t="s">
        <v>1616</v>
      </c>
      <c r="H342" s="1">
        <v>45492</v>
      </c>
      <c r="I342" t="s">
        <v>1617</v>
      </c>
      <c r="J342" s="8">
        <v>45503</v>
      </c>
      <c r="K342" s="1" t="s">
        <v>1479</v>
      </c>
      <c r="L342" t="s">
        <v>1618</v>
      </c>
      <c r="M342" t="s">
        <v>1619</v>
      </c>
      <c r="N342" s="2">
        <v>936300</v>
      </c>
      <c r="O342" t="s">
        <v>440</v>
      </c>
      <c r="P342" s="6" t="s">
        <v>36</v>
      </c>
      <c r="Q342" t="s">
        <v>37</v>
      </c>
      <c r="R342" t="s">
        <v>240</v>
      </c>
      <c r="S342" s="9">
        <v>6242</v>
      </c>
      <c r="T342" s="9">
        <v>75</v>
      </c>
      <c r="U342" s="9">
        <v>468150</v>
      </c>
      <c r="V342" s="6" t="s">
        <v>39</v>
      </c>
      <c r="W342" t="s">
        <v>40</v>
      </c>
      <c r="X342">
        <v>7810687137</v>
      </c>
      <c r="Y342">
        <v>781401001</v>
      </c>
      <c r="Z342" s="3">
        <v>45654.599305555559</v>
      </c>
      <c r="AA342" s="6">
        <v>2024</v>
      </c>
      <c r="AB342" s="1">
        <v>45688</v>
      </c>
    </row>
    <row r="343" spans="1:28" x14ac:dyDescent="0.3">
      <c r="A343" t="s">
        <v>1620</v>
      </c>
      <c r="B343" s="6" t="s">
        <v>609</v>
      </c>
      <c r="C343" s="6" t="s">
        <v>270</v>
      </c>
      <c r="D343">
        <v>1833002854</v>
      </c>
      <c r="E343">
        <v>184001001</v>
      </c>
      <c r="F343" t="s">
        <v>52</v>
      </c>
      <c r="G343" t="s">
        <v>1621</v>
      </c>
      <c r="H343" s="1">
        <v>45492</v>
      </c>
      <c r="J343" s="8">
        <v>45504</v>
      </c>
      <c r="K343" s="1" t="s">
        <v>1479</v>
      </c>
      <c r="L343" t="s">
        <v>1621</v>
      </c>
      <c r="M343" t="s">
        <v>1622</v>
      </c>
      <c r="N343" s="2">
        <v>56164.95</v>
      </c>
      <c r="O343" t="s">
        <v>273</v>
      </c>
      <c r="P343" s="6" t="s">
        <v>36</v>
      </c>
      <c r="Q343" t="s">
        <v>37</v>
      </c>
      <c r="R343" t="s">
        <v>240</v>
      </c>
      <c r="S343" s="9">
        <v>5616.5</v>
      </c>
      <c r="T343" s="9">
        <v>10</v>
      </c>
      <c r="U343" s="9">
        <v>56164.95</v>
      </c>
      <c r="V343" s="6" t="s">
        <v>170</v>
      </c>
      <c r="W343" t="s">
        <v>171</v>
      </c>
      <c r="X343">
        <v>540231059610</v>
      </c>
      <c r="Z343" s="3">
        <v>45583.51458333333</v>
      </c>
      <c r="AA343" s="6">
        <v>2024</v>
      </c>
      <c r="AB343" s="1">
        <v>45657</v>
      </c>
    </row>
    <row r="344" spans="1:28" x14ac:dyDescent="0.3">
      <c r="A344" t="s">
        <v>1623</v>
      </c>
      <c r="B344" s="6" t="s">
        <v>50</v>
      </c>
      <c r="C344" s="6" t="s">
        <v>51</v>
      </c>
      <c r="D344">
        <v>6832024766</v>
      </c>
      <c r="E344">
        <v>682901001</v>
      </c>
      <c r="F344" t="s">
        <v>52</v>
      </c>
      <c r="G344" t="s">
        <v>1624</v>
      </c>
      <c r="H344" s="1">
        <v>45492</v>
      </c>
      <c r="J344" s="8">
        <v>45505</v>
      </c>
      <c r="K344" s="1" t="s">
        <v>1479</v>
      </c>
      <c r="L344" t="s">
        <v>1625</v>
      </c>
      <c r="M344" t="s">
        <v>1626</v>
      </c>
      <c r="N344" s="2">
        <v>760266</v>
      </c>
      <c r="O344" t="s">
        <v>1251</v>
      </c>
      <c r="P344" s="6" t="s">
        <v>891</v>
      </c>
      <c r="Q344" t="s">
        <v>37</v>
      </c>
      <c r="R344" t="s">
        <v>38</v>
      </c>
      <c r="S344" s="9">
        <v>5001.75</v>
      </c>
      <c r="T344" s="9">
        <v>152</v>
      </c>
      <c r="U344" s="9">
        <v>760266</v>
      </c>
      <c r="V344" s="6" t="s">
        <v>39</v>
      </c>
      <c r="W344" t="s">
        <v>40</v>
      </c>
      <c r="X344">
        <v>7810687137</v>
      </c>
      <c r="Y344">
        <v>781401001</v>
      </c>
      <c r="Z344" s="3">
        <v>45630.584027777775</v>
      </c>
      <c r="AA344" s="6">
        <v>2024</v>
      </c>
      <c r="AB344" s="1">
        <v>45590</v>
      </c>
    </row>
    <row r="345" spans="1:28" x14ac:dyDescent="0.3">
      <c r="A345" t="s">
        <v>1627</v>
      </c>
      <c r="B345" s="6" t="s">
        <v>121</v>
      </c>
      <c r="C345" s="6" t="s">
        <v>122</v>
      </c>
      <c r="D345">
        <v>5402155123</v>
      </c>
      <c r="E345">
        <v>540201001</v>
      </c>
      <c r="F345" t="s">
        <v>52</v>
      </c>
      <c r="G345" t="s">
        <v>1628</v>
      </c>
      <c r="H345" s="1">
        <v>45495</v>
      </c>
      <c r="I345" t="s">
        <v>1629</v>
      </c>
      <c r="J345" s="8">
        <v>45506</v>
      </c>
      <c r="K345" s="1" t="s">
        <v>1479</v>
      </c>
      <c r="L345" t="s">
        <v>1630</v>
      </c>
      <c r="M345" t="s">
        <v>1631</v>
      </c>
      <c r="N345" s="2">
        <v>16520000</v>
      </c>
      <c r="O345" t="s">
        <v>440</v>
      </c>
      <c r="P345" s="6" t="s">
        <v>36</v>
      </c>
      <c r="Q345" t="s">
        <v>37</v>
      </c>
      <c r="R345" t="s">
        <v>240</v>
      </c>
      <c r="S345" s="9">
        <v>5900</v>
      </c>
      <c r="T345" s="9">
        <v>1400</v>
      </c>
      <c r="U345" s="9">
        <v>8260000</v>
      </c>
      <c r="V345" s="6" t="s">
        <v>1594</v>
      </c>
      <c r="W345" t="s">
        <v>59</v>
      </c>
      <c r="X345">
        <v>7716871971</v>
      </c>
      <c r="Y345">
        <v>773501001</v>
      </c>
      <c r="Z345" s="3">
        <v>45576.223611111112</v>
      </c>
      <c r="AA345" s="6">
        <v>2024</v>
      </c>
      <c r="AB345" s="1">
        <v>45656</v>
      </c>
    </row>
    <row r="346" spans="1:28" x14ac:dyDescent="0.3">
      <c r="A346" t="s">
        <v>1627</v>
      </c>
      <c r="B346" s="6" t="s">
        <v>121</v>
      </c>
      <c r="C346" s="6" t="s">
        <v>122</v>
      </c>
      <c r="D346">
        <v>5402155123</v>
      </c>
      <c r="E346">
        <v>540201001</v>
      </c>
      <c r="F346" t="s">
        <v>52</v>
      </c>
      <c r="G346" t="s">
        <v>1628</v>
      </c>
      <c r="H346" s="1">
        <v>45495</v>
      </c>
      <c r="I346" t="s">
        <v>1629</v>
      </c>
      <c r="J346" s="8">
        <v>45506</v>
      </c>
      <c r="K346" s="1" t="s">
        <v>1479</v>
      </c>
      <c r="L346" t="s">
        <v>1630</v>
      </c>
      <c r="M346" t="s">
        <v>1631</v>
      </c>
      <c r="N346" s="2">
        <v>16520000</v>
      </c>
      <c r="O346" t="s">
        <v>440</v>
      </c>
      <c r="P346" s="6" t="s">
        <v>36</v>
      </c>
      <c r="Q346" t="s">
        <v>37</v>
      </c>
      <c r="R346" t="s">
        <v>240</v>
      </c>
      <c r="S346" s="9">
        <v>5900</v>
      </c>
      <c r="T346" s="9">
        <v>1400</v>
      </c>
      <c r="U346" s="9">
        <v>8260000</v>
      </c>
      <c r="V346" s="6" t="s">
        <v>1594</v>
      </c>
      <c r="W346" t="s">
        <v>59</v>
      </c>
      <c r="X346">
        <v>7716871971</v>
      </c>
      <c r="Y346">
        <v>773501001</v>
      </c>
      <c r="Z346" s="3">
        <v>45576.223611111112</v>
      </c>
      <c r="AA346" s="6">
        <v>2024</v>
      </c>
      <c r="AB346" s="1">
        <v>45656</v>
      </c>
    </row>
    <row r="347" spans="1:28" x14ac:dyDescent="0.3">
      <c r="A347" t="s">
        <v>1632</v>
      </c>
      <c r="B347" s="6" t="s">
        <v>1525</v>
      </c>
      <c r="C347" s="6" t="s">
        <v>164</v>
      </c>
      <c r="D347">
        <v>7734091519</v>
      </c>
      <c r="E347">
        <v>773401001</v>
      </c>
      <c r="F347" t="s">
        <v>52</v>
      </c>
      <c r="G347" t="s">
        <v>1633</v>
      </c>
      <c r="H347" s="1">
        <v>45498</v>
      </c>
      <c r="J347" s="8">
        <v>45509</v>
      </c>
      <c r="K347" s="1" t="s">
        <v>1479</v>
      </c>
      <c r="L347" t="s">
        <v>1634</v>
      </c>
      <c r="M347" t="s">
        <v>1528</v>
      </c>
      <c r="N347" s="2">
        <v>358999.8</v>
      </c>
      <c r="O347" t="s">
        <v>273</v>
      </c>
      <c r="P347" s="6" t="s">
        <v>36</v>
      </c>
      <c r="Q347" t="s">
        <v>37</v>
      </c>
      <c r="R347" t="s">
        <v>240</v>
      </c>
      <c r="S347" s="9">
        <v>5983.33</v>
      </c>
      <c r="T347" s="9">
        <v>60</v>
      </c>
      <c r="U347" s="9">
        <v>358999.8</v>
      </c>
      <c r="V347" s="6" t="s">
        <v>1635</v>
      </c>
      <c r="W347" t="s">
        <v>129</v>
      </c>
      <c r="X347">
        <v>7721754712</v>
      </c>
      <c r="Y347">
        <v>502701001</v>
      </c>
      <c r="Z347" s="3">
        <v>45555.602083333331</v>
      </c>
      <c r="AA347" s="6">
        <v>2024</v>
      </c>
      <c r="AB347" s="1">
        <v>45740</v>
      </c>
    </row>
    <row r="348" spans="1:28" x14ac:dyDescent="0.3">
      <c r="A348" t="s">
        <v>1636</v>
      </c>
      <c r="B348" s="6" t="s">
        <v>1637</v>
      </c>
      <c r="C348" s="6" t="s">
        <v>122</v>
      </c>
      <c r="D348">
        <v>5403106150</v>
      </c>
      <c r="E348">
        <v>540301001</v>
      </c>
      <c r="F348" t="s">
        <v>52</v>
      </c>
      <c r="G348" t="s">
        <v>1638</v>
      </c>
      <c r="H348" s="1">
        <v>45498</v>
      </c>
      <c r="J348" s="8">
        <v>45511</v>
      </c>
      <c r="K348" s="1" t="s">
        <v>1479</v>
      </c>
      <c r="L348" t="s">
        <v>1639</v>
      </c>
      <c r="M348" t="s">
        <v>179</v>
      </c>
      <c r="N348" s="2">
        <v>240253.32</v>
      </c>
      <c r="O348" t="s">
        <v>273</v>
      </c>
      <c r="P348" s="6" t="s">
        <v>464</v>
      </c>
      <c r="Q348" t="s">
        <v>37</v>
      </c>
      <c r="R348" t="s">
        <v>240</v>
      </c>
      <c r="S348" s="9">
        <v>5850</v>
      </c>
      <c r="T348" s="9">
        <v>40</v>
      </c>
      <c r="U348" s="9">
        <v>234000</v>
      </c>
      <c r="V348" s="6" t="s">
        <v>1183</v>
      </c>
      <c r="W348" t="s">
        <v>1184</v>
      </c>
      <c r="X348">
        <v>6678119558</v>
      </c>
      <c r="Y348">
        <v>667801001</v>
      </c>
      <c r="Z348" s="3">
        <v>45568.160416666666</v>
      </c>
      <c r="AA348" s="6">
        <v>2024</v>
      </c>
      <c r="AB348" s="1">
        <v>45716</v>
      </c>
    </row>
    <row r="349" spans="1:28" x14ac:dyDescent="0.3">
      <c r="A349" t="s">
        <v>1640</v>
      </c>
      <c r="B349" s="6" t="s">
        <v>796</v>
      </c>
      <c r="C349" s="6" t="s">
        <v>69</v>
      </c>
      <c r="D349">
        <v>8901007006</v>
      </c>
      <c r="E349">
        <v>890101001</v>
      </c>
      <c r="F349" t="s">
        <v>52</v>
      </c>
      <c r="G349" t="s">
        <v>1641</v>
      </c>
      <c r="H349" s="1">
        <v>45502</v>
      </c>
      <c r="I349" t="s">
        <v>1642</v>
      </c>
      <c r="J349" s="8">
        <v>45513</v>
      </c>
      <c r="K349" s="1" t="s">
        <v>1479</v>
      </c>
      <c r="L349" t="s">
        <v>1643</v>
      </c>
      <c r="M349" t="s">
        <v>339</v>
      </c>
      <c r="N349" s="2">
        <v>137500</v>
      </c>
      <c r="O349" t="s">
        <v>273</v>
      </c>
      <c r="P349" s="6" t="s">
        <v>36</v>
      </c>
      <c r="Q349" t="s">
        <v>37</v>
      </c>
      <c r="R349" t="s">
        <v>240</v>
      </c>
      <c r="S349" s="9">
        <v>5500</v>
      </c>
      <c r="T349" s="9">
        <v>25</v>
      </c>
      <c r="U349" s="9">
        <v>137500</v>
      </c>
      <c r="V349" s="6" t="s">
        <v>401</v>
      </c>
      <c r="W349" t="s">
        <v>402</v>
      </c>
      <c r="X349">
        <v>720208302235</v>
      </c>
      <c r="Z349" s="3">
        <v>45610.318055555559</v>
      </c>
      <c r="AA349" s="6">
        <v>2024</v>
      </c>
      <c r="AB349" s="1">
        <v>45680</v>
      </c>
    </row>
    <row r="350" spans="1:28" x14ac:dyDescent="0.3">
      <c r="A350" t="s">
        <v>1644</v>
      </c>
      <c r="B350" s="6" t="s">
        <v>1645</v>
      </c>
      <c r="C350" s="6" t="s">
        <v>1257</v>
      </c>
      <c r="D350">
        <v>606007910</v>
      </c>
      <c r="E350">
        <v>60601001</v>
      </c>
      <c r="F350" t="s">
        <v>52</v>
      </c>
      <c r="G350" t="s">
        <v>1646</v>
      </c>
      <c r="H350" s="1">
        <v>45495</v>
      </c>
      <c r="I350" t="s">
        <v>1647</v>
      </c>
      <c r="J350" s="8">
        <v>45513</v>
      </c>
      <c r="K350" s="1" t="s">
        <v>1479</v>
      </c>
      <c r="L350">
        <v>1405</v>
      </c>
      <c r="M350" t="s">
        <v>1648</v>
      </c>
      <c r="N350" s="2">
        <v>1900080</v>
      </c>
      <c r="O350" t="s">
        <v>440</v>
      </c>
      <c r="P350" s="6" t="s">
        <v>36</v>
      </c>
      <c r="Q350" t="s">
        <v>37</v>
      </c>
      <c r="R350" t="s">
        <v>240</v>
      </c>
      <c r="S350" s="9">
        <v>5460</v>
      </c>
      <c r="T350" s="9">
        <v>348</v>
      </c>
      <c r="U350" s="9">
        <v>1900080</v>
      </c>
      <c r="V350" s="6" t="s">
        <v>111</v>
      </c>
      <c r="W350" t="s">
        <v>59</v>
      </c>
      <c r="X350">
        <v>5262258091</v>
      </c>
      <c r="Y350">
        <v>526201001</v>
      </c>
      <c r="Z350" s="3">
        <v>45617.515277777777</v>
      </c>
      <c r="AA350" s="6">
        <v>2024</v>
      </c>
      <c r="AB350" s="1">
        <v>45544</v>
      </c>
    </row>
    <row r="351" spans="1:28" x14ac:dyDescent="0.3">
      <c r="A351" t="s">
        <v>1649</v>
      </c>
      <c r="B351" s="6" t="s">
        <v>361</v>
      </c>
      <c r="C351" s="6" t="s">
        <v>164</v>
      </c>
      <c r="D351">
        <v>7714338609</v>
      </c>
      <c r="E351">
        <v>771401001</v>
      </c>
      <c r="F351" t="s">
        <v>52</v>
      </c>
      <c r="G351" t="s">
        <v>1650</v>
      </c>
      <c r="H351" s="1">
        <v>45503</v>
      </c>
      <c r="I351" t="s">
        <v>1651</v>
      </c>
      <c r="J351" s="8">
        <v>45516</v>
      </c>
      <c r="K351" s="1" t="s">
        <v>1479</v>
      </c>
      <c r="L351" t="s">
        <v>1652</v>
      </c>
      <c r="M351" t="s">
        <v>1653</v>
      </c>
      <c r="N351" s="2">
        <v>138750000</v>
      </c>
      <c r="O351" t="s">
        <v>273</v>
      </c>
      <c r="P351" s="6" t="s">
        <v>36</v>
      </c>
      <c r="Q351" t="s">
        <v>37</v>
      </c>
      <c r="R351" t="s">
        <v>240</v>
      </c>
      <c r="S351" s="9">
        <v>5550</v>
      </c>
      <c r="T351" s="9">
        <f>U351/S351</f>
        <v>25000</v>
      </c>
      <c r="U351" s="9">
        <v>138750000</v>
      </c>
      <c r="V351" s="6" t="s">
        <v>128</v>
      </c>
      <c r="W351" t="s">
        <v>129</v>
      </c>
      <c r="X351">
        <v>274110679</v>
      </c>
      <c r="Y351">
        <v>500801001</v>
      </c>
      <c r="Z351" s="3">
        <v>45611.600694444445</v>
      </c>
      <c r="AA351" s="6">
        <v>2024</v>
      </c>
      <c r="AB351" s="1">
        <v>45657</v>
      </c>
    </row>
    <row r="352" spans="1:28" x14ac:dyDescent="0.3">
      <c r="A352" t="s">
        <v>1654</v>
      </c>
      <c r="B352" s="6" t="s">
        <v>1655</v>
      </c>
      <c r="C352" s="6" t="s">
        <v>164</v>
      </c>
      <c r="D352">
        <v>7724598966</v>
      </c>
      <c r="E352">
        <v>772401001</v>
      </c>
      <c r="F352" t="s">
        <v>52</v>
      </c>
      <c r="G352" t="s">
        <v>1656</v>
      </c>
      <c r="H352" s="1">
        <v>45503</v>
      </c>
      <c r="J352" s="8">
        <v>45516</v>
      </c>
      <c r="K352" s="1" t="s">
        <v>1479</v>
      </c>
      <c r="L352" t="s">
        <v>1656</v>
      </c>
      <c r="M352" t="s">
        <v>1657</v>
      </c>
      <c r="N352" s="2">
        <v>298860</v>
      </c>
      <c r="O352" t="s">
        <v>440</v>
      </c>
      <c r="P352" s="6" t="s">
        <v>36</v>
      </c>
      <c r="Q352" t="s">
        <v>37</v>
      </c>
      <c r="R352" t="s">
        <v>240</v>
      </c>
      <c r="S352" s="9">
        <v>5860</v>
      </c>
      <c r="T352" s="9">
        <v>51</v>
      </c>
      <c r="U352" s="9">
        <v>298860</v>
      </c>
      <c r="V352" s="6" t="s">
        <v>111</v>
      </c>
      <c r="W352" t="s">
        <v>59</v>
      </c>
      <c r="X352">
        <v>5262258091</v>
      </c>
      <c r="Y352">
        <v>526201001</v>
      </c>
      <c r="Z352" s="3">
        <v>45595.554861111108</v>
      </c>
      <c r="AA352" s="6">
        <v>2024</v>
      </c>
      <c r="AB352" s="1">
        <v>45652</v>
      </c>
    </row>
    <row r="353" spans="1:28" x14ac:dyDescent="0.3">
      <c r="A353" t="s">
        <v>1658</v>
      </c>
      <c r="B353" s="6" t="s">
        <v>602</v>
      </c>
      <c r="C353" s="6" t="s">
        <v>548</v>
      </c>
      <c r="D353">
        <v>1901130110</v>
      </c>
      <c r="E353">
        <v>190101001</v>
      </c>
      <c r="F353" t="s">
        <v>52</v>
      </c>
      <c r="G353" t="s">
        <v>1659</v>
      </c>
      <c r="H353" s="1">
        <v>45505</v>
      </c>
      <c r="J353" s="8">
        <v>45517</v>
      </c>
      <c r="K353" s="1" t="s">
        <v>1479</v>
      </c>
      <c r="L353" t="s">
        <v>1660</v>
      </c>
      <c r="M353" t="s">
        <v>896</v>
      </c>
      <c r="N353" s="2">
        <v>3604500</v>
      </c>
      <c r="O353" t="s">
        <v>440</v>
      </c>
      <c r="P353" s="6" t="s">
        <v>36</v>
      </c>
      <c r="Q353" t="s">
        <v>37</v>
      </c>
      <c r="R353" t="s">
        <v>240</v>
      </c>
      <c r="S353" s="9">
        <v>6007.5</v>
      </c>
      <c r="T353" s="9">
        <v>600</v>
      </c>
      <c r="U353" s="9">
        <v>3604500</v>
      </c>
      <c r="V353" s="6" t="s">
        <v>352</v>
      </c>
      <c r="W353" t="s">
        <v>40</v>
      </c>
      <c r="X353">
        <v>7843014747</v>
      </c>
      <c r="Y353">
        <v>781401001</v>
      </c>
      <c r="Z353" s="3">
        <v>45525.435416666667</v>
      </c>
      <c r="AA353" s="6">
        <v>2024</v>
      </c>
      <c r="AB353" s="1">
        <v>45626</v>
      </c>
    </row>
    <row r="354" spans="1:28" x14ac:dyDescent="0.3">
      <c r="A354" t="s">
        <v>156</v>
      </c>
      <c r="B354" s="6" t="s">
        <v>782</v>
      </c>
      <c r="C354" s="6" t="s">
        <v>783</v>
      </c>
      <c r="D354">
        <v>6231025123</v>
      </c>
      <c r="E354">
        <v>623401001</v>
      </c>
      <c r="F354" t="s">
        <v>94</v>
      </c>
      <c r="G354" t="s">
        <v>158</v>
      </c>
      <c r="H354" s="1">
        <v>45516</v>
      </c>
      <c r="J354" s="8">
        <v>45519</v>
      </c>
      <c r="K354" s="1" t="s">
        <v>1479</v>
      </c>
      <c r="L354" t="s">
        <v>1661</v>
      </c>
      <c r="M354" t="s">
        <v>1662</v>
      </c>
      <c r="N354" s="2">
        <v>300000</v>
      </c>
      <c r="O354" t="s">
        <v>1663</v>
      </c>
      <c r="P354" s="6" t="s">
        <v>36</v>
      </c>
      <c r="Q354" t="s">
        <v>37</v>
      </c>
      <c r="R354" t="s">
        <v>306</v>
      </c>
      <c r="S354" s="9">
        <v>6000</v>
      </c>
      <c r="T354" s="9">
        <v>50</v>
      </c>
      <c r="U354" s="9">
        <v>300000</v>
      </c>
      <c r="V354" s="6" t="s">
        <v>789</v>
      </c>
      <c r="W354" t="s">
        <v>59</v>
      </c>
      <c r="X354">
        <v>622802163475</v>
      </c>
      <c r="Z354" s="3">
        <v>45531.706944444442</v>
      </c>
      <c r="AA354" s="6">
        <v>2024</v>
      </c>
      <c r="AB354" s="1">
        <v>45565</v>
      </c>
    </row>
    <row r="355" spans="1:28" x14ac:dyDescent="0.3">
      <c r="A355" s="4" t="s">
        <v>1664</v>
      </c>
      <c r="B355" s="6" t="s">
        <v>639</v>
      </c>
      <c r="C355" s="6" t="s">
        <v>640</v>
      </c>
      <c r="D355">
        <v>6905044950</v>
      </c>
      <c r="E355">
        <v>695001001</v>
      </c>
      <c r="F355" t="s">
        <v>149</v>
      </c>
      <c r="G355" t="s">
        <v>1665</v>
      </c>
      <c r="H355" s="1">
        <v>45516</v>
      </c>
      <c r="J355" s="8">
        <v>45519</v>
      </c>
      <c r="K355" s="1" t="s">
        <v>1479</v>
      </c>
      <c r="L355" t="s">
        <v>1666</v>
      </c>
      <c r="M355" t="s">
        <v>377</v>
      </c>
      <c r="N355" s="2">
        <v>1229600</v>
      </c>
      <c r="O355" t="s">
        <v>377</v>
      </c>
      <c r="P355" s="6" t="s">
        <v>891</v>
      </c>
      <c r="Q355" t="s">
        <v>37</v>
      </c>
      <c r="R355" t="s">
        <v>38</v>
      </c>
      <c r="S355" s="9">
        <v>5800</v>
      </c>
      <c r="T355" s="9">
        <v>212</v>
      </c>
      <c r="U355" s="9">
        <v>1229600</v>
      </c>
      <c r="V355" s="6" t="s">
        <v>90</v>
      </c>
      <c r="W355" t="s">
        <v>59</v>
      </c>
      <c r="X355">
        <v>5259153331</v>
      </c>
      <c r="Y355">
        <v>525901001</v>
      </c>
      <c r="Z355" s="3">
        <v>45566.530555555553</v>
      </c>
      <c r="AA355" s="6">
        <v>2024</v>
      </c>
      <c r="AB355" s="1">
        <v>45565</v>
      </c>
    </row>
    <row r="356" spans="1:28" x14ac:dyDescent="0.3">
      <c r="A356" t="s">
        <v>1667</v>
      </c>
      <c r="B356" s="6" t="s">
        <v>1668</v>
      </c>
      <c r="C356" s="6" t="s">
        <v>43</v>
      </c>
      <c r="D356">
        <v>5612074128</v>
      </c>
      <c r="E356">
        <v>561201001</v>
      </c>
      <c r="F356" t="s">
        <v>52</v>
      </c>
      <c r="G356" t="s">
        <v>1669</v>
      </c>
      <c r="H356" s="1">
        <v>45509</v>
      </c>
      <c r="J356" s="8">
        <v>45520</v>
      </c>
      <c r="K356" s="1" t="s">
        <v>1479</v>
      </c>
      <c r="L356" t="s">
        <v>1669</v>
      </c>
      <c r="M356" t="s">
        <v>1670</v>
      </c>
      <c r="N356" s="2">
        <v>1656600</v>
      </c>
      <c r="O356" t="s">
        <v>440</v>
      </c>
      <c r="P356" s="6" t="s">
        <v>36</v>
      </c>
      <c r="Q356" t="s">
        <v>37</v>
      </c>
      <c r="R356" t="s">
        <v>240</v>
      </c>
      <c r="S356" s="9">
        <v>5522</v>
      </c>
      <c r="T356" s="9">
        <v>300</v>
      </c>
      <c r="U356" s="9">
        <v>1656600</v>
      </c>
      <c r="V356" s="6" t="s">
        <v>39</v>
      </c>
      <c r="W356" t="s">
        <v>40</v>
      </c>
      <c r="X356">
        <v>7810687137</v>
      </c>
      <c r="Y356">
        <v>781401001</v>
      </c>
      <c r="Z356" s="3">
        <v>45621.442361111112</v>
      </c>
      <c r="AA356" s="6">
        <v>2024</v>
      </c>
      <c r="AB356" s="1">
        <v>45657</v>
      </c>
    </row>
    <row r="357" spans="1:28" x14ac:dyDescent="0.3">
      <c r="A357" t="s">
        <v>1671</v>
      </c>
      <c r="B357" s="6" t="s">
        <v>509</v>
      </c>
      <c r="C357" s="6" t="s">
        <v>395</v>
      </c>
      <c r="D357">
        <v>7202161807</v>
      </c>
      <c r="E357">
        <v>720301001</v>
      </c>
      <c r="F357" t="s">
        <v>52</v>
      </c>
      <c r="G357" t="s">
        <v>1672</v>
      </c>
      <c r="H357" s="1">
        <v>45512</v>
      </c>
      <c r="J357" s="8">
        <v>45523</v>
      </c>
      <c r="K357" s="1" t="s">
        <v>1479</v>
      </c>
      <c r="L357" t="s">
        <v>1673</v>
      </c>
      <c r="M357" t="s">
        <v>1574</v>
      </c>
      <c r="N357" s="2">
        <v>2475000</v>
      </c>
      <c r="O357" t="s">
        <v>273</v>
      </c>
      <c r="P357" s="6" t="s">
        <v>36</v>
      </c>
      <c r="Q357" t="s">
        <v>37</v>
      </c>
      <c r="R357" t="s">
        <v>240</v>
      </c>
      <c r="S357" s="9">
        <v>5500</v>
      </c>
      <c r="T357" s="9">
        <v>450</v>
      </c>
      <c r="U357" s="9">
        <v>2475000</v>
      </c>
      <c r="V357" s="6" t="s">
        <v>401</v>
      </c>
      <c r="W357" t="s">
        <v>402</v>
      </c>
      <c r="X357">
        <v>720208302235</v>
      </c>
      <c r="Z357" s="3">
        <v>45596.373611111114</v>
      </c>
      <c r="AA357" s="6">
        <v>2024</v>
      </c>
      <c r="AB357" s="1">
        <v>45654</v>
      </c>
    </row>
    <row r="358" spans="1:28" x14ac:dyDescent="0.3">
      <c r="A358" t="s">
        <v>1674</v>
      </c>
      <c r="B358" s="6" t="s">
        <v>509</v>
      </c>
      <c r="C358" s="6" t="s">
        <v>395</v>
      </c>
      <c r="D358">
        <v>7202161807</v>
      </c>
      <c r="E358">
        <v>720301001</v>
      </c>
      <c r="F358" t="s">
        <v>52</v>
      </c>
      <c r="G358" t="s">
        <v>1675</v>
      </c>
      <c r="H358" s="1">
        <v>45510</v>
      </c>
      <c r="J358" s="8">
        <v>45523</v>
      </c>
      <c r="K358" s="1" t="s">
        <v>1479</v>
      </c>
      <c r="L358" t="s">
        <v>1676</v>
      </c>
      <c r="M358" t="s">
        <v>1574</v>
      </c>
      <c r="N358" s="2">
        <v>9750000</v>
      </c>
      <c r="O358" t="s">
        <v>273</v>
      </c>
      <c r="P358" s="6" t="s">
        <v>36</v>
      </c>
      <c r="Q358" t="s">
        <v>37</v>
      </c>
      <c r="R358" t="s">
        <v>240</v>
      </c>
      <c r="S358" s="9">
        <v>6500</v>
      </c>
      <c r="T358" s="9">
        <v>1500</v>
      </c>
      <c r="U358" s="9">
        <v>9750000</v>
      </c>
      <c r="V358" s="6" t="s">
        <v>401</v>
      </c>
      <c r="W358" t="s">
        <v>402</v>
      </c>
      <c r="X358">
        <v>720208302235</v>
      </c>
      <c r="Z358" s="3">
        <v>45541.372916666667</v>
      </c>
      <c r="AA358" s="6">
        <v>2024</v>
      </c>
      <c r="AB358" s="1">
        <v>45654</v>
      </c>
    </row>
    <row r="359" spans="1:28" x14ac:dyDescent="0.3">
      <c r="A359" t="s">
        <v>1677</v>
      </c>
      <c r="B359" s="6" t="s">
        <v>509</v>
      </c>
      <c r="C359" s="6" t="s">
        <v>395</v>
      </c>
      <c r="D359">
        <v>7202161807</v>
      </c>
      <c r="E359">
        <v>720301001</v>
      </c>
      <c r="F359" t="s">
        <v>52</v>
      </c>
      <c r="G359" t="s">
        <v>1678</v>
      </c>
      <c r="H359" s="1">
        <v>45513</v>
      </c>
      <c r="J359" s="8">
        <v>45524</v>
      </c>
      <c r="K359" s="1" t="s">
        <v>1479</v>
      </c>
      <c r="L359" t="s">
        <v>1679</v>
      </c>
      <c r="M359" t="s">
        <v>1574</v>
      </c>
      <c r="N359" s="2">
        <v>6500000</v>
      </c>
      <c r="O359" t="s">
        <v>273</v>
      </c>
      <c r="P359" s="6" t="s">
        <v>36</v>
      </c>
      <c r="Q359" t="s">
        <v>37</v>
      </c>
      <c r="R359" t="s">
        <v>240</v>
      </c>
      <c r="S359" s="9">
        <v>6500</v>
      </c>
      <c r="T359" s="9">
        <v>1000</v>
      </c>
      <c r="U359" s="9">
        <v>6500000</v>
      </c>
      <c r="V359" s="6" t="s">
        <v>401</v>
      </c>
      <c r="W359" t="s">
        <v>402</v>
      </c>
      <c r="X359">
        <v>720208302235</v>
      </c>
      <c r="Z359" s="3">
        <v>45541.371527777781</v>
      </c>
      <c r="AA359" s="6">
        <v>2024</v>
      </c>
      <c r="AB359" s="1">
        <v>45654</v>
      </c>
    </row>
    <row r="360" spans="1:28" x14ac:dyDescent="0.3">
      <c r="A360" t="s">
        <v>1680</v>
      </c>
      <c r="B360" s="6" t="s">
        <v>903</v>
      </c>
      <c r="C360" s="6" t="s">
        <v>904</v>
      </c>
      <c r="D360">
        <v>3525010519</v>
      </c>
      <c r="E360">
        <v>352501001</v>
      </c>
      <c r="F360" t="s">
        <v>52</v>
      </c>
      <c r="G360" t="s">
        <v>1681</v>
      </c>
      <c r="H360" s="1">
        <v>45506</v>
      </c>
      <c r="J360" s="8">
        <v>45524</v>
      </c>
      <c r="K360" s="1" t="s">
        <v>1479</v>
      </c>
      <c r="L360" t="s">
        <v>1682</v>
      </c>
      <c r="M360" t="s">
        <v>483</v>
      </c>
      <c r="N360" s="2">
        <v>14184120</v>
      </c>
      <c r="O360" t="s">
        <v>440</v>
      </c>
      <c r="P360" s="6" t="s">
        <v>36</v>
      </c>
      <c r="Q360" t="s">
        <v>37</v>
      </c>
      <c r="R360" t="s">
        <v>240</v>
      </c>
      <c r="S360" s="9">
        <v>5780</v>
      </c>
      <c r="T360" s="9">
        <v>2454</v>
      </c>
      <c r="U360" s="9">
        <v>14184120</v>
      </c>
      <c r="V360" s="6" t="s">
        <v>352</v>
      </c>
      <c r="W360" t="s">
        <v>40</v>
      </c>
      <c r="X360">
        <v>7843014747</v>
      </c>
      <c r="Y360">
        <v>781401001</v>
      </c>
      <c r="Z360" s="3">
        <v>45546.325694444444</v>
      </c>
      <c r="AA360" s="6">
        <v>2024</v>
      </c>
      <c r="AB360" s="1">
        <v>45654</v>
      </c>
    </row>
    <row r="361" spans="1:28" x14ac:dyDescent="0.3">
      <c r="A361" t="s">
        <v>1683</v>
      </c>
      <c r="B361" s="6" t="s">
        <v>857</v>
      </c>
      <c r="C361" s="6" t="s">
        <v>388</v>
      </c>
      <c r="D361">
        <v>3808172327</v>
      </c>
      <c r="E361">
        <v>380801001</v>
      </c>
      <c r="F361" t="s">
        <v>52</v>
      </c>
      <c r="G361" t="s">
        <v>1684</v>
      </c>
      <c r="H361" s="1">
        <v>45512</v>
      </c>
      <c r="I361" t="s">
        <v>1685</v>
      </c>
      <c r="J361" s="8">
        <v>45524</v>
      </c>
      <c r="K361" s="1" t="s">
        <v>1479</v>
      </c>
      <c r="L361" t="s">
        <v>1686</v>
      </c>
      <c r="M361" t="s">
        <v>1687</v>
      </c>
      <c r="N361" s="2">
        <v>6099000</v>
      </c>
      <c r="O361" t="s">
        <v>1366</v>
      </c>
      <c r="P361" s="6" t="s">
        <v>36</v>
      </c>
      <c r="Q361" t="s">
        <v>37</v>
      </c>
      <c r="R361" t="s">
        <v>240</v>
      </c>
      <c r="S361" s="9">
        <v>5700</v>
      </c>
      <c r="T361" s="9">
        <v>1070</v>
      </c>
      <c r="U361" s="9">
        <v>6099000</v>
      </c>
      <c r="V361" s="6" t="s">
        <v>862</v>
      </c>
      <c r="W361" t="s">
        <v>863</v>
      </c>
      <c r="X361">
        <v>3810040374</v>
      </c>
      <c r="Y361">
        <v>381001001</v>
      </c>
      <c r="Z361" s="3">
        <v>45554.400000000001</v>
      </c>
      <c r="AA361" s="6">
        <v>2024</v>
      </c>
      <c r="AB361" s="1">
        <v>45657</v>
      </c>
    </row>
    <row r="362" spans="1:28" x14ac:dyDescent="0.3">
      <c r="A362" t="s">
        <v>1688</v>
      </c>
      <c r="B362" s="6" t="s">
        <v>1689</v>
      </c>
      <c r="C362" s="6" t="s">
        <v>164</v>
      </c>
      <c r="D362">
        <v>7743085670</v>
      </c>
      <c r="E362">
        <v>774301001</v>
      </c>
      <c r="F362" t="s">
        <v>149</v>
      </c>
      <c r="G362" t="s">
        <v>1690</v>
      </c>
      <c r="H362" s="1">
        <v>45519</v>
      </c>
      <c r="I362" t="s">
        <v>1691</v>
      </c>
      <c r="J362" s="8">
        <v>45524</v>
      </c>
      <c r="K362" s="1" t="s">
        <v>1479</v>
      </c>
      <c r="L362" t="s">
        <v>1692</v>
      </c>
      <c r="M362" t="s">
        <v>273</v>
      </c>
      <c r="N362" s="2">
        <v>162000</v>
      </c>
      <c r="O362" t="s">
        <v>273</v>
      </c>
      <c r="P362" s="6" t="s">
        <v>36</v>
      </c>
      <c r="Q362" t="s">
        <v>37</v>
      </c>
      <c r="R362" t="s">
        <v>240</v>
      </c>
      <c r="S362" s="9">
        <v>5400</v>
      </c>
      <c r="T362" s="9">
        <v>30</v>
      </c>
      <c r="U362" s="9">
        <v>162000</v>
      </c>
      <c r="V362" s="6" t="s">
        <v>58</v>
      </c>
      <c r="W362" t="s">
        <v>59</v>
      </c>
      <c r="X362">
        <v>5262222144</v>
      </c>
      <c r="Y362">
        <v>526201001</v>
      </c>
      <c r="Z362" s="3">
        <v>45534.450694444444</v>
      </c>
      <c r="AA362" s="6">
        <v>2024</v>
      </c>
      <c r="AB362" s="1">
        <v>45580</v>
      </c>
    </row>
    <row r="363" spans="1:28" x14ac:dyDescent="0.3">
      <c r="A363" t="s">
        <v>1693</v>
      </c>
      <c r="B363" s="6" t="s">
        <v>639</v>
      </c>
      <c r="C363" s="6" t="s">
        <v>640</v>
      </c>
      <c r="D363">
        <v>6905044950</v>
      </c>
      <c r="E363">
        <v>695001001</v>
      </c>
      <c r="F363" t="s">
        <v>94</v>
      </c>
      <c r="G363" t="s">
        <v>1694</v>
      </c>
      <c r="H363" s="1">
        <v>45519</v>
      </c>
      <c r="J363" s="8">
        <v>45524</v>
      </c>
      <c r="K363" s="1" t="s">
        <v>1479</v>
      </c>
      <c r="L363" t="s">
        <v>1694</v>
      </c>
      <c r="M363" t="s">
        <v>1695</v>
      </c>
      <c r="N363" s="2">
        <v>1166000</v>
      </c>
      <c r="O363" t="s">
        <v>440</v>
      </c>
      <c r="P363" s="6" t="s">
        <v>36</v>
      </c>
      <c r="Q363" t="s">
        <v>37</v>
      </c>
      <c r="R363" t="s">
        <v>240</v>
      </c>
      <c r="S363" s="9">
        <v>5500</v>
      </c>
      <c r="T363" s="9">
        <v>212</v>
      </c>
      <c r="U363" s="9">
        <v>1166000</v>
      </c>
      <c r="V363" s="6" t="s">
        <v>58</v>
      </c>
      <c r="W363" t="s">
        <v>59</v>
      </c>
      <c r="X363">
        <v>5262222144</v>
      </c>
      <c r="Y363">
        <v>526201001</v>
      </c>
      <c r="Z363" s="3">
        <v>45566.53125</v>
      </c>
      <c r="AA363" s="6">
        <v>2024</v>
      </c>
      <c r="AB363" s="1">
        <v>45649</v>
      </c>
    </row>
    <row r="364" spans="1:28" x14ac:dyDescent="0.3">
      <c r="A364" t="s">
        <v>1696</v>
      </c>
      <c r="B364" s="6" t="s">
        <v>220</v>
      </c>
      <c r="C364" s="6" t="s">
        <v>221</v>
      </c>
      <c r="D364">
        <v>5024068656</v>
      </c>
      <c r="E364">
        <v>502401001</v>
      </c>
      <c r="F364" t="s">
        <v>52</v>
      </c>
      <c r="G364" t="s">
        <v>1697</v>
      </c>
      <c r="H364" s="1">
        <v>45511</v>
      </c>
      <c r="J364" s="8">
        <v>45526</v>
      </c>
      <c r="K364" s="1" t="s">
        <v>1479</v>
      </c>
      <c r="L364" t="s">
        <v>1697</v>
      </c>
      <c r="M364" t="s">
        <v>1698</v>
      </c>
      <c r="N364" s="2">
        <v>90995.38</v>
      </c>
      <c r="O364" t="s">
        <v>440</v>
      </c>
      <c r="P364" s="6" t="s">
        <v>36</v>
      </c>
      <c r="Q364" t="s">
        <v>37</v>
      </c>
      <c r="R364" t="s">
        <v>240</v>
      </c>
      <c r="S364" s="9">
        <v>5911.67</v>
      </c>
      <c r="T364" s="9">
        <v>14</v>
      </c>
      <c r="U364" s="9">
        <v>82763.38</v>
      </c>
      <c r="V364" s="6" t="s">
        <v>128</v>
      </c>
      <c r="W364" t="s">
        <v>129</v>
      </c>
      <c r="X364">
        <v>274110679</v>
      </c>
      <c r="Y364">
        <v>500801001</v>
      </c>
      <c r="Z364" s="3">
        <v>45555.45208333333</v>
      </c>
      <c r="AA364" s="6">
        <v>2024</v>
      </c>
      <c r="AB364" s="1">
        <v>45568</v>
      </c>
    </row>
    <row r="365" spans="1:28" x14ac:dyDescent="0.3">
      <c r="A365" t="s">
        <v>1699</v>
      </c>
      <c r="B365" s="6" t="s">
        <v>501</v>
      </c>
      <c r="C365" s="6" t="s">
        <v>502</v>
      </c>
      <c r="D365">
        <v>6318197367</v>
      </c>
      <c r="E365">
        <v>631801001</v>
      </c>
      <c r="F365" t="s">
        <v>52</v>
      </c>
      <c r="G365" t="s">
        <v>1700</v>
      </c>
      <c r="H365" s="1">
        <v>45516</v>
      </c>
      <c r="I365" t="s">
        <v>1701</v>
      </c>
      <c r="J365" s="8">
        <v>45527</v>
      </c>
      <c r="K365" s="1" t="s">
        <v>1479</v>
      </c>
      <c r="L365" t="s">
        <v>1702</v>
      </c>
      <c r="M365" t="s">
        <v>1143</v>
      </c>
      <c r="N365" s="2">
        <v>340104.8</v>
      </c>
      <c r="O365" t="s">
        <v>1703</v>
      </c>
      <c r="P365" s="6" t="s">
        <v>36</v>
      </c>
      <c r="Q365" t="s">
        <v>37</v>
      </c>
      <c r="R365" t="s">
        <v>306</v>
      </c>
      <c r="S365" s="9">
        <v>6073.3</v>
      </c>
      <c r="T365" s="9">
        <v>56</v>
      </c>
      <c r="U365" s="9">
        <v>340104.8</v>
      </c>
      <c r="V365" s="6" t="s">
        <v>507</v>
      </c>
      <c r="W365" t="s">
        <v>59</v>
      </c>
      <c r="X365">
        <v>6950229110</v>
      </c>
      <c r="Y365">
        <v>695001001</v>
      </c>
      <c r="Z365" s="3">
        <v>45553.413888888892</v>
      </c>
      <c r="AA365" s="6">
        <v>2024</v>
      </c>
      <c r="AB365" s="1">
        <v>45657</v>
      </c>
    </row>
    <row r="366" spans="1:28" x14ac:dyDescent="0.3">
      <c r="A366" t="s">
        <v>1704</v>
      </c>
      <c r="B366" s="6" t="s">
        <v>501</v>
      </c>
      <c r="C366" s="6" t="s">
        <v>502</v>
      </c>
      <c r="D366">
        <v>6318197367</v>
      </c>
      <c r="E366">
        <v>631801001</v>
      </c>
      <c r="F366" t="s">
        <v>52</v>
      </c>
      <c r="G366" t="s">
        <v>1705</v>
      </c>
      <c r="H366" s="1">
        <v>45516</v>
      </c>
      <c r="I366" t="s">
        <v>1706</v>
      </c>
      <c r="J366" s="8">
        <v>45527</v>
      </c>
      <c r="K366" s="1" t="s">
        <v>1479</v>
      </c>
      <c r="L366" t="s">
        <v>1707</v>
      </c>
      <c r="M366" t="s">
        <v>1143</v>
      </c>
      <c r="N366" s="2">
        <v>1330136.9099999999</v>
      </c>
      <c r="O366" t="s">
        <v>1708</v>
      </c>
      <c r="P366" s="6" t="s">
        <v>36</v>
      </c>
      <c r="Q366" t="s">
        <v>37</v>
      </c>
      <c r="R366" t="s">
        <v>240</v>
      </c>
      <c r="S366" s="9">
        <v>5175.63</v>
      </c>
      <c r="T366" s="9">
        <v>257</v>
      </c>
      <c r="U366" s="9">
        <v>1330136.9099999999</v>
      </c>
      <c r="V366" s="6" t="s">
        <v>507</v>
      </c>
      <c r="W366" t="s">
        <v>59</v>
      </c>
      <c r="X366">
        <v>6950229110</v>
      </c>
      <c r="Y366">
        <v>695001001</v>
      </c>
      <c r="Z366" s="3">
        <v>45559.431944444441</v>
      </c>
      <c r="AA366" s="6">
        <v>2024</v>
      </c>
      <c r="AB366" s="1">
        <v>45657</v>
      </c>
    </row>
    <row r="367" spans="1:28" x14ac:dyDescent="0.3">
      <c r="A367" t="s">
        <v>1709</v>
      </c>
      <c r="B367" s="6" t="s">
        <v>501</v>
      </c>
      <c r="C367" s="6" t="s">
        <v>502</v>
      </c>
      <c r="D367">
        <v>6318197367</v>
      </c>
      <c r="E367">
        <v>631801001</v>
      </c>
      <c r="F367" t="s">
        <v>52</v>
      </c>
      <c r="G367" t="s">
        <v>1710</v>
      </c>
      <c r="H367" s="1">
        <v>45516</v>
      </c>
      <c r="I367" t="s">
        <v>1706</v>
      </c>
      <c r="J367" s="8">
        <v>45527</v>
      </c>
      <c r="K367" s="1" t="s">
        <v>1479</v>
      </c>
      <c r="L367" t="s">
        <v>1711</v>
      </c>
      <c r="M367" t="s">
        <v>1143</v>
      </c>
      <c r="N367" s="2">
        <v>437277.6</v>
      </c>
      <c r="O367" t="s">
        <v>1712</v>
      </c>
      <c r="P367" s="6" t="s">
        <v>36</v>
      </c>
      <c r="Q367" t="s">
        <v>37</v>
      </c>
      <c r="R367" t="s">
        <v>306</v>
      </c>
      <c r="S367" s="9">
        <v>6073.3</v>
      </c>
      <c r="T367" s="9">
        <v>59</v>
      </c>
      <c r="U367" s="9">
        <v>358324.7</v>
      </c>
      <c r="V367" s="6" t="s">
        <v>507</v>
      </c>
      <c r="W367" t="s">
        <v>59</v>
      </c>
      <c r="X367">
        <v>6950229110</v>
      </c>
      <c r="Y367">
        <v>695001001</v>
      </c>
      <c r="Z367" s="3">
        <v>45618.531944444447</v>
      </c>
      <c r="AA367" s="6">
        <v>2024</v>
      </c>
      <c r="AB367" s="1">
        <v>45657</v>
      </c>
    </row>
    <row r="368" spans="1:28" x14ac:dyDescent="0.3">
      <c r="A368" t="s">
        <v>1709</v>
      </c>
      <c r="B368" s="6" t="s">
        <v>501</v>
      </c>
      <c r="C368" s="6" t="s">
        <v>502</v>
      </c>
      <c r="D368">
        <v>6318197367</v>
      </c>
      <c r="E368">
        <v>631801001</v>
      </c>
      <c r="F368" t="s">
        <v>52</v>
      </c>
      <c r="G368" t="s">
        <v>1710</v>
      </c>
      <c r="H368" s="1">
        <v>45516</v>
      </c>
      <c r="I368" t="s">
        <v>1706</v>
      </c>
      <c r="J368" s="8">
        <v>45527</v>
      </c>
      <c r="K368" s="1" t="s">
        <v>1479</v>
      </c>
      <c r="L368" t="s">
        <v>1711</v>
      </c>
      <c r="M368" t="s">
        <v>1143</v>
      </c>
      <c r="N368" s="2">
        <v>437277.6</v>
      </c>
      <c r="O368" t="s">
        <v>1712</v>
      </c>
      <c r="P368" s="6" t="s">
        <v>36</v>
      </c>
      <c r="Q368" t="s">
        <v>37</v>
      </c>
      <c r="R368" t="s">
        <v>306</v>
      </c>
      <c r="S368" s="9">
        <v>6073.3</v>
      </c>
      <c r="T368" s="9">
        <v>13</v>
      </c>
      <c r="U368" s="9">
        <v>78952.899999999994</v>
      </c>
      <c r="V368" s="6" t="s">
        <v>507</v>
      </c>
      <c r="W368" t="s">
        <v>59</v>
      </c>
      <c r="X368">
        <v>6950229110</v>
      </c>
      <c r="Y368">
        <v>695001001</v>
      </c>
      <c r="Z368" s="3">
        <v>45618.531944444447</v>
      </c>
      <c r="AA368" s="6">
        <v>2024</v>
      </c>
      <c r="AB368" s="1">
        <v>45657</v>
      </c>
    </row>
    <row r="369" spans="1:28" x14ac:dyDescent="0.3">
      <c r="A369" t="s">
        <v>1713</v>
      </c>
      <c r="B369" s="6" t="s">
        <v>501</v>
      </c>
      <c r="C369" s="6" t="s">
        <v>502</v>
      </c>
      <c r="D369">
        <v>6318197367</v>
      </c>
      <c r="E369">
        <v>631801001</v>
      </c>
      <c r="F369" t="s">
        <v>52</v>
      </c>
      <c r="G369" t="s">
        <v>1714</v>
      </c>
      <c r="H369" s="1">
        <v>45517</v>
      </c>
      <c r="I369" t="s">
        <v>1715</v>
      </c>
      <c r="J369" s="8">
        <v>45530</v>
      </c>
      <c r="K369" s="1" t="s">
        <v>1479</v>
      </c>
      <c r="L369" t="s">
        <v>1716</v>
      </c>
      <c r="M369" t="s">
        <v>1143</v>
      </c>
      <c r="N369" s="2">
        <v>8712211.0899999999</v>
      </c>
      <c r="O369" t="s">
        <v>1717</v>
      </c>
      <c r="P369" s="6" t="s">
        <v>36</v>
      </c>
      <c r="Q369" t="s">
        <v>37</v>
      </c>
      <c r="R369" t="s">
        <v>240</v>
      </c>
      <c r="S369" s="9">
        <v>5624.41</v>
      </c>
      <c r="T369" s="9">
        <v>1268</v>
      </c>
      <c r="U369" s="9">
        <v>7131751.8799999999</v>
      </c>
      <c r="V369" s="6" t="s">
        <v>507</v>
      </c>
      <c r="W369" t="s">
        <v>59</v>
      </c>
      <c r="X369">
        <v>6950229110</v>
      </c>
      <c r="Y369">
        <v>695001001</v>
      </c>
      <c r="Z369" s="3">
        <v>45625.443055555559</v>
      </c>
      <c r="AA369" s="6">
        <v>2024</v>
      </c>
      <c r="AB369" s="1">
        <v>45657</v>
      </c>
    </row>
    <row r="370" spans="1:28" x14ac:dyDescent="0.3">
      <c r="A370" t="s">
        <v>1713</v>
      </c>
      <c r="B370" s="6" t="s">
        <v>501</v>
      </c>
      <c r="C370" s="6" t="s">
        <v>502</v>
      </c>
      <c r="D370">
        <v>6318197367</v>
      </c>
      <c r="E370">
        <v>631801001</v>
      </c>
      <c r="F370" t="s">
        <v>52</v>
      </c>
      <c r="G370" t="s">
        <v>1714</v>
      </c>
      <c r="H370" s="1">
        <v>45517</v>
      </c>
      <c r="I370" t="s">
        <v>1715</v>
      </c>
      <c r="J370" s="8">
        <v>45530</v>
      </c>
      <c r="K370" s="1" t="s">
        <v>1479</v>
      </c>
      <c r="L370" t="s">
        <v>1716</v>
      </c>
      <c r="M370" t="s">
        <v>1143</v>
      </c>
      <c r="N370" s="2">
        <v>8712211.0899999999</v>
      </c>
      <c r="O370" t="s">
        <v>1717</v>
      </c>
      <c r="P370" s="6" t="s">
        <v>36</v>
      </c>
      <c r="Q370" t="s">
        <v>37</v>
      </c>
      <c r="R370" t="s">
        <v>240</v>
      </c>
      <c r="S370" s="9">
        <v>5624.41</v>
      </c>
      <c r="T370" s="9">
        <v>281</v>
      </c>
      <c r="U370" s="9">
        <v>1580459.21</v>
      </c>
      <c r="V370" s="6" t="s">
        <v>507</v>
      </c>
      <c r="W370" t="s">
        <v>59</v>
      </c>
      <c r="X370">
        <v>6950229110</v>
      </c>
      <c r="Y370">
        <v>695001001</v>
      </c>
      <c r="Z370" s="3">
        <v>45625.443055555559</v>
      </c>
      <c r="AA370" s="6">
        <v>2024</v>
      </c>
      <c r="AB370" s="1">
        <v>45657</v>
      </c>
    </row>
    <row r="371" spans="1:28" x14ac:dyDescent="0.3">
      <c r="A371" t="s">
        <v>1718</v>
      </c>
      <c r="B371" s="6" t="s">
        <v>830</v>
      </c>
      <c r="C371" s="6" t="s">
        <v>831</v>
      </c>
      <c r="D371">
        <v>6163049814</v>
      </c>
      <c r="E371">
        <v>616601001</v>
      </c>
      <c r="F371" t="s">
        <v>52</v>
      </c>
      <c r="G371" t="s">
        <v>1719</v>
      </c>
      <c r="H371" s="1">
        <v>45519</v>
      </c>
      <c r="J371" s="8">
        <v>45530</v>
      </c>
      <c r="K371" s="1" t="s">
        <v>1479</v>
      </c>
      <c r="L371">
        <v>24000991</v>
      </c>
      <c r="M371" t="s">
        <v>1720</v>
      </c>
      <c r="N371" s="2">
        <v>25471.96</v>
      </c>
      <c r="O371" t="s">
        <v>1721</v>
      </c>
      <c r="P371" s="6" t="s">
        <v>36</v>
      </c>
      <c r="Q371" t="s">
        <v>37</v>
      </c>
      <c r="R371" t="s">
        <v>306</v>
      </c>
      <c r="S371" s="9">
        <v>6367.99</v>
      </c>
      <c r="T371" s="9">
        <v>4</v>
      </c>
      <c r="U371" s="9">
        <v>25471.96</v>
      </c>
      <c r="V371" s="6" t="s">
        <v>145</v>
      </c>
      <c r="W371" t="s">
        <v>59</v>
      </c>
      <c r="X371">
        <v>5321132777</v>
      </c>
      <c r="Y371">
        <v>532101001</v>
      </c>
      <c r="Z371" s="3">
        <v>45551.479861111111</v>
      </c>
      <c r="AA371" s="6">
        <v>2024</v>
      </c>
      <c r="AB371" s="1">
        <v>45657</v>
      </c>
    </row>
    <row r="372" spans="1:28" x14ac:dyDescent="0.3">
      <c r="A372" t="s">
        <v>1722</v>
      </c>
      <c r="B372" s="6" t="s">
        <v>1723</v>
      </c>
      <c r="C372" s="6" t="s">
        <v>904</v>
      </c>
      <c r="D372">
        <v>3525023476</v>
      </c>
      <c r="E372">
        <v>352501001</v>
      </c>
      <c r="F372" t="s">
        <v>94</v>
      </c>
      <c r="G372" t="s">
        <v>1724</v>
      </c>
      <c r="H372" s="1">
        <v>45527</v>
      </c>
      <c r="I372" t="s">
        <v>1725</v>
      </c>
      <c r="J372" s="8">
        <v>45532</v>
      </c>
      <c r="K372" s="1" t="s">
        <v>1479</v>
      </c>
      <c r="L372" t="s">
        <v>1726</v>
      </c>
      <c r="M372" t="s">
        <v>1727</v>
      </c>
      <c r="N372" s="2">
        <v>420420</v>
      </c>
      <c r="O372" t="s">
        <v>1728</v>
      </c>
      <c r="P372" s="6" t="s">
        <v>36</v>
      </c>
      <c r="Q372" t="s">
        <v>37</v>
      </c>
      <c r="R372" t="s">
        <v>240</v>
      </c>
      <c r="S372" s="9">
        <v>5390</v>
      </c>
      <c r="T372" s="9">
        <v>78</v>
      </c>
      <c r="U372" s="9">
        <v>420420</v>
      </c>
      <c r="V372" s="6" t="s">
        <v>750</v>
      </c>
      <c r="W372" t="s">
        <v>59</v>
      </c>
      <c r="X372">
        <v>540123954976</v>
      </c>
      <c r="Z372" s="3">
        <v>45560.95</v>
      </c>
      <c r="AA372" s="6">
        <v>2024</v>
      </c>
      <c r="AB372" s="1">
        <v>45583</v>
      </c>
    </row>
    <row r="373" spans="1:28" x14ac:dyDescent="0.3">
      <c r="A373" t="s">
        <v>1729</v>
      </c>
      <c r="B373" s="6" t="s">
        <v>83</v>
      </c>
      <c r="C373" s="6" t="s">
        <v>84</v>
      </c>
      <c r="D373">
        <v>3666031335</v>
      </c>
      <c r="E373">
        <v>366601001</v>
      </c>
      <c r="F373" t="s">
        <v>52</v>
      </c>
      <c r="G373" t="s">
        <v>1730</v>
      </c>
      <c r="H373" s="1">
        <v>45526</v>
      </c>
      <c r="J373" s="8">
        <v>45537</v>
      </c>
      <c r="K373" s="1" t="s">
        <v>1479</v>
      </c>
      <c r="L373" t="s">
        <v>1731</v>
      </c>
      <c r="M373" t="s">
        <v>1732</v>
      </c>
      <c r="N373" s="2">
        <v>27297000</v>
      </c>
      <c r="O373" t="s">
        <v>440</v>
      </c>
      <c r="P373" s="6" t="s">
        <v>36</v>
      </c>
      <c r="Q373" t="s">
        <v>37</v>
      </c>
      <c r="R373" t="s">
        <v>240</v>
      </c>
      <c r="S373" s="9">
        <v>5400</v>
      </c>
      <c r="T373" s="9">
        <v>5055</v>
      </c>
      <c r="U373" s="9">
        <v>27297000</v>
      </c>
      <c r="V373" s="6" t="s">
        <v>58</v>
      </c>
      <c r="W373" t="s">
        <v>59</v>
      </c>
      <c r="X373">
        <v>5262222144</v>
      </c>
      <c r="Y373">
        <v>526201001</v>
      </c>
      <c r="Z373" s="3">
        <v>45621.602777777778</v>
      </c>
      <c r="AA373" s="6">
        <v>2024</v>
      </c>
      <c r="AB373" s="1">
        <v>45657</v>
      </c>
    </row>
    <row r="374" spans="1:28" x14ac:dyDescent="0.3">
      <c r="A374" t="s">
        <v>1733</v>
      </c>
      <c r="B374" s="6" t="s">
        <v>796</v>
      </c>
      <c r="C374" s="6" t="s">
        <v>69</v>
      </c>
      <c r="D374">
        <v>8901007006</v>
      </c>
      <c r="E374">
        <v>890101001</v>
      </c>
      <c r="F374" t="s">
        <v>52</v>
      </c>
      <c r="G374" t="s">
        <v>1734</v>
      </c>
      <c r="H374" s="1">
        <v>45525</v>
      </c>
      <c r="I374" t="s">
        <v>1735</v>
      </c>
      <c r="J374" s="8">
        <v>45537</v>
      </c>
      <c r="K374" s="1" t="s">
        <v>1479</v>
      </c>
      <c r="L374" t="s">
        <v>1736</v>
      </c>
      <c r="M374" t="s">
        <v>339</v>
      </c>
      <c r="N374" s="2">
        <v>76092</v>
      </c>
      <c r="O374" t="s">
        <v>1338</v>
      </c>
      <c r="P374" s="6" t="s">
        <v>464</v>
      </c>
      <c r="Q374" t="s">
        <v>37</v>
      </c>
      <c r="R374" t="s">
        <v>240</v>
      </c>
      <c r="S374" s="9">
        <v>7609.2</v>
      </c>
      <c r="T374" s="9">
        <v>10</v>
      </c>
      <c r="U374" s="9">
        <v>76092</v>
      </c>
      <c r="V374" s="6" t="s">
        <v>1737</v>
      </c>
      <c r="W374" t="s">
        <v>1738</v>
      </c>
      <c r="X374">
        <v>7203394748</v>
      </c>
      <c r="Y374">
        <v>720301001</v>
      </c>
      <c r="Z374" s="3">
        <v>45554.543055555558</v>
      </c>
      <c r="AA374" s="6">
        <v>2024</v>
      </c>
      <c r="AB374" s="1">
        <v>45644</v>
      </c>
    </row>
    <row r="375" spans="1:28" x14ac:dyDescent="0.3">
      <c r="A375" t="s">
        <v>1739</v>
      </c>
      <c r="B375" s="6" t="s">
        <v>1740</v>
      </c>
      <c r="C375" s="6" t="s">
        <v>285</v>
      </c>
      <c r="D375">
        <v>3329007622</v>
      </c>
      <c r="E375">
        <v>332901001</v>
      </c>
      <c r="F375" t="s">
        <v>52</v>
      </c>
      <c r="G375" t="s">
        <v>1741</v>
      </c>
      <c r="H375" s="1">
        <v>45526</v>
      </c>
      <c r="I375" t="s">
        <v>1742</v>
      </c>
      <c r="J375" s="8">
        <v>45537</v>
      </c>
      <c r="K375" s="1" t="s">
        <v>1479</v>
      </c>
      <c r="L375" t="s">
        <v>1743</v>
      </c>
      <c r="M375" t="s">
        <v>1744</v>
      </c>
      <c r="N375" s="2">
        <v>149200</v>
      </c>
      <c r="O375" t="s">
        <v>440</v>
      </c>
      <c r="P375" s="6" t="s">
        <v>36</v>
      </c>
      <c r="Q375" t="s">
        <v>37</v>
      </c>
      <c r="R375" t="s">
        <v>240</v>
      </c>
      <c r="S375" s="9">
        <v>7460</v>
      </c>
      <c r="T375" s="9">
        <v>20</v>
      </c>
      <c r="U375" s="9">
        <v>149200</v>
      </c>
      <c r="V375" s="6" t="s">
        <v>290</v>
      </c>
      <c r="W375" t="s">
        <v>59</v>
      </c>
      <c r="X375">
        <v>3302013594</v>
      </c>
      <c r="Y375">
        <v>332801001</v>
      </c>
      <c r="Z375" s="3">
        <v>45537.572916666664</v>
      </c>
      <c r="AA375" s="6">
        <v>2024</v>
      </c>
      <c r="AB375" s="1">
        <v>46070</v>
      </c>
    </row>
    <row r="376" spans="1:28" x14ac:dyDescent="0.3">
      <c r="A376" t="s">
        <v>1536</v>
      </c>
      <c r="B376" s="6" t="s">
        <v>782</v>
      </c>
      <c r="C376" s="6" t="s">
        <v>783</v>
      </c>
      <c r="D376">
        <v>6231025123</v>
      </c>
      <c r="E376">
        <v>623401001</v>
      </c>
      <c r="F376" t="s">
        <v>52</v>
      </c>
      <c r="G376" t="s">
        <v>1537</v>
      </c>
      <c r="H376" s="1">
        <v>45524</v>
      </c>
      <c r="J376" s="8">
        <v>45537</v>
      </c>
      <c r="K376" s="1" t="s">
        <v>1479</v>
      </c>
      <c r="L376" t="s">
        <v>1745</v>
      </c>
      <c r="M376" t="s">
        <v>483</v>
      </c>
      <c r="N376" s="2">
        <v>15000000</v>
      </c>
      <c r="O376" t="s">
        <v>440</v>
      </c>
      <c r="P376" s="6" t="s">
        <v>36</v>
      </c>
      <c r="Q376" t="s">
        <v>37</v>
      </c>
      <c r="R376" t="s">
        <v>240</v>
      </c>
      <c r="S376" s="9">
        <v>5000</v>
      </c>
      <c r="T376" s="9">
        <v>3000</v>
      </c>
      <c r="U376" s="9">
        <v>15000000</v>
      </c>
      <c r="V376" s="6" t="s">
        <v>789</v>
      </c>
      <c r="W376" t="s">
        <v>59</v>
      </c>
      <c r="X376">
        <v>622802163475</v>
      </c>
      <c r="Z376" s="3">
        <v>45561.363888888889</v>
      </c>
      <c r="AA376" s="6">
        <v>2024</v>
      </c>
      <c r="AB376" s="1">
        <v>45565</v>
      </c>
    </row>
    <row r="377" spans="1:28" x14ac:dyDescent="0.3">
      <c r="A377" t="s">
        <v>1746</v>
      </c>
      <c r="B377" s="6" t="s">
        <v>121</v>
      </c>
      <c r="C377" s="6" t="s">
        <v>122</v>
      </c>
      <c r="D377">
        <v>5402155123</v>
      </c>
      <c r="E377">
        <v>540201001</v>
      </c>
      <c r="F377" t="s">
        <v>52</v>
      </c>
      <c r="G377" t="s">
        <v>1747</v>
      </c>
      <c r="H377" s="1">
        <v>45527</v>
      </c>
      <c r="I377" t="s">
        <v>1748</v>
      </c>
      <c r="J377" s="8">
        <v>45538</v>
      </c>
      <c r="K377" s="1" t="s">
        <v>1479</v>
      </c>
      <c r="L377" t="s">
        <v>1749</v>
      </c>
      <c r="M377" t="s">
        <v>1750</v>
      </c>
      <c r="N377" s="2">
        <v>7152000</v>
      </c>
      <c r="O377" t="s">
        <v>440</v>
      </c>
      <c r="P377" s="6" t="s">
        <v>36</v>
      </c>
      <c r="Q377" t="s">
        <v>37</v>
      </c>
      <c r="R377" t="s">
        <v>240</v>
      </c>
      <c r="S377" s="9">
        <v>5960</v>
      </c>
      <c r="T377" s="9">
        <v>1200</v>
      </c>
      <c r="U377" s="9">
        <v>7152000</v>
      </c>
      <c r="V377" s="6" t="s">
        <v>1594</v>
      </c>
      <c r="W377" t="s">
        <v>59</v>
      </c>
      <c r="X377">
        <v>7716871971</v>
      </c>
      <c r="Y377">
        <v>773501001</v>
      </c>
      <c r="Z377" s="3">
        <v>45673.175000000003</v>
      </c>
      <c r="AA377" s="6">
        <v>2024</v>
      </c>
      <c r="AB377" s="1">
        <v>45656</v>
      </c>
    </row>
    <row r="378" spans="1:28" x14ac:dyDescent="0.3">
      <c r="A378" t="s">
        <v>1751</v>
      </c>
      <c r="B378" s="6" t="s">
        <v>1103</v>
      </c>
      <c r="C378" s="6" t="s">
        <v>1104</v>
      </c>
      <c r="D378">
        <v>4347018562</v>
      </c>
      <c r="E378">
        <v>434501001</v>
      </c>
      <c r="F378" t="s">
        <v>52</v>
      </c>
      <c r="G378" t="s">
        <v>1752</v>
      </c>
      <c r="H378" s="1">
        <v>45527</v>
      </c>
      <c r="I378" t="s">
        <v>1753</v>
      </c>
      <c r="J378" s="8">
        <v>45538</v>
      </c>
      <c r="K378" s="1" t="s">
        <v>1479</v>
      </c>
      <c r="L378" t="s">
        <v>1754</v>
      </c>
      <c r="M378" t="s">
        <v>416</v>
      </c>
      <c r="N378" s="2">
        <v>3586000</v>
      </c>
      <c r="O378" t="s">
        <v>440</v>
      </c>
      <c r="P378" s="6" t="s">
        <v>36</v>
      </c>
      <c r="Q378" t="s">
        <v>37</v>
      </c>
      <c r="R378" t="s">
        <v>240</v>
      </c>
      <c r="S378" s="9">
        <v>5500</v>
      </c>
      <c r="T378" s="9">
        <v>652</v>
      </c>
      <c r="U378" s="9">
        <v>3586000</v>
      </c>
      <c r="V378" s="6" t="s">
        <v>58</v>
      </c>
      <c r="W378" t="s">
        <v>59</v>
      </c>
      <c r="X378">
        <v>5262222144</v>
      </c>
      <c r="Y378">
        <v>526201001</v>
      </c>
      <c r="Z378" s="3">
        <v>45567.597916666666</v>
      </c>
      <c r="AA378" s="6">
        <v>2024</v>
      </c>
      <c r="AB378" s="1">
        <v>45656</v>
      </c>
    </row>
    <row r="379" spans="1:28" x14ac:dyDescent="0.3">
      <c r="A379" t="s">
        <v>1755</v>
      </c>
      <c r="B379" s="6" t="s">
        <v>121</v>
      </c>
      <c r="C379" s="6" t="s">
        <v>122</v>
      </c>
      <c r="D379">
        <v>5402155123</v>
      </c>
      <c r="E379">
        <v>540201001</v>
      </c>
      <c r="F379" t="s">
        <v>52</v>
      </c>
      <c r="G379" t="s">
        <v>1756</v>
      </c>
      <c r="H379" s="1">
        <v>45530</v>
      </c>
      <c r="I379" t="s">
        <v>1757</v>
      </c>
      <c r="J379" s="8">
        <v>45541</v>
      </c>
      <c r="K379" s="1" t="s">
        <v>1479</v>
      </c>
      <c r="L379" t="s">
        <v>1758</v>
      </c>
      <c r="M379" t="s">
        <v>1759</v>
      </c>
      <c r="N379" s="2">
        <v>2964000</v>
      </c>
      <c r="O379" t="s">
        <v>273</v>
      </c>
      <c r="P379" s="6" t="s">
        <v>464</v>
      </c>
      <c r="Q379" t="s">
        <v>37</v>
      </c>
      <c r="R379" t="s">
        <v>240</v>
      </c>
      <c r="S379" s="9">
        <v>5700</v>
      </c>
      <c r="T379" s="9">
        <v>520</v>
      </c>
      <c r="U379" s="9">
        <v>2964000</v>
      </c>
      <c r="V379" s="6" t="s">
        <v>1183</v>
      </c>
      <c r="W379" t="s">
        <v>1184</v>
      </c>
      <c r="X379">
        <v>6678119558</v>
      </c>
      <c r="Y379">
        <v>667801001</v>
      </c>
      <c r="Z379" s="3">
        <v>45580.522916666669</v>
      </c>
      <c r="AA379" s="6">
        <v>2024</v>
      </c>
      <c r="AB379" s="1">
        <v>45626</v>
      </c>
    </row>
    <row r="380" spans="1:28" x14ac:dyDescent="0.3">
      <c r="A380" t="s">
        <v>1760</v>
      </c>
      <c r="B380" s="6" t="s">
        <v>657</v>
      </c>
      <c r="C380" s="6" t="s">
        <v>658</v>
      </c>
      <c r="D380">
        <v>3015068159</v>
      </c>
      <c r="E380">
        <v>301601001</v>
      </c>
      <c r="F380" t="s">
        <v>94</v>
      </c>
      <c r="G380" t="s">
        <v>1761</v>
      </c>
      <c r="H380" s="1">
        <v>45538</v>
      </c>
      <c r="J380" s="8">
        <v>45541</v>
      </c>
      <c r="K380" s="1" t="s">
        <v>1479</v>
      </c>
      <c r="L380" t="s">
        <v>1762</v>
      </c>
      <c r="M380" t="s">
        <v>1763</v>
      </c>
      <c r="N380" s="2">
        <v>371250</v>
      </c>
      <c r="O380" t="s">
        <v>377</v>
      </c>
      <c r="P380" s="6" t="s">
        <v>891</v>
      </c>
      <c r="Q380" t="s">
        <v>37</v>
      </c>
      <c r="R380" t="s">
        <v>38</v>
      </c>
      <c r="S380" s="9">
        <v>4950</v>
      </c>
      <c r="T380" s="9">
        <v>75</v>
      </c>
      <c r="U380" s="9">
        <v>371250</v>
      </c>
      <c r="V380" s="6" t="s">
        <v>90</v>
      </c>
      <c r="W380" t="s">
        <v>59</v>
      </c>
      <c r="X380">
        <v>5259153331</v>
      </c>
      <c r="Y380">
        <v>525901001</v>
      </c>
      <c r="Z380" s="3">
        <v>45567.969444444447</v>
      </c>
      <c r="AA380" s="6">
        <v>2024</v>
      </c>
      <c r="AB380" s="1">
        <v>45657</v>
      </c>
    </row>
    <row r="381" spans="1:28" x14ac:dyDescent="0.3">
      <c r="A381" t="s">
        <v>1764</v>
      </c>
      <c r="B381" s="6" t="s">
        <v>121</v>
      </c>
      <c r="C381" s="6" t="s">
        <v>122</v>
      </c>
      <c r="D381">
        <v>5402155123</v>
      </c>
      <c r="E381">
        <v>540201001</v>
      </c>
      <c r="F381" t="s">
        <v>52</v>
      </c>
      <c r="G381" t="s">
        <v>1765</v>
      </c>
      <c r="H381" s="1">
        <v>45531</v>
      </c>
      <c r="I381" t="s">
        <v>1766</v>
      </c>
      <c r="J381" s="8">
        <v>45544</v>
      </c>
      <c r="K381" s="1" t="s">
        <v>1479</v>
      </c>
      <c r="L381" t="s">
        <v>1767</v>
      </c>
      <c r="M381" t="s">
        <v>1768</v>
      </c>
      <c r="N381" s="2">
        <v>2679000</v>
      </c>
      <c r="O381" t="s">
        <v>273</v>
      </c>
      <c r="P381" s="6" t="s">
        <v>464</v>
      </c>
      <c r="Q381" t="s">
        <v>37</v>
      </c>
      <c r="R381" t="s">
        <v>240</v>
      </c>
      <c r="S381" s="9">
        <v>5700</v>
      </c>
      <c r="T381" s="9">
        <v>470</v>
      </c>
      <c r="U381" s="9">
        <v>2679000</v>
      </c>
      <c r="V381" s="6" t="s">
        <v>1183</v>
      </c>
      <c r="W381" t="s">
        <v>1184</v>
      </c>
      <c r="X381">
        <v>6678119558</v>
      </c>
      <c r="Y381">
        <v>667801001</v>
      </c>
      <c r="Z381" s="3">
        <v>45580.524305555555</v>
      </c>
      <c r="AA381" s="6">
        <v>2024</v>
      </c>
      <c r="AB381" s="1">
        <v>45626</v>
      </c>
    </row>
    <row r="382" spans="1:28" x14ac:dyDescent="0.3">
      <c r="A382" t="s">
        <v>1769</v>
      </c>
      <c r="B382" s="6" t="s">
        <v>121</v>
      </c>
      <c r="C382" s="6" t="s">
        <v>122</v>
      </c>
      <c r="D382">
        <v>5402155123</v>
      </c>
      <c r="E382">
        <v>540201001</v>
      </c>
      <c r="F382" t="s">
        <v>52</v>
      </c>
      <c r="G382" t="s">
        <v>1770</v>
      </c>
      <c r="H382" s="1">
        <v>45531</v>
      </c>
      <c r="I382" t="s">
        <v>1766</v>
      </c>
      <c r="J382" s="8">
        <v>45544</v>
      </c>
      <c r="K382" s="1" t="s">
        <v>1479</v>
      </c>
      <c r="L382" t="s">
        <v>1771</v>
      </c>
      <c r="M382" t="s">
        <v>1772</v>
      </c>
      <c r="N382" s="2">
        <v>2907000</v>
      </c>
      <c r="O382" t="s">
        <v>273</v>
      </c>
      <c r="P382" s="6" t="s">
        <v>464</v>
      </c>
      <c r="Q382" t="s">
        <v>37</v>
      </c>
      <c r="R382" t="s">
        <v>240</v>
      </c>
      <c r="S382" s="9">
        <v>5700</v>
      </c>
      <c r="T382" s="9">
        <v>510</v>
      </c>
      <c r="U382" s="9">
        <v>2907000</v>
      </c>
      <c r="V382" s="6" t="s">
        <v>1183</v>
      </c>
      <c r="W382" t="s">
        <v>1184</v>
      </c>
      <c r="X382">
        <v>6678119558</v>
      </c>
      <c r="Y382">
        <v>667801001</v>
      </c>
      <c r="Z382" s="3">
        <v>45580.451388888891</v>
      </c>
      <c r="AA382" s="6">
        <v>2024</v>
      </c>
      <c r="AB382" s="1">
        <v>45626</v>
      </c>
    </row>
    <row r="383" spans="1:28" x14ac:dyDescent="0.3">
      <c r="A383" t="s">
        <v>1773</v>
      </c>
      <c r="B383" s="6" t="s">
        <v>946</v>
      </c>
      <c r="C383" s="6" t="s">
        <v>947</v>
      </c>
      <c r="D383">
        <v>7325000951</v>
      </c>
      <c r="E383">
        <v>732501001</v>
      </c>
      <c r="F383" t="s">
        <v>94</v>
      </c>
      <c r="G383" t="s">
        <v>1774</v>
      </c>
      <c r="H383" s="1">
        <v>45541</v>
      </c>
      <c r="J383" s="8">
        <v>45546</v>
      </c>
      <c r="K383" s="1" t="s">
        <v>1479</v>
      </c>
      <c r="L383" t="s">
        <v>1774</v>
      </c>
      <c r="M383" t="s">
        <v>1304</v>
      </c>
      <c r="N383" s="2">
        <v>547200</v>
      </c>
      <c r="O383" t="s">
        <v>440</v>
      </c>
      <c r="P383" s="6" t="s">
        <v>36</v>
      </c>
      <c r="Q383" t="s">
        <v>37</v>
      </c>
      <c r="R383" t="s">
        <v>240</v>
      </c>
      <c r="S383" s="9">
        <v>5700</v>
      </c>
      <c r="T383" s="9">
        <v>96</v>
      </c>
      <c r="U383" s="9">
        <v>547200</v>
      </c>
      <c r="V383" s="6" t="s">
        <v>39</v>
      </c>
      <c r="W383" t="s">
        <v>40</v>
      </c>
      <c r="X383">
        <v>7810687137</v>
      </c>
      <c r="Y383">
        <v>781401001</v>
      </c>
      <c r="Z383" s="3">
        <v>45572.491666666669</v>
      </c>
      <c r="AA383" s="6">
        <v>2024</v>
      </c>
      <c r="AB383" s="1">
        <v>45657</v>
      </c>
    </row>
    <row r="384" spans="1:28" x14ac:dyDescent="0.3">
      <c r="A384" t="s">
        <v>1775</v>
      </c>
      <c r="B384" s="6" t="s">
        <v>1776</v>
      </c>
      <c r="C384" s="6" t="s">
        <v>460</v>
      </c>
      <c r="D384">
        <v>4632286337</v>
      </c>
      <c r="E384">
        <v>463201001</v>
      </c>
      <c r="F384" t="s">
        <v>94</v>
      </c>
      <c r="G384" t="s">
        <v>1777</v>
      </c>
      <c r="H384" s="1">
        <v>45541</v>
      </c>
      <c r="I384" t="s">
        <v>1778</v>
      </c>
      <c r="J384" s="8">
        <v>45546</v>
      </c>
      <c r="K384" s="1" t="s">
        <v>1479</v>
      </c>
      <c r="L384">
        <v>145512</v>
      </c>
      <c r="M384" t="s">
        <v>1779</v>
      </c>
      <c r="N384" s="2">
        <v>208620</v>
      </c>
      <c r="O384" t="s">
        <v>273</v>
      </c>
      <c r="P384" s="6" t="s">
        <v>36</v>
      </c>
      <c r="Q384" t="s">
        <v>37</v>
      </c>
      <c r="R384" t="s">
        <v>240</v>
      </c>
      <c r="S384" s="9">
        <v>5490</v>
      </c>
      <c r="T384" s="9">
        <v>38</v>
      </c>
      <c r="U384" s="9">
        <v>208620</v>
      </c>
      <c r="V384" s="6" t="s">
        <v>750</v>
      </c>
      <c r="W384" t="s">
        <v>59</v>
      </c>
      <c r="X384">
        <v>540123954976</v>
      </c>
      <c r="Z384" s="3">
        <v>45562.370833333334</v>
      </c>
      <c r="AA384" s="6">
        <v>2024</v>
      </c>
      <c r="AB384" s="1">
        <v>45767</v>
      </c>
    </row>
    <row r="385" spans="1:28" x14ac:dyDescent="0.3">
      <c r="A385" t="s">
        <v>1780</v>
      </c>
      <c r="B385" s="6" t="s">
        <v>657</v>
      </c>
      <c r="C385" s="6" t="s">
        <v>658</v>
      </c>
      <c r="D385">
        <v>3015068159</v>
      </c>
      <c r="E385">
        <v>301601001</v>
      </c>
      <c r="F385" t="s">
        <v>94</v>
      </c>
      <c r="G385" t="s">
        <v>1781</v>
      </c>
      <c r="H385" s="1">
        <v>45544</v>
      </c>
      <c r="J385" s="8">
        <v>45547</v>
      </c>
      <c r="K385" s="1" t="s">
        <v>1479</v>
      </c>
      <c r="L385" t="s">
        <v>1782</v>
      </c>
      <c r="M385" t="s">
        <v>1783</v>
      </c>
      <c r="N385" s="2">
        <v>719190</v>
      </c>
      <c r="O385" t="s">
        <v>109</v>
      </c>
      <c r="P385" s="6" t="s">
        <v>36</v>
      </c>
      <c r="Q385" t="s">
        <v>37</v>
      </c>
      <c r="R385" t="s">
        <v>66</v>
      </c>
      <c r="S385" s="9">
        <v>5490</v>
      </c>
      <c r="T385" s="9">
        <v>131</v>
      </c>
      <c r="U385" s="9">
        <v>719190</v>
      </c>
      <c r="V385" s="6" t="s">
        <v>750</v>
      </c>
      <c r="W385" t="s">
        <v>59</v>
      </c>
      <c r="X385">
        <v>540123954976</v>
      </c>
      <c r="Z385" s="3">
        <v>45574.915277777778</v>
      </c>
      <c r="AA385" s="6">
        <v>2024</v>
      </c>
      <c r="AB385" s="1">
        <v>45657</v>
      </c>
    </row>
    <row r="386" spans="1:28" x14ac:dyDescent="0.3">
      <c r="A386" t="s">
        <v>1784</v>
      </c>
      <c r="B386" s="6" t="s">
        <v>501</v>
      </c>
      <c r="C386" s="6" t="s">
        <v>502</v>
      </c>
      <c r="D386">
        <v>6318197367</v>
      </c>
      <c r="E386">
        <v>631801001</v>
      </c>
      <c r="F386" t="s">
        <v>52</v>
      </c>
      <c r="G386" t="s">
        <v>1785</v>
      </c>
      <c r="H386" s="1">
        <v>45534</v>
      </c>
      <c r="I386" t="s">
        <v>1786</v>
      </c>
      <c r="J386" s="8">
        <v>45547</v>
      </c>
      <c r="K386" s="1" t="s">
        <v>1479</v>
      </c>
      <c r="L386" t="s">
        <v>1787</v>
      </c>
      <c r="M386" t="s">
        <v>1143</v>
      </c>
      <c r="N386" s="2">
        <v>25591065.5</v>
      </c>
      <c r="O386" t="s">
        <v>1788</v>
      </c>
      <c r="P386" s="6" t="s">
        <v>36</v>
      </c>
      <c r="Q386" t="s">
        <v>37</v>
      </c>
      <c r="R386" t="s">
        <v>240</v>
      </c>
      <c r="S386" s="9">
        <v>5624.41</v>
      </c>
      <c r="T386" s="9">
        <v>4163</v>
      </c>
      <c r="U386" s="9">
        <v>23414418.829999998</v>
      </c>
      <c r="V386" s="6" t="s">
        <v>507</v>
      </c>
      <c r="W386" t="s">
        <v>59</v>
      </c>
      <c r="X386">
        <v>6950229110</v>
      </c>
      <c r="Y386">
        <v>695001001</v>
      </c>
      <c r="Z386" s="3">
        <v>45618.531944444447</v>
      </c>
      <c r="AA386" s="6">
        <v>2024</v>
      </c>
      <c r="AB386" s="1">
        <v>45657</v>
      </c>
    </row>
    <row r="387" spans="1:28" x14ac:dyDescent="0.3">
      <c r="A387" t="s">
        <v>1784</v>
      </c>
      <c r="B387" s="6" t="s">
        <v>501</v>
      </c>
      <c r="C387" s="6" t="s">
        <v>502</v>
      </c>
      <c r="D387">
        <v>6318197367</v>
      </c>
      <c r="E387">
        <v>631801001</v>
      </c>
      <c r="F387" t="s">
        <v>52</v>
      </c>
      <c r="G387" t="s">
        <v>1785</v>
      </c>
      <c r="H387" s="1">
        <v>45534</v>
      </c>
      <c r="I387" t="s">
        <v>1786</v>
      </c>
      <c r="J387" s="8">
        <v>45547</v>
      </c>
      <c r="K387" s="1" t="s">
        <v>1479</v>
      </c>
      <c r="L387" t="s">
        <v>1787</v>
      </c>
      <c r="M387" t="s">
        <v>1143</v>
      </c>
      <c r="N387" s="2">
        <v>25591065.5</v>
      </c>
      <c r="O387" t="s">
        <v>1789</v>
      </c>
      <c r="P387" s="6" t="s">
        <v>36</v>
      </c>
      <c r="Q387" t="s">
        <v>37</v>
      </c>
      <c r="R387" t="s">
        <v>240</v>
      </c>
      <c r="S387" s="9">
        <v>5624.41</v>
      </c>
      <c r="T387" s="9">
        <v>387</v>
      </c>
      <c r="U387" s="9">
        <v>2176646.67</v>
      </c>
      <c r="V387" s="6" t="s">
        <v>507</v>
      </c>
      <c r="W387" t="s">
        <v>59</v>
      </c>
      <c r="X387">
        <v>6950229110</v>
      </c>
      <c r="Y387">
        <v>695001001</v>
      </c>
      <c r="Z387" s="3">
        <v>45618.531944444447</v>
      </c>
      <c r="AA387" s="6">
        <v>2024</v>
      </c>
      <c r="AB387" s="1">
        <v>45657</v>
      </c>
    </row>
    <row r="388" spans="1:28" x14ac:dyDescent="0.3">
      <c r="A388" t="s">
        <v>1790</v>
      </c>
      <c r="B388" s="6" t="s">
        <v>220</v>
      </c>
      <c r="C388" s="6" t="s">
        <v>221</v>
      </c>
      <c r="D388">
        <v>5024068656</v>
      </c>
      <c r="E388">
        <v>502401001</v>
      </c>
      <c r="F388" t="s">
        <v>52</v>
      </c>
      <c r="G388" t="s">
        <v>1791</v>
      </c>
      <c r="H388" s="1">
        <v>45538</v>
      </c>
      <c r="J388" s="8">
        <v>45551</v>
      </c>
      <c r="K388" s="1" t="s">
        <v>1479</v>
      </c>
      <c r="L388" t="s">
        <v>1791</v>
      </c>
      <c r="M388" t="s">
        <v>1792</v>
      </c>
      <c r="N388" s="2">
        <v>9393114.2100000009</v>
      </c>
      <c r="O388" t="s">
        <v>440</v>
      </c>
      <c r="P388" s="6" t="s">
        <v>36</v>
      </c>
      <c r="Q388" t="s">
        <v>37</v>
      </c>
      <c r="R388" t="s">
        <v>240</v>
      </c>
      <c r="S388" s="9">
        <v>6009.67</v>
      </c>
      <c r="T388" s="9">
        <v>1563</v>
      </c>
      <c r="U388" s="9">
        <v>9393114.2100000009</v>
      </c>
      <c r="V388" s="6" t="s">
        <v>128</v>
      </c>
      <c r="W388" t="s">
        <v>129</v>
      </c>
      <c r="X388">
        <v>274110679</v>
      </c>
      <c r="Y388">
        <v>500801001</v>
      </c>
      <c r="Z388" s="3">
        <v>45575.445138888892</v>
      </c>
      <c r="AA388" s="6">
        <v>2024</v>
      </c>
      <c r="AB388" s="1">
        <v>45610</v>
      </c>
    </row>
    <row r="389" spans="1:28" x14ac:dyDescent="0.3">
      <c r="A389" t="s">
        <v>1793</v>
      </c>
      <c r="B389" s="6" t="s">
        <v>924</v>
      </c>
      <c r="C389" s="6" t="s">
        <v>925</v>
      </c>
      <c r="D389">
        <v>4205349664</v>
      </c>
      <c r="E389">
        <v>420501001</v>
      </c>
      <c r="F389" t="s">
        <v>94</v>
      </c>
      <c r="G389" t="s">
        <v>1794</v>
      </c>
      <c r="H389" s="1">
        <v>45548</v>
      </c>
      <c r="I389" t="s">
        <v>1795</v>
      </c>
      <c r="J389" s="8">
        <v>45553</v>
      </c>
      <c r="K389" s="1" t="s">
        <v>1479</v>
      </c>
      <c r="L389" t="s">
        <v>1796</v>
      </c>
      <c r="M389" t="s">
        <v>1797</v>
      </c>
      <c r="N389" s="2">
        <v>2825000</v>
      </c>
      <c r="O389" t="s">
        <v>332</v>
      </c>
      <c r="P389" s="6" t="s">
        <v>36</v>
      </c>
      <c r="Q389" t="s">
        <v>37</v>
      </c>
      <c r="R389" t="s">
        <v>240</v>
      </c>
      <c r="S389" s="9">
        <v>5650</v>
      </c>
      <c r="T389" s="9">
        <v>500</v>
      </c>
      <c r="U389" s="9">
        <v>2825000</v>
      </c>
      <c r="V389" s="6" t="s">
        <v>1798</v>
      </c>
      <c r="W389" t="s">
        <v>59</v>
      </c>
      <c r="X389">
        <v>4205233684</v>
      </c>
      <c r="Y389">
        <v>420501001</v>
      </c>
      <c r="Z389" s="3">
        <v>45631.306250000001</v>
      </c>
      <c r="AA389" s="6">
        <v>2024</v>
      </c>
      <c r="AB389" s="1">
        <v>45657</v>
      </c>
    </row>
    <row r="390" spans="1:28" x14ac:dyDescent="0.3">
      <c r="A390" t="s">
        <v>1799</v>
      </c>
      <c r="B390" s="6" t="s">
        <v>131</v>
      </c>
      <c r="C390" s="6" t="s">
        <v>132</v>
      </c>
      <c r="D390">
        <v>6027053995</v>
      </c>
      <c r="E390">
        <v>602701001</v>
      </c>
      <c r="F390" t="s">
        <v>52</v>
      </c>
      <c r="G390" t="s">
        <v>1800</v>
      </c>
      <c r="H390" s="1">
        <v>45546</v>
      </c>
      <c r="I390" t="s">
        <v>1801</v>
      </c>
      <c r="J390" s="8">
        <v>45558</v>
      </c>
      <c r="K390" s="1" t="s">
        <v>1479</v>
      </c>
      <c r="L390" t="s">
        <v>1802</v>
      </c>
      <c r="M390" t="s">
        <v>1803</v>
      </c>
      <c r="N390" s="2">
        <v>1375000</v>
      </c>
      <c r="O390" t="s">
        <v>440</v>
      </c>
      <c r="P390" s="6" t="s">
        <v>36</v>
      </c>
      <c r="Q390" t="s">
        <v>37</v>
      </c>
      <c r="R390" t="s">
        <v>240</v>
      </c>
      <c r="S390" s="9">
        <v>5500</v>
      </c>
      <c r="T390" s="9">
        <v>250</v>
      </c>
      <c r="U390" s="9">
        <v>1375000</v>
      </c>
      <c r="V390" s="6" t="s">
        <v>39</v>
      </c>
      <c r="W390" t="s">
        <v>40</v>
      </c>
      <c r="X390">
        <v>7810687137</v>
      </c>
      <c r="Y390">
        <v>781401001</v>
      </c>
      <c r="Z390" s="3">
        <v>45602.955555555556</v>
      </c>
      <c r="AA390" s="6">
        <v>2024</v>
      </c>
      <c r="AB390" s="1">
        <v>45657</v>
      </c>
    </row>
    <row r="391" spans="1:28" x14ac:dyDescent="0.3">
      <c r="A391" t="s">
        <v>1804</v>
      </c>
      <c r="B391" s="6" t="s">
        <v>131</v>
      </c>
      <c r="C391" s="6" t="s">
        <v>132</v>
      </c>
      <c r="D391">
        <v>6027053995</v>
      </c>
      <c r="E391">
        <v>602701001</v>
      </c>
      <c r="F391" t="s">
        <v>52</v>
      </c>
      <c r="G391" t="s">
        <v>1805</v>
      </c>
      <c r="H391" s="1">
        <v>45545</v>
      </c>
      <c r="I391" t="s">
        <v>1806</v>
      </c>
      <c r="J391" s="8">
        <v>45558</v>
      </c>
      <c r="K391" s="1" t="s">
        <v>1479</v>
      </c>
      <c r="L391" t="s">
        <v>1807</v>
      </c>
      <c r="M391" t="s">
        <v>1808</v>
      </c>
      <c r="N391" s="2">
        <v>24964800</v>
      </c>
      <c r="O391" t="s">
        <v>440</v>
      </c>
      <c r="P391" s="6" t="s">
        <v>36</v>
      </c>
      <c r="Q391" t="s">
        <v>37</v>
      </c>
      <c r="R391" t="s">
        <v>240</v>
      </c>
      <c r="S391" s="9">
        <v>5600</v>
      </c>
      <c r="T391" s="9">
        <v>4458</v>
      </c>
      <c r="U391" s="9">
        <v>24964800</v>
      </c>
      <c r="V391" s="6" t="s">
        <v>39</v>
      </c>
      <c r="W391" t="s">
        <v>40</v>
      </c>
      <c r="X391">
        <v>7810687137</v>
      </c>
      <c r="Y391">
        <v>781401001</v>
      </c>
      <c r="Z391" s="3">
        <v>45602.954861111109</v>
      </c>
      <c r="AA391" s="6">
        <v>2024</v>
      </c>
      <c r="AB391" s="1">
        <v>45657</v>
      </c>
    </row>
    <row r="392" spans="1:28" x14ac:dyDescent="0.3">
      <c r="A392" t="s">
        <v>1809</v>
      </c>
      <c r="B392" s="6" t="s">
        <v>910</v>
      </c>
      <c r="C392" s="6" t="s">
        <v>911</v>
      </c>
      <c r="D392">
        <v>1200000881</v>
      </c>
      <c r="E392">
        <v>121501001</v>
      </c>
      <c r="F392" t="s">
        <v>52</v>
      </c>
      <c r="G392" t="s">
        <v>1810</v>
      </c>
      <c r="H392" s="1">
        <v>45547</v>
      </c>
      <c r="J392" s="8">
        <v>45559</v>
      </c>
      <c r="K392" s="1" t="s">
        <v>1479</v>
      </c>
      <c r="L392" t="s">
        <v>1811</v>
      </c>
      <c r="M392" t="s">
        <v>1812</v>
      </c>
      <c r="N392" s="2">
        <v>3449434.2</v>
      </c>
      <c r="O392" t="s">
        <v>1813</v>
      </c>
      <c r="P392" s="6" t="s">
        <v>1814</v>
      </c>
      <c r="Q392" t="s">
        <v>37</v>
      </c>
      <c r="R392" t="s">
        <v>38</v>
      </c>
      <c r="S392" s="9">
        <v>4010.97</v>
      </c>
      <c r="T392" s="9">
        <v>860</v>
      </c>
      <c r="U392" s="9">
        <v>3449434.2</v>
      </c>
      <c r="V392" s="6" t="s">
        <v>1815</v>
      </c>
      <c r="W392" t="s">
        <v>1816</v>
      </c>
      <c r="X392">
        <v>7708813060</v>
      </c>
      <c r="Y392">
        <v>770801001</v>
      </c>
      <c r="Z392" s="3">
        <v>45582.481249999997</v>
      </c>
      <c r="AA392" s="6">
        <v>2024</v>
      </c>
      <c r="AB392" s="1">
        <v>45657</v>
      </c>
    </row>
    <row r="393" spans="1:28" x14ac:dyDescent="0.3">
      <c r="A393" t="s">
        <v>1817</v>
      </c>
      <c r="B393" s="6" t="s">
        <v>131</v>
      </c>
      <c r="C393" s="6" t="s">
        <v>132</v>
      </c>
      <c r="D393">
        <v>6027053995</v>
      </c>
      <c r="E393">
        <v>602701001</v>
      </c>
      <c r="F393" t="s">
        <v>52</v>
      </c>
      <c r="G393" t="s">
        <v>1818</v>
      </c>
      <c r="H393" s="1">
        <v>45548</v>
      </c>
      <c r="I393" t="s">
        <v>1819</v>
      </c>
      <c r="J393" s="8">
        <v>45561</v>
      </c>
      <c r="K393" s="1" t="s">
        <v>1479</v>
      </c>
      <c r="L393" t="s">
        <v>1820</v>
      </c>
      <c r="M393" t="s">
        <v>1821</v>
      </c>
      <c r="N393" s="2">
        <v>140000</v>
      </c>
      <c r="O393" t="s">
        <v>1822</v>
      </c>
      <c r="P393" s="6" t="s">
        <v>36</v>
      </c>
      <c r="Q393" t="s">
        <v>37</v>
      </c>
      <c r="R393" t="s">
        <v>306</v>
      </c>
      <c r="S393" s="9">
        <v>5600</v>
      </c>
      <c r="T393" s="9">
        <v>25</v>
      </c>
      <c r="U393" s="9">
        <v>140000</v>
      </c>
      <c r="V393" s="6" t="s">
        <v>352</v>
      </c>
      <c r="W393" t="s">
        <v>40</v>
      </c>
      <c r="X393">
        <v>7843014747</v>
      </c>
      <c r="Y393">
        <v>781401001</v>
      </c>
      <c r="Z393" s="3">
        <v>45602.953472222223</v>
      </c>
      <c r="AA393" s="6">
        <v>2024</v>
      </c>
      <c r="AB393" s="1">
        <v>45657</v>
      </c>
    </row>
    <row r="394" spans="1:28" x14ac:dyDescent="0.3">
      <c r="A394" t="s">
        <v>1823</v>
      </c>
      <c r="B394" s="6" t="s">
        <v>1114</v>
      </c>
      <c r="C394" s="6" t="s">
        <v>539</v>
      </c>
      <c r="D394">
        <v>7808046224</v>
      </c>
      <c r="E394">
        <v>784101001</v>
      </c>
      <c r="F394" t="s">
        <v>94</v>
      </c>
      <c r="G394" t="s">
        <v>1824</v>
      </c>
      <c r="H394" s="1">
        <v>45558</v>
      </c>
      <c r="J394" s="8">
        <v>45561</v>
      </c>
      <c r="K394" s="1" t="s">
        <v>1479</v>
      </c>
      <c r="L394" t="s">
        <v>1825</v>
      </c>
      <c r="M394" t="s">
        <v>1826</v>
      </c>
      <c r="N394" s="2">
        <v>115880</v>
      </c>
      <c r="O394" t="s">
        <v>273</v>
      </c>
      <c r="P394" s="6" t="s">
        <v>36</v>
      </c>
      <c r="Q394" t="s">
        <v>37</v>
      </c>
      <c r="R394" t="s">
        <v>240</v>
      </c>
      <c r="S394" s="9">
        <v>10379.01</v>
      </c>
      <c r="T394" s="9">
        <v>10</v>
      </c>
      <c r="U394" s="9">
        <v>103790.1</v>
      </c>
      <c r="V394" s="6" t="s">
        <v>1827</v>
      </c>
      <c r="W394" t="s">
        <v>40</v>
      </c>
      <c r="X394">
        <v>780613477392</v>
      </c>
      <c r="Z394" s="3">
        <v>45642.424305555556</v>
      </c>
      <c r="AA394" s="6">
        <v>2024</v>
      </c>
      <c r="AB394" s="1">
        <v>45657</v>
      </c>
    </row>
    <row r="395" spans="1:28" x14ac:dyDescent="0.3">
      <c r="A395" t="s">
        <v>1828</v>
      </c>
      <c r="B395" s="6" t="s">
        <v>1829</v>
      </c>
      <c r="C395" s="6" t="s">
        <v>479</v>
      </c>
      <c r="D395">
        <v>5502018385</v>
      </c>
      <c r="E395">
        <v>550301001</v>
      </c>
      <c r="F395" t="s">
        <v>52</v>
      </c>
      <c r="G395" t="s">
        <v>1830</v>
      </c>
      <c r="H395" s="1">
        <v>45551</v>
      </c>
      <c r="J395" s="8">
        <v>45562</v>
      </c>
      <c r="K395" s="1" t="s">
        <v>1479</v>
      </c>
      <c r="L395" t="s">
        <v>1830</v>
      </c>
      <c r="M395" t="s">
        <v>1831</v>
      </c>
      <c r="N395" s="2">
        <v>60000</v>
      </c>
      <c r="O395" t="s">
        <v>440</v>
      </c>
      <c r="P395" s="6" t="s">
        <v>36</v>
      </c>
      <c r="Q395" t="s">
        <v>37</v>
      </c>
      <c r="R395" t="s">
        <v>240</v>
      </c>
      <c r="S395" s="9">
        <v>6000</v>
      </c>
      <c r="T395" s="9">
        <v>10</v>
      </c>
      <c r="U395" s="9">
        <v>60000</v>
      </c>
      <c r="V395" s="6" t="s">
        <v>58</v>
      </c>
      <c r="W395" t="s">
        <v>59</v>
      </c>
      <c r="X395">
        <v>5262222144</v>
      </c>
      <c r="Y395">
        <v>526201001</v>
      </c>
      <c r="Z395" s="3">
        <v>45593.455555555556</v>
      </c>
      <c r="AA395" s="6">
        <v>2024</v>
      </c>
      <c r="AB395" s="1">
        <v>45651</v>
      </c>
    </row>
    <row r="396" spans="1:28" x14ac:dyDescent="0.3">
      <c r="A396" t="s">
        <v>1832</v>
      </c>
      <c r="B396" s="6" t="s">
        <v>491</v>
      </c>
      <c r="C396" s="6" t="s">
        <v>492</v>
      </c>
      <c r="D396">
        <v>2724041260</v>
      </c>
      <c r="E396">
        <v>272101001</v>
      </c>
      <c r="F396" t="s">
        <v>149</v>
      </c>
      <c r="G396" t="s">
        <v>1833</v>
      </c>
      <c r="H396" s="1">
        <v>45559</v>
      </c>
      <c r="J396" s="8">
        <v>45562</v>
      </c>
      <c r="K396" s="1" t="s">
        <v>1479</v>
      </c>
      <c r="L396" t="s">
        <v>1833</v>
      </c>
      <c r="M396" t="s">
        <v>273</v>
      </c>
      <c r="N396" s="2">
        <v>259200</v>
      </c>
      <c r="O396" t="s">
        <v>273</v>
      </c>
      <c r="P396" s="6" t="s">
        <v>36</v>
      </c>
      <c r="Q396" t="s">
        <v>37</v>
      </c>
      <c r="R396" t="s">
        <v>240</v>
      </c>
      <c r="S396" s="9">
        <v>5400</v>
      </c>
      <c r="T396" s="9">
        <v>48</v>
      </c>
      <c r="U396" s="9">
        <v>259200</v>
      </c>
      <c r="V396" s="6" t="s">
        <v>39</v>
      </c>
      <c r="W396" t="s">
        <v>40</v>
      </c>
      <c r="X396">
        <v>7810687137</v>
      </c>
      <c r="Y396">
        <v>781401001</v>
      </c>
      <c r="Z396" s="3">
        <v>45642.165972222225</v>
      </c>
      <c r="AA396" s="6">
        <v>2024</v>
      </c>
      <c r="AB396" s="1">
        <v>45626</v>
      </c>
    </row>
    <row r="397" spans="1:28" x14ac:dyDescent="0.3">
      <c r="A397" t="s">
        <v>1834</v>
      </c>
      <c r="B397" s="6" t="s">
        <v>633</v>
      </c>
      <c r="C397" s="6" t="s">
        <v>634</v>
      </c>
      <c r="D397">
        <v>5321028960</v>
      </c>
      <c r="E397">
        <v>532101001</v>
      </c>
      <c r="F397" t="s">
        <v>52</v>
      </c>
      <c r="G397" t="s">
        <v>1835</v>
      </c>
      <c r="H397" s="1">
        <v>45551</v>
      </c>
      <c r="I397" t="s">
        <v>1836</v>
      </c>
      <c r="J397" s="8">
        <v>45562</v>
      </c>
      <c r="K397" s="1" t="s">
        <v>1479</v>
      </c>
      <c r="L397" t="s">
        <v>1835</v>
      </c>
      <c r="M397" t="s">
        <v>552</v>
      </c>
      <c r="N397" s="2">
        <v>6867200</v>
      </c>
      <c r="O397" t="s">
        <v>440</v>
      </c>
      <c r="P397" s="6" t="s">
        <v>36</v>
      </c>
      <c r="Q397" t="s">
        <v>37</v>
      </c>
      <c r="R397" t="s">
        <v>240</v>
      </c>
      <c r="S397" s="9">
        <v>5800</v>
      </c>
      <c r="T397" s="9">
        <v>1184</v>
      </c>
      <c r="U397" s="9">
        <v>6867200</v>
      </c>
      <c r="V397" s="6" t="s">
        <v>39</v>
      </c>
      <c r="W397" t="s">
        <v>40</v>
      </c>
      <c r="X397">
        <v>7810687137</v>
      </c>
      <c r="Y397">
        <v>781401001</v>
      </c>
      <c r="Z397" s="3">
        <v>45588.70416666667</v>
      </c>
      <c r="AA397" s="6">
        <v>2024</v>
      </c>
      <c r="AB397" s="1">
        <v>45603</v>
      </c>
    </row>
    <row r="398" spans="1:28" x14ac:dyDescent="0.3">
      <c r="A398" t="s">
        <v>1837</v>
      </c>
      <c r="B398" s="6" t="s">
        <v>1838</v>
      </c>
      <c r="C398" s="6" t="s">
        <v>164</v>
      </c>
      <c r="D398">
        <v>7729082090</v>
      </c>
      <c r="E398">
        <v>772901001</v>
      </c>
      <c r="F398" t="s">
        <v>52</v>
      </c>
      <c r="G398" t="s">
        <v>1839</v>
      </c>
      <c r="H398" s="1">
        <v>45552</v>
      </c>
      <c r="I398" t="s">
        <v>1840</v>
      </c>
      <c r="J398" s="8">
        <v>45565</v>
      </c>
      <c r="K398" s="1" t="s">
        <v>1479</v>
      </c>
      <c r="L398" t="s">
        <v>1841</v>
      </c>
      <c r="M398" t="s">
        <v>1842</v>
      </c>
      <c r="N398" s="2">
        <v>72150</v>
      </c>
      <c r="O398" t="s">
        <v>440</v>
      </c>
      <c r="P398" s="6" t="s">
        <v>36</v>
      </c>
      <c r="Q398" t="s">
        <v>37</v>
      </c>
      <c r="R398" t="s">
        <v>240</v>
      </c>
      <c r="S398" s="9">
        <v>5550</v>
      </c>
      <c r="T398" s="9">
        <v>13</v>
      </c>
      <c r="U398" s="9">
        <v>72150</v>
      </c>
      <c r="V398" s="6" t="s">
        <v>111</v>
      </c>
      <c r="W398" t="s">
        <v>59</v>
      </c>
      <c r="X398">
        <v>5262258091</v>
      </c>
      <c r="Y398">
        <v>526201001</v>
      </c>
      <c r="Z398" s="3">
        <v>45601.429166666669</v>
      </c>
      <c r="AA398" s="6">
        <v>2024</v>
      </c>
      <c r="AB398" s="1">
        <v>45688</v>
      </c>
    </row>
    <row r="399" spans="1:28" x14ac:dyDescent="0.3">
      <c r="A399" t="s">
        <v>386</v>
      </c>
      <c r="B399" s="6" t="s">
        <v>1843</v>
      </c>
      <c r="C399" s="6" t="s">
        <v>148</v>
      </c>
      <c r="D399">
        <v>274023088</v>
      </c>
      <c r="E399">
        <v>27401001</v>
      </c>
      <c r="F399" t="s">
        <v>52</v>
      </c>
      <c r="G399" t="s">
        <v>389</v>
      </c>
      <c r="H399" s="1">
        <v>45554</v>
      </c>
      <c r="I399" t="s">
        <v>1844</v>
      </c>
      <c r="J399" s="8">
        <v>45565</v>
      </c>
      <c r="K399" s="1" t="s">
        <v>1479</v>
      </c>
      <c r="L399" t="s">
        <v>391</v>
      </c>
      <c r="M399" t="s">
        <v>1845</v>
      </c>
      <c r="N399" s="2">
        <v>216000</v>
      </c>
      <c r="O399" t="s">
        <v>440</v>
      </c>
      <c r="P399" s="6" t="s">
        <v>36</v>
      </c>
      <c r="Q399" t="s">
        <v>37</v>
      </c>
      <c r="R399" t="s">
        <v>240</v>
      </c>
      <c r="S399" s="9">
        <v>6000</v>
      </c>
      <c r="T399" s="9">
        <v>36</v>
      </c>
      <c r="U399" s="9">
        <v>216000</v>
      </c>
      <c r="V399" s="6" t="s">
        <v>111</v>
      </c>
      <c r="W399" t="s">
        <v>59</v>
      </c>
      <c r="X399">
        <v>5262258091</v>
      </c>
      <c r="Y399">
        <v>526201001</v>
      </c>
      <c r="Z399" s="3">
        <v>45589.344444444447</v>
      </c>
      <c r="AA399" s="6">
        <v>2024</v>
      </c>
      <c r="AB399" s="1">
        <v>45657</v>
      </c>
    </row>
    <row r="400" spans="1:28" x14ac:dyDescent="0.3">
      <c r="A400" t="s">
        <v>1846</v>
      </c>
      <c r="B400" s="6" t="s">
        <v>633</v>
      </c>
      <c r="C400" s="6" t="s">
        <v>634</v>
      </c>
      <c r="D400">
        <v>5321028960</v>
      </c>
      <c r="E400">
        <v>532101001</v>
      </c>
      <c r="F400" t="s">
        <v>52</v>
      </c>
      <c r="G400" t="s">
        <v>1847</v>
      </c>
      <c r="H400" s="1">
        <v>45552</v>
      </c>
      <c r="I400" t="s">
        <v>1840</v>
      </c>
      <c r="J400" s="8">
        <v>45565</v>
      </c>
      <c r="K400" s="1" t="s">
        <v>1479</v>
      </c>
      <c r="L400" t="s">
        <v>1847</v>
      </c>
      <c r="M400" t="s">
        <v>552</v>
      </c>
      <c r="N400" s="2">
        <v>562600</v>
      </c>
      <c r="O400" t="s">
        <v>440</v>
      </c>
      <c r="P400" s="6" t="s">
        <v>36</v>
      </c>
      <c r="Q400" t="s">
        <v>37</v>
      </c>
      <c r="R400" t="s">
        <v>240</v>
      </c>
      <c r="S400" s="9">
        <v>5800</v>
      </c>
      <c r="T400" s="9">
        <v>97</v>
      </c>
      <c r="U400" s="9">
        <v>562600</v>
      </c>
      <c r="V400" s="6" t="s">
        <v>39</v>
      </c>
      <c r="W400" t="s">
        <v>40</v>
      </c>
      <c r="X400">
        <v>7810687137</v>
      </c>
      <c r="Y400">
        <v>781401001</v>
      </c>
      <c r="Z400" s="3">
        <v>45588.70416666667</v>
      </c>
      <c r="AA400" s="6">
        <v>2024</v>
      </c>
      <c r="AB400" s="1">
        <v>45604</v>
      </c>
    </row>
    <row r="401" spans="1:28" x14ac:dyDescent="0.3">
      <c r="A401" t="s">
        <v>1848</v>
      </c>
      <c r="B401" s="6" t="s">
        <v>830</v>
      </c>
      <c r="C401" s="6" t="s">
        <v>831</v>
      </c>
      <c r="D401">
        <v>6163049814</v>
      </c>
      <c r="E401">
        <v>616601001</v>
      </c>
      <c r="F401" t="s">
        <v>52</v>
      </c>
      <c r="G401" t="s">
        <v>1849</v>
      </c>
      <c r="H401" s="1">
        <v>45552</v>
      </c>
      <c r="J401" s="8">
        <v>45565</v>
      </c>
      <c r="K401" s="1" t="s">
        <v>1479</v>
      </c>
      <c r="L401">
        <v>24001115</v>
      </c>
      <c r="M401" t="s">
        <v>1850</v>
      </c>
      <c r="N401" s="2">
        <v>527340</v>
      </c>
      <c r="O401" t="s">
        <v>1851</v>
      </c>
      <c r="P401" s="6" t="s">
        <v>1814</v>
      </c>
      <c r="Q401" t="s">
        <v>37</v>
      </c>
      <c r="R401" t="s">
        <v>38</v>
      </c>
      <c r="S401" s="9">
        <v>4794</v>
      </c>
      <c r="T401" s="9">
        <v>55</v>
      </c>
      <c r="U401" s="9">
        <v>263670</v>
      </c>
      <c r="V401" s="6" t="s">
        <v>111</v>
      </c>
      <c r="W401" t="s">
        <v>59</v>
      </c>
      <c r="X401">
        <v>5262258091</v>
      </c>
      <c r="Y401">
        <v>526201001</v>
      </c>
      <c r="Z401" s="3">
        <v>45609.426388888889</v>
      </c>
      <c r="AA401" s="6">
        <v>2024</v>
      </c>
      <c r="AB401" s="1">
        <v>45657</v>
      </c>
    </row>
    <row r="402" spans="1:28" x14ac:dyDescent="0.3">
      <c r="A402" t="s">
        <v>1848</v>
      </c>
      <c r="B402" s="6" t="s">
        <v>830</v>
      </c>
      <c r="C402" s="6" t="s">
        <v>831</v>
      </c>
      <c r="D402">
        <v>6163049814</v>
      </c>
      <c r="E402">
        <v>616601001</v>
      </c>
      <c r="F402" t="s">
        <v>52</v>
      </c>
      <c r="G402" t="s">
        <v>1849</v>
      </c>
      <c r="H402" s="1">
        <v>45552</v>
      </c>
      <c r="J402" s="8">
        <v>45565</v>
      </c>
      <c r="K402" s="1" t="s">
        <v>1479</v>
      </c>
      <c r="L402">
        <v>24001115</v>
      </c>
      <c r="M402" t="s">
        <v>1850</v>
      </c>
      <c r="N402" s="2">
        <v>527340</v>
      </c>
      <c r="O402" t="s">
        <v>1851</v>
      </c>
      <c r="P402" s="6" t="s">
        <v>891</v>
      </c>
      <c r="Q402" t="s">
        <v>37</v>
      </c>
      <c r="R402" t="s">
        <v>38</v>
      </c>
      <c r="S402" s="9">
        <v>4794</v>
      </c>
      <c r="T402" s="9">
        <v>55</v>
      </c>
      <c r="U402" s="9">
        <v>263670</v>
      </c>
      <c r="V402" s="6" t="s">
        <v>111</v>
      </c>
      <c r="W402" t="s">
        <v>59</v>
      </c>
      <c r="X402">
        <v>5262258091</v>
      </c>
      <c r="Y402">
        <v>526201001</v>
      </c>
      <c r="Z402" s="3">
        <v>45609.426388888889</v>
      </c>
      <c r="AA402" s="6">
        <v>2024</v>
      </c>
      <c r="AB402" s="1">
        <v>45657</v>
      </c>
    </row>
    <row r="403" spans="1:28" x14ac:dyDescent="0.3">
      <c r="A403" t="s">
        <v>1852</v>
      </c>
      <c r="B403" s="6" t="s">
        <v>121</v>
      </c>
      <c r="C403" s="6" t="s">
        <v>122</v>
      </c>
      <c r="D403">
        <v>5402155123</v>
      </c>
      <c r="E403">
        <v>540201001</v>
      </c>
      <c r="F403" t="s">
        <v>52</v>
      </c>
      <c r="G403" t="s">
        <v>1853</v>
      </c>
      <c r="H403" s="1">
        <v>45555</v>
      </c>
      <c r="I403" t="s">
        <v>1854</v>
      </c>
      <c r="J403" s="8">
        <v>45566</v>
      </c>
      <c r="K403" s="1" t="s">
        <v>1479</v>
      </c>
      <c r="L403" t="s">
        <v>1855</v>
      </c>
      <c r="M403" t="s">
        <v>1856</v>
      </c>
      <c r="N403" s="2">
        <v>148200</v>
      </c>
      <c r="O403" t="s">
        <v>273</v>
      </c>
      <c r="P403" s="6" t="s">
        <v>464</v>
      </c>
      <c r="Q403" t="s">
        <v>37</v>
      </c>
      <c r="R403" t="s">
        <v>240</v>
      </c>
      <c r="S403" s="9">
        <v>5700</v>
      </c>
      <c r="T403" s="9">
        <v>26</v>
      </c>
      <c r="U403" s="9">
        <v>148200</v>
      </c>
      <c r="V403" s="6" t="s">
        <v>1183</v>
      </c>
      <c r="W403" t="s">
        <v>1184</v>
      </c>
      <c r="X403">
        <v>6678119558</v>
      </c>
      <c r="Y403">
        <v>667801001</v>
      </c>
      <c r="Z403" s="3">
        <v>45609.290972222225</v>
      </c>
      <c r="AA403" s="6">
        <v>2024</v>
      </c>
      <c r="AB403" s="1">
        <v>45641</v>
      </c>
    </row>
    <row r="404" spans="1:28" x14ac:dyDescent="0.3">
      <c r="A404" t="s">
        <v>1857</v>
      </c>
      <c r="B404" s="6" t="s">
        <v>1858</v>
      </c>
      <c r="C404" s="6" t="s">
        <v>1859</v>
      </c>
      <c r="D404">
        <v>2014000163</v>
      </c>
      <c r="E404">
        <v>201501001</v>
      </c>
      <c r="F404" t="s">
        <v>52</v>
      </c>
      <c r="G404" t="s">
        <v>1860</v>
      </c>
      <c r="H404" s="1">
        <v>45554</v>
      </c>
      <c r="I404" t="s">
        <v>1844</v>
      </c>
      <c r="J404" s="8">
        <v>45566</v>
      </c>
      <c r="K404" s="1" t="s">
        <v>1479</v>
      </c>
      <c r="L404" t="s">
        <v>1861</v>
      </c>
      <c r="M404" t="s">
        <v>416</v>
      </c>
      <c r="N404" s="2">
        <v>6663153</v>
      </c>
      <c r="O404" t="s">
        <v>1862</v>
      </c>
      <c r="P404" s="6" t="s">
        <v>36</v>
      </c>
      <c r="Q404" t="s">
        <v>37</v>
      </c>
      <c r="R404" t="s">
        <v>1611</v>
      </c>
      <c r="S404" s="9">
        <v>12600</v>
      </c>
      <c r="T404" s="9">
        <v>395</v>
      </c>
      <c r="U404" s="9">
        <v>4977000</v>
      </c>
      <c r="V404" s="6" t="s">
        <v>1863</v>
      </c>
      <c r="W404" t="s">
        <v>40</v>
      </c>
      <c r="X404">
        <v>2014018354</v>
      </c>
      <c r="Y404">
        <v>201401001</v>
      </c>
      <c r="Z404" s="3">
        <v>45580.741666666669</v>
      </c>
      <c r="AA404" s="6">
        <v>2024</v>
      </c>
      <c r="AB404" s="1">
        <v>45657</v>
      </c>
    </row>
    <row r="405" spans="1:28" x14ac:dyDescent="0.3">
      <c r="A405" s="4" t="s">
        <v>1864</v>
      </c>
      <c r="B405" s="6" t="s">
        <v>459</v>
      </c>
      <c r="C405" s="6" t="s">
        <v>460</v>
      </c>
      <c r="D405">
        <v>4629019420</v>
      </c>
      <c r="E405">
        <v>463201001</v>
      </c>
      <c r="F405" t="s">
        <v>52</v>
      </c>
      <c r="G405" t="s">
        <v>1865</v>
      </c>
      <c r="H405" s="1">
        <v>45555</v>
      </c>
      <c r="I405" t="s">
        <v>1854</v>
      </c>
      <c r="J405" s="8">
        <v>45567</v>
      </c>
      <c r="K405" s="1" t="s">
        <v>1479</v>
      </c>
      <c r="L405" t="s">
        <v>1866</v>
      </c>
      <c r="M405" t="s">
        <v>463</v>
      </c>
      <c r="N405" s="2">
        <v>9003772.8000000007</v>
      </c>
      <c r="O405" t="s">
        <v>377</v>
      </c>
      <c r="P405" s="6" t="s">
        <v>891</v>
      </c>
      <c r="Q405" t="s">
        <v>37</v>
      </c>
      <c r="R405" t="s">
        <v>38</v>
      </c>
      <c r="S405" s="9">
        <v>5801.4</v>
      </c>
      <c r="T405" s="9">
        <v>1552</v>
      </c>
      <c r="U405" s="9">
        <v>9003772.8000000007</v>
      </c>
      <c r="V405" s="6" t="s">
        <v>39</v>
      </c>
      <c r="W405" t="s">
        <v>40</v>
      </c>
      <c r="X405">
        <v>7810687137</v>
      </c>
      <c r="Y405">
        <v>781401001</v>
      </c>
      <c r="Z405" s="3">
        <v>45590.462500000001</v>
      </c>
      <c r="AA405" s="6">
        <v>2024</v>
      </c>
      <c r="AB405" s="1">
        <v>45632</v>
      </c>
    </row>
    <row r="406" spans="1:28" x14ac:dyDescent="0.3">
      <c r="A406" t="s">
        <v>1867</v>
      </c>
      <c r="B406" s="6" t="s">
        <v>220</v>
      </c>
      <c r="C406" s="6" t="s">
        <v>221</v>
      </c>
      <c r="D406">
        <v>5024068656</v>
      </c>
      <c r="E406">
        <v>502401001</v>
      </c>
      <c r="F406" t="s">
        <v>94</v>
      </c>
      <c r="G406" t="s">
        <v>1868</v>
      </c>
      <c r="H406" s="1">
        <v>45565</v>
      </c>
      <c r="J406" s="8">
        <v>45568</v>
      </c>
      <c r="K406" s="1" t="s">
        <v>1479</v>
      </c>
      <c r="L406" t="s">
        <v>1868</v>
      </c>
      <c r="M406" t="s">
        <v>1869</v>
      </c>
      <c r="N406" s="2">
        <v>164458.89000000001</v>
      </c>
      <c r="O406" t="s">
        <v>440</v>
      </c>
      <c r="P406" s="6" t="s">
        <v>36</v>
      </c>
      <c r="Q406" t="s">
        <v>37</v>
      </c>
      <c r="R406" t="s">
        <v>240</v>
      </c>
      <c r="S406" s="9">
        <v>6091.07</v>
      </c>
      <c r="T406" s="9">
        <v>27</v>
      </c>
      <c r="U406" s="9">
        <v>164458.89000000001</v>
      </c>
      <c r="V406" s="6" t="s">
        <v>128</v>
      </c>
      <c r="W406" t="s">
        <v>129</v>
      </c>
      <c r="X406">
        <v>274110679</v>
      </c>
      <c r="Y406">
        <v>500801001</v>
      </c>
      <c r="Z406" s="3">
        <v>45590.482638888891</v>
      </c>
      <c r="AA406" s="6">
        <v>2024</v>
      </c>
      <c r="AB406" s="1">
        <v>45610</v>
      </c>
    </row>
    <row r="407" spans="1:28" x14ac:dyDescent="0.3">
      <c r="A407" t="s">
        <v>1870</v>
      </c>
      <c r="B407" s="6" t="s">
        <v>830</v>
      </c>
      <c r="C407" s="6" t="s">
        <v>831</v>
      </c>
      <c r="D407">
        <v>6163049814</v>
      </c>
      <c r="E407">
        <v>616601001</v>
      </c>
      <c r="F407" t="s">
        <v>52</v>
      </c>
      <c r="G407" t="s">
        <v>1871</v>
      </c>
      <c r="H407" s="1">
        <v>45558</v>
      </c>
      <c r="I407" t="s">
        <v>1872</v>
      </c>
      <c r="J407" s="8">
        <v>45569</v>
      </c>
      <c r="K407" s="1" t="s">
        <v>1479</v>
      </c>
      <c r="L407">
        <v>24001116</v>
      </c>
      <c r="M407" t="s">
        <v>1850</v>
      </c>
      <c r="N407" s="2">
        <v>26123350.219999999</v>
      </c>
      <c r="O407" t="s">
        <v>1873</v>
      </c>
      <c r="P407" s="6" t="s">
        <v>36</v>
      </c>
      <c r="Q407" t="s">
        <v>37</v>
      </c>
      <c r="R407" t="s">
        <v>38</v>
      </c>
      <c r="S407" s="9">
        <v>4209.37</v>
      </c>
      <c r="T407" s="9">
        <v>5320</v>
      </c>
      <c r="U407" s="9">
        <v>22393848.399999999</v>
      </c>
      <c r="V407" s="6" t="s">
        <v>58</v>
      </c>
      <c r="W407" t="s">
        <v>59</v>
      </c>
      <c r="X407">
        <v>5262222144</v>
      </c>
      <c r="Y407">
        <v>526201001</v>
      </c>
      <c r="Z407" s="3">
        <v>45623.793055555558</v>
      </c>
      <c r="AA407" s="6">
        <v>2024</v>
      </c>
      <c r="AB407" s="1">
        <v>45657</v>
      </c>
    </row>
    <row r="408" spans="1:28" x14ac:dyDescent="0.3">
      <c r="A408" t="s">
        <v>1870</v>
      </c>
      <c r="B408" s="6" t="s">
        <v>830</v>
      </c>
      <c r="C408" s="6" t="s">
        <v>831</v>
      </c>
      <c r="D408">
        <v>6163049814</v>
      </c>
      <c r="E408">
        <v>616601001</v>
      </c>
      <c r="F408" t="s">
        <v>52</v>
      </c>
      <c r="G408" t="s">
        <v>1871</v>
      </c>
      <c r="H408" s="1">
        <v>45558</v>
      </c>
      <c r="I408" t="s">
        <v>1872</v>
      </c>
      <c r="J408" s="8">
        <v>45569</v>
      </c>
      <c r="K408" s="1" t="s">
        <v>1479</v>
      </c>
      <c r="L408">
        <v>24001116</v>
      </c>
      <c r="M408" t="s">
        <v>1850</v>
      </c>
      <c r="N408" s="2">
        <v>26123350.219999999</v>
      </c>
      <c r="O408" t="s">
        <v>1851</v>
      </c>
      <c r="P408" s="6" t="s">
        <v>1814</v>
      </c>
      <c r="Q408" t="s">
        <v>37</v>
      </c>
      <c r="R408" t="s">
        <v>38</v>
      </c>
      <c r="S408" s="9">
        <v>4209.37</v>
      </c>
      <c r="T408" s="9">
        <v>886</v>
      </c>
      <c r="U408" s="9">
        <v>3729501.82</v>
      </c>
      <c r="V408" s="6" t="s">
        <v>58</v>
      </c>
      <c r="W408" t="s">
        <v>59</v>
      </c>
      <c r="X408">
        <v>5262222144</v>
      </c>
      <c r="Y408">
        <v>526201001</v>
      </c>
      <c r="Z408" s="3">
        <v>45623.793055555558</v>
      </c>
      <c r="AA408" s="6">
        <v>2024</v>
      </c>
      <c r="AB408" s="1">
        <v>45657</v>
      </c>
    </row>
    <row r="409" spans="1:28" x14ac:dyDescent="0.3">
      <c r="A409" t="s">
        <v>1874</v>
      </c>
      <c r="B409" s="6" t="s">
        <v>842</v>
      </c>
      <c r="C409" s="6" t="s">
        <v>843</v>
      </c>
      <c r="D409">
        <v>2128015420</v>
      </c>
      <c r="E409">
        <v>213001001</v>
      </c>
      <c r="F409" t="s">
        <v>52</v>
      </c>
      <c r="G409" t="s">
        <v>1875</v>
      </c>
      <c r="H409" s="1">
        <v>45561</v>
      </c>
      <c r="J409" s="8">
        <v>45572</v>
      </c>
      <c r="K409" s="1" t="s">
        <v>1479</v>
      </c>
      <c r="L409" t="s">
        <v>1876</v>
      </c>
      <c r="M409" t="s">
        <v>1877</v>
      </c>
      <c r="N409" s="2">
        <v>13532788</v>
      </c>
      <c r="O409" t="s">
        <v>1299</v>
      </c>
      <c r="P409" s="6" t="s">
        <v>464</v>
      </c>
      <c r="Q409" t="s">
        <v>37</v>
      </c>
      <c r="R409" t="s">
        <v>66</v>
      </c>
      <c r="S409" s="9">
        <v>3838</v>
      </c>
      <c r="T409" s="9">
        <v>3526</v>
      </c>
      <c r="U409" s="9">
        <v>13532788</v>
      </c>
      <c r="V409" s="6" t="s">
        <v>848</v>
      </c>
      <c r="W409" t="s">
        <v>849</v>
      </c>
      <c r="X409">
        <v>2634099850</v>
      </c>
      <c r="Y409">
        <v>263501001</v>
      </c>
      <c r="Z409" s="3">
        <v>45628.393055555556</v>
      </c>
      <c r="AA409" s="6">
        <v>2024</v>
      </c>
      <c r="AB409" s="1">
        <v>45612</v>
      </c>
    </row>
    <row r="410" spans="1:28" x14ac:dyDescent="0.3">
      <c r="A410" t="s">
        <v>1878</v>
      </c>
      <c r="B410" s="6" t="s">
        <v>459</v>
      </c>
      <c r="C410" s="6" t="s">
        <v>460</v>
      </c>
      <c r="D410">
        <v>4629019420</v>
      </c>
      <c r="E410">
        <v>463201001</v>
      </c>
      <c r="F410" t="s">
        <v>52</v>
      </c>
      <c r="G410" t="s">
        <v>1879</v>
      </c>
      <c r="H410" s="1">
        <v>45560</v>
      </c>
      <c r="I410" t="s">
        <v>1880</v>
      </c>
      <c r="J410" s="8">
        <v>45572</v>
      </c>
      <c r="K410" s="1" t="s">
        <v>1479</v>
      </c>
      <c r="L410" t="s">
        <v>1879</v>
      </c>
      <c r="M410" t="s">
        <v>463</v>
      </c>
      <c r="N410" s="2">
        <v>17975471.52</v>
      </c>
      <c r="O410" t="s">
        <v>1881</v>
      </c>
      <c r="P410" s="6" t="s">
        <v>464</v>
      </c>
      <c r="Q410" t="s">
        <v>37</v>
      </c>
      <c r="R410" t="s">
        <v>38</v>
      </c>
      <c r="S410" s="9">
        <v>4915.3599999999997</v>
      </c>
      <c r="T410" s="9">
        <v>3657</v>
      </c>
      <c r="U410" s="9">
        <v>17975471.52</v>
      </c>
      <c r="V410" s="6" t="s">
        <v>848</v>
      </c>
      <c r="W410" t="s">
        <v>849</v>
      </c>
      <c r="X410">
        <v>2634099850</v>
      </c>
      <c r="Y410">
        <v>263501001</v>
      </c>
      <c r="Z410" s="3">
        <v>45596.424305555556</v>
      </c>
      <c r="AA410" s="6">
        <v>2024</v>
      </c>
      <c r="AB410" s="1">
        <v>45632</v>
      </c>
    </row>
    <row r="411" spans="1:28" x14ac:dyDescent="0.3">
      <c r="A411" t="s">
        <v>1882</v>
      </c>
      <c r="B411" s="6" t="s">
        <v>367</v>
      </c>
      <c r="C411" s="6" t="s">
        <v>368</v>
      </c>
      <c r="D411">
        <v>4825005110</v>
      </c>
      <c r="E411">
        <v>482501001</v>
      </c>
      <c r="F411" t="s">
        <v>52</v>
      </c>
      <c r="G411" t="s">
        <v>1883</v>
      </c>
      <c r="H411" s="1">
        <v>45560</v>
      </c>
      <c r="J411" s="8">
        <v>45573</v>
      </c>
      <c r="K411" s="1" t="s">
        <v>1479</v>
      </c>
      <c r="L411" t="s">
        <v>1884</v>
      </c>
      <c r="M411" t="s">
        <v>1885</v>
      </c>
      <c r="N411" s="2">
        <v>28251.1</v>
      </c>
      <c r="O411" t="s">
        <v>1886</v>
      </c>
      <c r="P411" s="6" t="s">
        <v>36</v>
      </c>
      <c r="Q411" t="s">
        <v>37</v>
      </c>
      <c r="R411" t="s">
        <v>66</v>
      </c>
      <c r="S411" s="9">
        <v>5650.22</v>
      </c>
      <c r="T411" s="9">
        <v>5</v>
      </c>
      <c r="U411" s="9">
        <v>28251.1</v>
      </c>
      <c r="V411" s="6" t="s">
        <v>352</v>
      </c>
      <c r="W411" t="s">
        <v>40</v>
      </c>
      <c r="X411">
        <v>7843014747</v>
      </c>
      <c r="Y411">
        <v>781401001</v>
      </c>
      <c r="Z411" s="3">
        <v>45573.488194444442</v>
      </c>
      <c r="AA411" s="6">
        <v>2024</v>
      </c>
      <c r="AB411" s="1">
        <v>46203</v>
      </c>
    </row>
    <row r="412" spans="1:28" x14ac:dyDescent="0.3">
      <c r="A412" t="s">
        <v>1887</v>
      </c>
      <c r="B412" s="6" t="s">
        <v>321</v>
      </c>
      <c r="C412" s="6" t="s">
        <v>322</v>
      </c>
      <c r="D412">
        <v>3917515253</v>
      </c>
      <c r="E412">
        <v>390601001</v>
      </c>
      <c r="F412" t="s">
        <v>149</v>
      </c>
      <c r="G412" t="s">
        <v>1888</v>
      </c>
      <c r="H412" s="1">
        <v>45568</v>
      </c>
      <c r="I412" t="s">
        <v>1889</v>
      </c>
      <c r="J412" s="8">
        <v>45573</v>
      </c>
      <c r="K412" s="1" t="s">
        <v>1479</v>
      </c>
      <c r="L412" t="s">
        <v>1888</v>
      </c>
      <c r="M412" t="s">
        <v>273</v>
      </c>
      <c r="N412" s="2">
        <v>1960000</v>
      </c>
      <c r="O412" t="s">
        <v>440</v>
      </c>
      <c r="P412" s="6" t="s">
        <v>36</v>
      </c>
      <c r="Q412" t="s">
        <v>37</v>
      </c>
      <c r="R412" t="s">
        <v>240</v>
      </c>
      <c r="S412" s="9">
        <v>4900</v>
      </c>
      <c r="T412" s="9">
        <v>400</v>
      </c>
      <c r="U412" s="9">
        <v>1960000</v>
      </c>
      <c r="V412" s="6" t="s">
        <v>39</v>
      </c>
      <c r="W412" t="s">
        <v>40</v>
      </c>
      <c r="X412">
        <v>7810687137</v>
      </c>
      <c r="Y412">
        <v>781401001</v>
      </c>
      <c r="Z412" s="3">
        <v>45593.519444444442</v>
      </c>
      <c r="AA412" s="6">
        <v>2024</v>
      </c>
      <c r="AB412" s="1">
        <v>45657</v>
      </c>
    </row>
    <row r="413" spans="1:28" x14ac:dyDescent="0.3">
      <c r="A413" t="s">
        <v>1890</v>
      </c>
      <c r="B413" s="6" t="s">
        <v>113</v>
      </c>
      <c r="C413" s="6" t="s">
        <v>114</v>
      </c>
      <c r="D413">
        <v>8601035838</v>
      </c>
      <c r="E413">
        <v>860201001</v>
      </c>
      <c r="F413" t="s">
        <v>52</v>
      </c>
      <c r="G413" t="s">
        <v>1891</v>
      </c>
      <c r="H413" s="1">
        <v>45561</v>
      </c>
      <c r="I413" t="s">
        <v>1892</v>
      </c>
      <c r="J413" s="8">
        <v>45573</v>
      </c>
      <c r="K413" s="1" t="s">
        <v>1479</v>
      </c>
      <c r="L413">
        <v>24005154</v>
      </c>
      <c r="M413" t="s">
        <v>1382</v>
      </c>
      <c r="N413" s="2">
        <v>153766.5</v>
      </c>
      <c r="O413" t="s">
        <v>1893</v>
      </c>
      <c r="P413" s="6" t="s">
        <v>36</v>
      </c>
      <c r="Q413" t="s">
        <v>37</v>
      </c>
      <c r="R413" t="s">
        <v>240</v>
      </c>
      <c r="S413" s="9">
        <v>6685.5</v>
      </c>
      <c r="T413" s="9">
        <v>23</v>
      </c>
      <c r="U413" s="9">
        <v>153766.5</v>
      </c>
      <c r="V413" s="6" t="s">
        <v>119</v>
      </c>
      <c r="W413" t="s">
        <v>59</v>
      </c>
      <c r="X413">
        <v>7810776309</v>
      </c>
      <c r="Y413">
        <v>780601001</v>
      </c>
      <c r="Z413" s="3">
        <v>45590.566666666666</v>
      </c>
      <c r="AA413" s="6">
        <v>2024</v>
      </c>
      <c r="AB413" s="1">
        <v>45666</v>
      </c>
    </row>
    <row r="414" spans="1:28" x14ac:dyDescent="0.3">
      <c r="A414" t="s">
        <v>1243</v>
      </c>
      <c r="B414" s="6" t="s">
        <v>354</v>
      </c>
      <c r="C414" s="6" t="s">
        <v>355</v>
      </c>
      <c r="D414">
        <v>2465030876</v>
      </c>
      <c r="E414">
        <v>246501001</v>
      </c>
      <c r="F414" t="s">
        <v>52</v>
      </c>
      <c r="G414" t="s">
        <v>1245</v>
      </c>
      <c r="H414" s="1">
        <v>45565</v>
      </c>
      <c r="I414" t="s">
        <v>1894</v>
      </c>
      <c r="J414" s="8">
        <v>45579</v>
      </c>
      <c r="K414" s="1" t="s">
        <v>1479</v>
      </c>
      <c r="L414" t="s">
        <v>1895</v>
      </c>
      <c r="M414" t="s">
        <v>1896</v>
      </c>
      <c r="N414" s="2">
        <v>360000</v>
      </c>
      <c r="O414" t="s">
        <v>1897</v>
      </c>
      <c r="P414" s="6" t="s">
        <v>36</v>
      </c>
      <c r="Q414" t="s">
        <v>37</v>
      </c>
      <c r="R414" t="s">
        <v>240</v>
      </c>
      <c r="S414" s="9">
        <v>6000</v>
      </c>
      <c r="T414" s="9">
        <f>U414/S414</f>
        <v>60</v>
      </c>
      <c r="U414" s="9">
        <v>360000</v>
      </c>
      <c r="V414" s="6" t="s">
        <v>39</v>
      </c>
      <c r="W414" t="s">
        <v>40</v>
      </c>
      <c r="X414">
        <v>7810687137</v>
      </c>
      <c r="Y414">
        <v>781401001</v>
      </c>
      <c r="Z414" s="3">
        <v>45581.501388888886</v>
      </c>
      <c r="AA414" s="6">
        <v>2024</v>
      </c>
      <c r="AB414" s="1">
        <v>46387</v>
      </c>
    </row>
    <row r="415" spans="1:28" x14ac:dyDescent="0.3">
      <c r="A415" t="s">
        <v>1898</v>
      </c>
      <c r="B415" s="6" t="s">
        <v>418</v>
      </c>
      <c r="C415" s="6" t="s">
        <v>148</v>
      </c>
      <c r="D415">
        <v>274157821</v>
      </c>
      <c r="E415">
        <v>27401001</v>
      </c>
      <c r="F415" t="s">
        <v>52</v>
      </c>
      <c r="G415" t="s">
        <v>1899</v>
      </c>
      <c r="H415" s="1">
        <v>45567</v>
      </c>
      <c r="I415" t="s">
        <v>1900</v>
      </c>
      <c r="J415" s="8">
        <v>45579</v>
      </c>
      <c r="K415" s="1" t="s">
        <v>1479</v>
      </c>
      <c r="L415" t="s">
        <v>1899</v>
      </c>
      <c r="M415" t="s">
        <v>1564</v>
      </c>
      <c r="N415" s="2">
        <v>16313492.65</v>
      </c>
      <c r="O415" t="s">
        <v>1366</v>
      </c>
      <c r="P415" s="6" t="s">
        <v>36</v>
      </c>
      <c r="Q415" t="s">
        <v>37</v>
      </c>
      <c r="R415" t="s">
        <v>240</v>
      </c>
      <c r="S415" s="9">
        <v>5836.67</v>
      </c>
      <c r="T415" s="9">
        <v>2795</v>
      </c>
      <c r="U415" s="9">
        <v>16313492.65</v>
      </c>
      <c r="V415" s="6" t="s">
        <v>128</v>
      </c>
      <c r="W415" t="s">
        <v>129</v>
      </c>
      <c r="X415">
        <v>274110679</v>
      </c>
      <c r="Y415">
        <v>500801001</v>
      </c>
      <c r="Z415" s="3">
        <v>45644.304861111108</v>
      </c>
      <c r="AA415" s="6">
        <v>2024</v>
      </c>
      <c r="AB415" s="1">
        <v>45657</v>
      </c>
    </row>
    <row r="416" spans="1:28" x14ac:dyDescent="0.3">
      <c r="A416" t="s">
        <v>1901</v>
      </c>
      <c r="B416" s="6" t="s">
        <v>131</v>
      </c>
      <c r="C416" s="6" t="s">
        <v>132</v>
      </c>
      <c r="D416">
        <v>6027053995</v>
      </c>
      <c r="E416">
        <v>602701001</v>
      </c>
      <c r="F416" t="s">
        <v>52</v>
      </c>
      <c r="G416" t="s">
        <v>1902</v>
      </c>
      <c r="H416" s="1">
        <v>45568</v>
      </c>
      <c r="I416" t="s">
        <v>1903</v>
      </c>
      <c r="J416" s="8">
        <v>45580</v>
      </c>
      <c r="K416" s="1" t="s">
        <v>1479</v>
      </c>
      <c r="L416" t="s">
        <v>1904</v>
      </c>
      <c r="M416" t="s">
        <v>1905</v>
      </c>
      <c r="N416" s="2">
        <v>990000</v>
      </c>
      <c r="O416" t="s">
        <v>1906</v>
      </c>
      <c r="P416" s="6" t="s">
        <v>1814</v>
      </c>
      <c r="Q416" t="s">
        <v>37</v>
      </c>
      <c r="R416" t="s">
        <v>38</v>
      </c>
      <c r="S416" s="9">
        <v>5500</v>
      </c>
      <c r="T416" s="9">
        <v>90</v>
      </c>
      <c r="U416" s="9">
        <v>495000</v>
      </c>
      <c r="V416" s="6" t="s">
        <v>352</v>
      </c>
      <c r="W416" t="s">
        <v>40</v>
      </c>
      <c r="X416">
        <v>7843014747</v>
      </c>
      <c r="Y416">
        <v>781401001</v>
      </c>
      <c r="Z416" s="3">
        <v>45602.956250000003</v>
      </c>
      <c r="AA416" s="6">
        <v>2024</v>
      </c>
      <c r="AB416" s="1">
        <v>45657</v>
      </c>
    </row>
    <row r="417" spans="1:28" x14ac:dyDescent="0.3">
      <c r="A417" t="s">
        <v>1907</v>
      </c>
      <c r="B417" s="6" t="s">
        <v>1908</v>
      </c>
      <c r="C417" s="6" t="s">
        <v>1473</v>
      </c>
      <c r="D417">
        <v>3123162110</v>
      </c>
      <c r="E417">
        <v>312301001</v>
      </c>
      <c r="F417" t="s">
        <v>52</v>
      </c>
      <c r="G417" t="s">
        <v>1909</v>
      </c>
      <c r="H417" s="1">
        <v>45569</v>
      </c>
      <c r="J417" s="8">
        <v>45580</v>
      </c>
      <c r="K417" s="1" t="s">
        <v>1479</v>
      </c>
      <c r="L417" t="s">
        <v>1910</v>
      </c>
      <c r="M417" t="s">
        <v>1911</v>
      </c>
      <c r="N417" s="2">
        <v>15474349</v>
      </c>
      <c r="O417" t="s">
        <v>377</v>
      </c>
      <c r="P417" s="6" t="s">
        <v>464</v>
      </c>
      <c r="Q417" t="s">
        <v>37</v>
      </c>
      <c r="R417" t="s">
        <v>38</v>
      </c>
      <c r="S417" s="9">
        <v>3673</v>
      </c>
      <c r="T417" s="9">
        <v>4213</v>
      </c>
      <c r="U417" s="9">
        <v>15474349</v>
      </c>
      <c r="V417" s="6" t="s">
        <v>465</v>
      </c>
      <c r="W417" t="s">
        <v>466</v>
      </c>
      <c r="X417">
        <v>7715921852</v>
      </c>
      <c r="Y417">
        <v>770401001</v>
      </c>
      <c r="Z417" s="3">
        <v>45649.647222222222</v>
      </c>
      <c r="AA417" s="6">
        <v>2024</v>
      </c>
      <c r="AB417" s="1">
        <v>45657</v>
      </c>
    </row>
    <row r="418" spans="1:28" x14ac:dyDescent="0.3">
      <c r="A418" t="s">
        <v>1901</v>
      </c>
      <c r="B418" s="6" t="s">
        <v>131</v>
      </c>
      <c r="C418" s="6" t="s">
        <v>132</v>
      </c>
      <c r="D418">
        <v>6027053995</v>
      </c>
      <c r="E418">
        <v>602701001</v>
      </c>
      <c r="F418" t="s">
        <v>52</v>
      </c>
      <c r="G418" t="s">
        <v>1902</v>
      </c>
      <c r="H418" s="1">
        <v>45568</v>
      </c>
      <c r="I418" t="s">
        <v>1903</v>
      </c>
      <c r="J418" s="8">
        <v>45580</v>
      </c>
      <c r="K418" s="1" t="s">
        <v>1479</v>
      </c>
      <c r="L418" t="s">
        <v>1904</v>
      </c>
      <c r="M418" t="s">
        <v>1905</v>
      </c>
      <c r="N418" s="2">
        <v>990000</v>
      </c>
      <c r="O418" t="s">
        <v>1912</v>
      </c>
      <c r="P418" s="6" t="s">
        <v>891</v>
      </c>
      <c r="Q418" t="s">
        <v>37</v>
      </c>
      <c r="R418" t="s">
        <v>38</v>
      </c>
      <c r="S418" s="9">
        <v>5500</v>
      </c>
      <c r="T418" s="9">
        <v>90</v>
      </c>
      <c r="U418" s="9">
        <v>495000</v>
      </c>
      <c r="V418" s="6" t="s">
        <v>352</v>
      </c>
      <c r="W418" t="s">
        <v>40</v>
      </c>
      <c r="X418">
        <v>7843014747</v>
      </c>
      <c r="Y418">
        <v>781401001</v>
      </c>
      <c r="Z418" s="3">
        <v>45602.956250000003</v>
      </c>
      <c r="AA418" s="6">
        <v>2024</v>
      </c>
      <c r="AB418" s="1">
        <v>45657</v>
      </c>
    </row>
    <row r="419" spans="1:28" x14ac:dyDescent="0.3">
      <c r="A419" t="s">
        <v>1913</v>
      </c>
      <c r="B419" s="6" t="s">
        <v>321</v>
      </c>
      <c r="C419" s="6" t="s">
        <v>322</v>
      </c>
      <c r="D419">
        <v>3917515253</v>
      </c>
      <c r="E419">
        <v>390601001</v>
      </c>
      <c r="F419" t="s">
        <v>149</v>
      </c>
      <c r="G419" t="s">
        <v>1914</v>
      </c>
      <c r="H419" s="1">
        <v>45576</v>
      </c>
      <c r="I419" t="s">
        <v>1915</v>
      </c>
      <c r="J419" s="8">
        <v>45581</v>
      </c>
      <c r="K419" s="1" t="s">
        <v>1479</v>
      </c>
      <c r="L419" t="s">
        <v>1914</v>
      </c>
      <c r="M419" t="s">
        <v>273</v>
      </c>
      <c r="N419" s="2">
        <v>833000</v>
      </c>
      <c r="O419" t="s">
        <v>440</v>
      </c>
      <c r="P419" s="6" t="s">
        <v>36</v>
      </c>
      <c r="Q419" t="s">
        <v>37</v>
      </c>
      <c r="R419" t="s">
        <v>240</v>
      </c>
      <c r="S419" s="9">
        <v>4900</v>
      </c>
      <c r="T419" s="9">
        <v>170</v>
      </c>
      <c r="U419" s="9">
        <v>833000</v>
      </c>
      <c r="V419" s="6" t="s">
        <v>39</v>
      </c>
      <c r="W419" t="s">
        <v>40</v>
      </c>
      <c r="X419">
        <v>7810687137</v>
      </c>
      <c r="Y419">
        <v>781401001</v>
      </c>
      <c r="Z419" s="3">
        <v>45602.529861111114</v>
      </c>
      <c r="AA419" s="6">
        <v>2024</v>
      </c>
      <c r="AB419" s="1">
        <v>45657</v>
      </c>
    </row>
    <row r="420" spans="1:28" x14ac:dyDescent="0.3">
      <c r="A420" t="s">
        <v>1867</v>
      </c>
      <c r="B420" s="6" t="s">
        <v>220</v>
      </c>
      <c r="C420" s="6" t="s">
        <v>221</v>
      </c>
      <c r="D420">
        <v>5024068656</v>
      </c>
      <c r="E420">
        <v>502401001</v>
      </c>
      <c r="F420" t="s">
        <v>52</v>
      </c>
      <c r="G420" t="s">
        <v>1868</v>
      </c>
      <c r="H420" s="1">
        <v>45569</v>
      </c>
      <c r="J420" s="8">
        <v>45581</v>
      </c>
      <c r="K420" s="1" t="s">
        <v>1479</v>
      </c>
      <c r="L420" t="s">
        <v>1868</v>
      </c>
      <c r="M420" t="s">
        <v>1916</v>
      </c>
      <c r="N420" s="2">
        <v>164458.89000000001</v>
      </c>
      <c r="O420" t="s">
        <v>440</v>
      </c>
      <c r="P420" s="6" t="s">
        <v>36</v>
      </c>
      <c r="Q420" t="s">
        <v>37</v>
      </c>
      <c r="R420" t="s">
        <v>240</v>
      </c>
      <c r="S420" s="9">
        <v>6091.07</v>
      </c>
      <c r="T420" s="9">
        <v>27</v>
      </c>
      <c r="U420" s="9">
        <v>164458.89000000001</v>
      </c>
      <c r="V420" s="6" t="s">
        <v>128</v>
      </c>
      <c r="W420" t="s">
        <v>129</v>
      </c>
      <c r="X420">
        <v>274110679</v>
      </c>
      <c r="Y420">
        <v>500801001</v>
      </c>
      <c r="Z420" s="3">
        <v>45608.654861111114</v>
      </c>
      <c r="AA420" s="6">
        <v>2024</v>
      </c>
      <c r="AB420" s="1">
        <v>45623</v>
      </c>
    </row>
    <row r="421" spans="1:28" x14ac:dyDescent="0.3">
      <c r="A421" t="s">
        <v>1917</v>
      </c>
      <c r="B421" s="6" t="s">
        <v>1918</v>
      </c>
      <c r="C421" s="6" t="s">
        <v>473</v>
      </c>
      <c r="D421">
        <v>3705003479</v>
      </c>
      <c r="E421">
        <v>370501001</v>
      </c>
      <c r="F421" t="s">
        <v>52</v>
      </c>
      <c r="G421" t="s">
        <v>1919</v>
      </c>
      <c r="H421" s="1">
        <v>45572</v>
      </c>
      <c r="I421" t="s">
        <v>1920</v>
      </c>
      <c r="J421" s="8">
        <v>45583</v>
      </c>
      <c r="K421" s="1" t="s">
        <v>1479</v>
      </c>
      <c r="L421" t="s">
        <v>1921</v>
      </c>
      <c r="M421" t="s">
        <v>1922</v>
      </c>
      <c r="N421" s="2">
        <v>188441.91</v>
      </c>
      <c r="O421" t="s">
        <v>1923</v>
      </c>
      <c r="P421" s="6" t="s">
        <v>36</v>
      </c>
      <c r="Q421" t="s">
        <v>37</v>
      </c>
      <c r="R421" t="s">
        <v>240</v>
      </c>
      <c r="S421" s="9">
        <v>27</v>
      </c>
      <c r="T421" s="9">
        <v>6979.33</v>
      </c>
      <c r="U421" s="9">
        <v>188441.91</v>
      </c>
      <c r="V421" s="6" t="s">
        <v>1924</v>
      </c>
      <c r="W421" t="s">
        <v>59</v>
      </c>
      <c r="X421">
        <v>7839092189</v>
      </c>
      <c r="Y421">
        <v>783901001</v>
      </c>
      <c r="Z421" s="3">
        <v>45583.53125</v>
      </c>
      <c r="AA421" s="6">
        <v>2024</v>
      </c>
      <c r="AB421" s="1">
        <v>45657</v>
      </c>
    </row>
    <row r="422" spans="1:28" x14ac:dyDescent="0.3">
      <c r="A422" t="s">
        <v>1925</v>
      </c>
      <c r="B422" s="6" t="s">
        <v>1926</v>
      </c>
      <c r="C422" s="6" t="s">
        <v>731</v>
      </c>
      <c r="D422">
        <v>5835108606</v>
      </c>
      <c r="E422">
        <v>583501001</v>
      </c>
      <c r="F422" t="s">
        <v>52</v>
      </c>
      <c r="G422" t="s">
        <v>1927</v>
      </c>
      <c r="H422" s="1">
        <v>45572</v>
      </c>
      <c r="J422" s="8">
        <v>45583</v>
      </c>
      <c r="K422" s="1" t="s">
        <v>1479</v>
      </c>
      <c r="L422" t="s">
        <v>1927</v>
      </c>
      <c r="M422" t="s">
        <v>534</v>
      </c>
      <c r="N422" s="2">
        <v>1100000</v>
      </c>
      <c r="O422" t="s">
        <v>1928</v>
      </c>
      <c r="P422" s="6" t="s">
        <v>36</v>
      </c>
      <c r="Q422" t="s">
        <v>37</v>
      </c>
      <c r="R422" t="s">
        <v>240</v>
      </c>
      <c r="S422" s="9">
        <v>5500</v>
      </c>
      <c r="T422" s="9">
        <v>200</v>
      </c>
      <c r="U422" s="9">
        <v>1100000</v>
      </c>
      <c r="V422" s="6" t="s">
        <v>58</v>
      </c>
      <c r="W422" t="s">
        <v>59</v>
      </c>
      <c r="X422">
        <v>5262222144</v>
      </c>
      <c r="Y422">
        <v>526201001</v>
      </c>
      <c r="Z422" s="3">
        <v>45625.600694444445</v>
      </c>
      <c r="AA422" s="6">
        <v>2024</v>
      </c>
      <c r="AB422" s="1">
        <v>45645</v>
      </c>
    </row>
    <row r="423" spans="1:28" x14ac:dyDescent="0.3">
      <c r="A423" t="s">
        <v>1929</v>
      </c>
      <c r="B423" s="6" t="s">
        <v>220</v>
      </c>
      <c r="C423" s="6" t="s">
        <v>221</v>
      </c>
      <c r="D423">
        <v>5024068656</v>
      </c>
      <c r="E423">
        <v>502401001</v>
      </c>
      <c r="F423" t="s">
        <v>52</v>
      </c>
      <c r="G423" t="s">
        <v>1930</v>
      </c>
      <c r="H423" s="1">
        <v>45569</v>
      </c>
      <c r="I423" t="s">
        <v>1931</v>
      </c>
      <c r="J423" s="8">
        <v>45583</v>
      </c>
      <c r="K423" s="1" t="s">
        <v>1479</v>
      </c>
      <c r="L423" t="s">
        <v>1930</v>
      </c>
      <c r="M423" t="s">
        <v>1932</v>
      </c>
      <c r="N423" s="2">
        <v>50316231</v>
      </c>
      <c r="O423" t="s">
        <v>440</v>
      </c>
      <c r="P423" s="6" t="s">
        <v>36</v>
      </c>
      <c r="Q423" t="s">
        <v>37</v>
      </c>
      <c r="R423" t="s">
        <v>240</v>
      </c>
      <c r="S423" s="9">
        <v>5397</v>
      </c>
      <c r="T423" s="9">
        <v>9323</v>
      </c>
      <c r="U423" s="9">
        <v>50316231</v>
      </c>
      <c r="V423" s="6" t="s">
        <v>128</v>
      </c>
      <c r="W423" t="s">
        <v>129</v>
      </c>
      <c r="X423">
        <v>274110679</v>
      </c>
      <c r="Y423">
        <v>500801001</v>
      </c>
      <c r="Z423" s="3">
        <v>45618.574305555558</v>
      </c>
      <c r="AA423" s="6">
        <v>2024</v>
      </c>
      <c r="AB423" s="1">
        <v>45641</v>
      </c>
    </row>
    <row r="424" spans="1:28" x14ac:dyDescent="0.3">
      <c r="A424" t="s">
        <v>1933</v>
      </c>
      <c r="B424" s="6" t="s">
        <v>842</v>
      </c>
      <c r="C424" s="6" t="s">
        <v>843</v>
      </c>
      <c r="D424">
        <v>2128015420</v>
      </c>
      <c r="E424">
        <v>213001001</v>
      </c>
      <c r="F424" t="s">
        <v>149</v>
      </c>
      <c r="G424" t="s">
        <v>1934</v>
      </c>
      <c r="H424" s="1">
        <v>45583</v>
      </c>
      <c r="I424" t="s">
        <v>1935</v>
      </c>
      <c r="J424" s="8">
        <v>45588</v>
      </c>
      <c r="K424" s="1" t="s">
        <v>1479</v>
      </c>
      <c r="L424" t="s">
        <v>1936</v>
      </c>
      <c r="M424" t="s">
        <v>377</v>
      </c>
      <c r="N424" s="2">
        <v>640000</v>
      </c>
      <c r="O424" t="s">
        <v>377</v>
      </c>
      <c r="P424" s="6" t="s">
        <v>1814</v>
      </c>
      <c r="Q424" t="s">
        <v>37</v>
      </c>
      <c r="R424" t="s">
        <v>38</v>
      </c>
      <c r="S424" s="9">
        <v>5000</v>
      </c>
      <c r="T424" s="9">
        <v>128</v>
      </c>
      <c r="U424" s="9">
        <v>640000</v>
      </c>
      <c r="V424" s="6" t="s">
        <v>90</v>
      </c>
      <c r="W424" t="s">
        <v>59</v>
      </c>
      <c r="X424">
        <v>5259153331</v>
      </c>
      <c r="Y424">
        <v>525901001</v>
      </c>
      <c r="Z424" s="3">
        <v>45646.474999999999</v>
      </c>
      <c r="AA424" s="6">
        <v>2024</v>
      </c>
      <c r="AB424" s="1">
        <v>45656</v>
      </c>
    </row>
    <row r="425" spans="1:28" x14ac:dyDescent="0.3">
      <c r="A425" t="s">
        <v>1270</v>
      </c>
      <c r="B425" s="6" t="s">
        <v>220</v>
      </c>
      <c r="C425" s="6" t="s">
        <v>221</v>
      </c>
      <c r="D425">
        <v>5024068656</v>
      </c>
      <c r="E425">
        <v>502401001</v>
      </c>
      <c r="F425" t="s">
        <v>94</v>
      </c>
      <c r="G425" t="s">
        <v>1271</v>
      </c>
      <c r="H425" s="1">
        <v>45583</v>
      </c>
      <c r="J425" s="8">
        <v>45588</v>
      </c>
      <c r="K425" s="1" t="s">
        <v>1479</v>
      </c>
      <c r="L425" t="s">
        <v>1271</v>
      </c>
      <c r="M425" t="s">
        <v>1937</v>
      </c>
      <c r="N425" s="2">
        <v>160920</v>
      </c>
      <c r="O425" t="s">
        <v>440</v>
      </c>
      <c r="P425" s="6" t="s">
        <v>36</v>
      </c>
      <c r="Q425" t="s">
        <v>37</v>
      </c>
      <c r="R425" t="s">
        <v>240</v>
      </c>
      <c r="S425" s="9">
        <v>5960</v>
      </c>
      <c r="T425" s="9">
        <v>27</v>
      </c>
      <c r="U425" s="9">
        <v>160920</v>
      </c>
      <c r="V425" s="6" t="s">
        <v>128</v>
      </c>
      <c r="W425" t="s">
        <v>129</v>
      </c>
      <c r="X425">
        <v>274110679</v>
      </c>
      <c r="Y425">
        <v>500801001</v>
      </c>
      <c r="Z425" s="3">
        <v>45611.501388888886</v>
      </c>
      <c r="AA425" s="6">
        <v>2024</v>
      </c>
      <c r="AB425" s="1">
        <v>45631</v>
      </c>
    </row>
    <row r="426" spans="1:28" x14ac:dyDescent="0.3">
      <c r="A426" t="s">
        <v>1938</v>
      </c>
      <c r="B426" s="6" t="s">
        <v>68</v>
      </c>
      <c r="C426" s="6" t="s">
        <v>69</v>
      </c>
      <c r="D426">
        <v>8300010526</v>
      </c>
      <c r="E426">
        <v>298301001</v>
      </c>
      <c r="F426" t="s">
        <v>149</v>
      </c>
      <c r="G426" t="s">
        <v>1939</v>
      </c>
      <c r="H426" s="1">
        <v>45583</v>
      </c>
      <c r="I426" t="s">
        <v>1940</v>
      </c>
      <c r="J426" s="8">
        <v>45588</v>
      </c>
      <c r="K426" s="1" t="s">
        <v>1479</v>
      </c>
      <c r="L426">
        <v>468</v>
      </c>
      <c r="M426" t="s">
        <v>273</v>
      </c>
      <c r="N426" s="2">
        <v>1705000</v>
      </c>
      <c r="O426" t="s">
        <v>1366</v>
      </c>
      <c r="P426" s="6" t="s">
        <v>36</v>
      </c>
      <c r="Q426" t="s">
        <v>37</v>
      </c>
      <c r="R426" t="s">
        <v>240</v>
      </c>
      <c r="S426" s="9">
        <v>5500</v>
      </c>
      <c r="T426" s="9">
        <v>310</v>
      </c>
      <c r="U426" s="9">
        <v>1705000</v>
      </c>
      <c r="V426" s="6" t="s">
        <v>39</v>
      </c>
      <c r="W426" t="s">
        <v>40</v>
      </c>
      <c r="X426">
        <v>7810687137</v>
      </c>
      <c r="Y426">
        <v>781401001</v>
      </c>
      <c r="Z426" s="3">
        <v>45614.448611111111</v>
      </c>
      <c r="AA426" s="6">
        <v>2024</v>
      </c>
      <c r="AB426" s="1">
        <v>45637</v>
      </c>
    </row>
    <row r="427" spans="1:28" x14ac:dyDescent="0.3">
      <c r="A427" t="s">
        <v>1941</v>
      </c>
      <c r="B427" s="6" t="s">
        <v>294</v>
      </c>
      <c r="C427" s="6" t="s">
        <v>84</v>
      </c>
      <c r="D427">
        <v>3661006889</v>
      </c>
      <c r="E427">
        <v>366101001</v>
      </c>
      <c r="F427" t="s">
        <v>52</v>
      </c>
      <c r="G427" t="s">
        <v>1942</v>
      </c>
      <c r="H427" s="1">
        <v>45580</v>
      </c>
      <c r="J427" s="8">
        <v>45593</v>
      </c>
      <c r="K427" s="1" t="s">
        <v>1479</v>
      </c>
      <c r="L427" t="s">
        <v>1943</v>
      </c>
      <c r="M427" t="s">
        <v>1944</v>
      </c>
      <c r="N427" s="2">
        <v>1265000</v>
      </c>
      <c r="O427" t="s">
        <v>440</v>
      </c>
      <c r="P427" s="6" t="s">
        <v>36</v>
      </c>
      <c r="Q427" t="s">
        <v>37</v>
      </c>
      <c r="R427" t="s">
        <v>240</v>
      </c>
      <c r="S427" s="9">
        <v>5500</v>
      </c>
      <c r="T427" s="9">
        <v>230</v>
      </c>
      <c r="U427" s="9">
        <v>1265000</v>
      </c>
      <c r="V427" s="6" t="s">
        <v>111</v>
      </c>
      <c r="W427" t="s">
        <v>59</v>
      </c>
      <c r="X427">
        <v>5262258091</v>
      </c>
      <c r="Y427">
        <v>526201001</v>
      </c>
      <c r="Z427" s="3">
        <v>45594.720833333333</v>
      </c>
      <c r="AA427" s="6">
        <v>2024</v>
      </c>
      <c r="AB427" s="1">
        <v>45900</v>
      </c>
    </row>
    <row r="428" spans="1:28" x14ac:dyDescent="0.3">
      <c r="A428" t="s">
        <v>1945</v>
      </c>
      <c r="B428" s="6" t="s">
        <v>1103</v>
      </c>
      <c r="C428" s="6" t="s">
        <v>1104</v>
      </c>
      <c r="D428">
        <v>4347018562</v>
      </c>
      <c r="E428">
        <v>434501001</v>
      </c>
      <c r="F428" t="s">
        <v>52</v>
      </c>
      <c r="G428" t="s">
        <v>1946</v>
      </c>
      <c r="H428" s="1">
        <v>45580</v>
      </c>
      <c r="I428" t="s">
        <v>1947</v>
      </c>
      <c r="J428" s="8">
        <v>45593</v>
      </c>
      <c r="K428" s="1" t="s">
        <v>1479</v>
      </c>
      <c r="L428" t="s">
        <v>1948</v>
      </c>
      <c r="M428" t="s">
        <v>416</v>
      </c>
      <c r="N428" s="2">
        <v>20357300</v>
      </c>
      <c r="O428" t="s">
        <v>440</v>
      </c>
      <c r="P428" s="6" t="s">
        <v>36</v>
      </c>
      <c r="Q428" t="s">
        <v>37</v>
      </c>
      <c r="R428" t="s">
        <v>240</v>
      </c>
      <c r="S428" s="9">
        <v>5300</v>
      </c>
      <c r="T428" s="9">
        <v>3841</v>
      </c>
      <c r="U428" s="9">
        <v>20357300</v>
      </c>
      <c r="V428" s="6" t="s">
        <v>58</v>
      </c>
      <c r="W428" t="s">
        <v>59</v>
      </c>
      <c r="X428">
        <v>5262222144</v>
      </c>
      <c r="Y428">
        <v>526201001</v>
      </c>
      <c r="Z428" s="3">
        <v>45649.500694444447</v>
      </c>
      <c r="AA428" s="6">
        <v>2024</v>
      </c>
      <c r="AB428" s="1">
        <v>46021</v>
      </c>
    </row>
    <row r="429" spans="1:28" x14ac:dyDescent="0.3">
      <c r="A429" t="s">
        <v>1949</v>
      </c>
      <c r="B429" s="6" t="s">
        <v>1088</v>
      </c>
      <c r="C429" s="6" t="s">
        <v>355</v>
      </c>
      <c r="D429">
        <v>2466212607</v>
      </c>
      <c r="E429">
        <v>246601001</v>
      </c>
      <c r="F429" t="s">
        <v>94</v>
      </c>
      <c r="G429" t="s">
        <v>1950</v>
      </c>
      <c r="H429" s="1">
        <v>45588</v>
      </c>
      <c r="I429" t="s">
        <v>1951</v>
      </c>
      <c r="J429" s="8">
        <v>45593</v>
      </c>
      <c r="K429" s="1" t="s">
        <v>1479</v>
      </c>
      <c r="L429" t="s">
        <v>1952</v>
      </c>
      <c r="M429" t="s">
        <v>1953</v>
      </c>
      <c r="N429" s="2">
        <v>2049600</v>
      </c>
      <c r="O429" t="s">
        <v>1437</v>
      </c>
      <c r="P429" s="6" t="s">
        <v>891</v>
      </c>
      <c r="Q429" t="s">
        <v>37</v>
      </c>
      <c r="R429" t="s">
        <v>38</v>
      </c>
      <c r="S429" s="9">
        <v>5600</v>
      </c>
      <c r="T429" s="9">
        <v>366</v>
      </c>
      <c r="U429" s="9">
        <v>2049600</v>
      </c>
      <c r="V429" s="6" t="s">
        <v>1954</v>
      </c>
      <c r="W429" t="s">
        <v>402</v>
      </c>
      <c r="X429">
        <v>7203346783</v>
      </c>
      <c r="Y429">
        <v>720301001</v>
      </c>
      <c r="Z429" s="3">
        <v>45617.25</v>
      </c>
      <c r="AA429" s="6">
        <v>2024</v>
      </c>
      <c r="AB429" s="1">
        <v>45656</v>
      </c>
    </row>
    <row r="430" spans="1:28" x14ac:dyDescent="0.3">
      <c r="A430" t="s">
        <v>1955</v>
      </c>
      <c r="B430" s="6" t="s">
        <v>491</v>
      </c>
      <c r="C430" s="6" t="s">
        <v>492</v>
      </c>
      <c r="D430">
        <v>2724041260</v>
      </c>
      <c r="E430">
        <v>272101001</v>
      </c>
      <c r="F430" t="s">
        <v>149</v>
      </c>
      <c r="G430" t="s">
        <v>1956</v>
      </c>
      <c r="H430" s="1">
        <v>45594</v>
      </c>
      <c r="I430" t="s">
        <v>1957</v>
      </c>
      <c r="J430" s="8">
        <v>45597</v>
      </c>
      <c r="K430" s="1" t="s">
        <v>1479</v>
      </c>
      <c r="L430" t="s">
        <v>1958</v>
      </c>
      <c r="M430" t="s">
        <v>273</v>
      </c>
      <c r="N430" s="2">
        <v>2894400</v>
      </c>
      <c r="O430" t="s">
        <v>440</v>
      </c>
      <c r="P430" s="6" t="s">
        <v>36</v>
      </c>
      <c r="R430" t="s">
        <v>240</v>
      </c>
      <c r="S430" s="9">
        <v>5400</v>
      </c>
      <c r="T430" s="9">
        <v>536</v>
      </c>
      <c r="U430" s="9">
        <v>2894400</v>
      </c>
      <c r="V430" s="6" t="s">
        <v>39</v>
      </c>
      <c r="W430" t="s">
        <v>40</v>
      </c>
      <c r="X430">
        <v>7810687137</v>
      </c>
      <c r="Y430">
        <v>781401001</v>
      </c>
      <c r="Z430" s="3">
        <v>45642.179166666669</v>
      </c>
      <c r="AA430" s="6">
        <v>2024</v>
      </c>
      <c r="AB430" s="1">
        <v>45670</v>
      </c>
    </row>
    <row r="431" spans="1:28" x14ac:dyDescent="0.3">
      <c r="A431" s="4" t="s">
        <v>1959</v>
      </c>
      <c r="B431" s="6" t="s">
        <v>491</v>
      </c>
      <c r="C431" s="6" t="s">
        <v>492</v>
      </c>
      <c r="D431">
        <v>2724041260</v>
      </c>
      <c r="E431">
        <v>272101001</v>
      </c>
      <c r="F431" t="s">
        <v>149</v>
      </c>
      <c r="G431" t="s">
        <v>1960</v>
      </c>
      <c r="H431" s="1">
        <v>45594</v>
      </c>
      <c r="J431" s="8">
        <v>45597</v>
      </c>
      <c r="K431" s="1" t="s">
        <v>1479</v>
      </c>
      <c r="L431" t="s">
        <v>1961</v>
      </c>
      <c r="M431" t="s">
        <v>377</v>
      </c>
      <c r="N431" s="2">
        <v>38500</v>
      </c>
      <c r="O431" t="s">
        <v>377</v>
      </c>
      <c r="P431" s="6" t="s">
        <v>891</v>
      </c>
      <c r="Q431" t="s">
        <v>37</v>
      </c>
      <c r="R431" t="s">
        <v>38</v>
      </c>
      <c r="S431" s="9">
        <v>5500</v>
      </c>
      <c r="T431" s="9">
        <v>7</v>
      </c>
      <c r="U431" s="9">
        <v>38500</v>
      </c>
      <c r="V431" s="6" t="s">
        <v>39</v>
      </c>
      <c r="W431" t="s">
        <v>40</v>
      </c>
      <c r="X431">
        <v>7810687137</v>
      </c>
      <c r="Y431">
        <v>781401001</v>
      </c>
      <c r="Z431" s="3">
        <v>45653.183333333334</v>
      </c>
      <c r="AA431" s="6">
        <v>2024</v>
      </c>
      <c r="AB431" s="1">
        <v>45670</v>
      </c>
    </row>
    <row r="432" spans="1:28" x14ac:dyDescent="0.3">
      <c r="A432" t="s">
        <v>1962</v>
      </c>
      <c r="B432" s="6" t="s">
        <v>379</v>
      </c>
      <c r="C432" s="6" t="s">
        <v>380</v>
      </c>
      <c r="D432">
        <v>4700001254</v>
      </c>
      <c r="E432">
        <v>470601001</v>
      </c>
      <c r="F432" t="s">
        <v>52</v>
      </c>
      <c r="G432" t="s">
        <v>1963</v>
      </c>
      <c r="H432" s="1">
        <v>45587</v>
      </c>
      <c r="J432" s="8">
        <v>45598</v>
      </c>
      <c r="K432" s="1" t="s">
        <v>1479</v>
      </c>
      <c r="L432" t="s">
        <v>1964</v>
      </c>
      <c r="M432" t="s">
        <v>1965</v>
      </c>
      <c r="N432" s="2">
        <v>595000</v>
      </c>
      <c r="O432" t="s">
        <v>1366</v>
      </c>
      <c r="P432" s="6" t="s">
        <v>36</v>
      </c>
      <c r="R432" t="s">
        <v>240</v>
      </c>
      <c r="S432" s="9">
        <v>5950</v>
      </c>
      <c r="T432" s="9">
        <v>100</v>
      </c>
      <c r="U432" s="9">
        <v>595000</v>
      </c>
      <c r="V432" s="6" t="s">
        <v>39</v>
      </c>
      <c r="W432" t="s">
        <v>40</v>
      </c>
      <c r="X432">
        <v>7810687137</v>
      </c>
      <c r="Y432">
        <v>781401001</v>
      </c>
      <c r="Z432" s="3">
        <v>45601.42291666667</v>
      </c>
      <c r="AA432" s="6">
        <v>2024</v>
      </c>
      <c r="AB432" s="1">
        <v>46387</v>
      </c>
    </row>
    <row r="433" spans="1:28" x14ac:dyDescent="0.3">
      <c r="A433" t="s">
        <v>1966</v>
      </c>
      <c r="B433" s="6" t="s">
        <v>981</v>
      </c>
      <c r="C433" s="6" t="s">
        <v>164</v>
      </c>
      <c r="D433">
        <v>7704014010</v>
      </c>
      <c r="E433">
        <v>770401001</v>
      </c>
      <c r="F433" t="s">
        <v>149</v>
      </c>
      <c r="G433" t="s">
        <v>1967</v>
      </c>
      <c r="H433" s="1">
        <v>45595</v>
      </c>
      <c r="I433" t="s">
        <v>1968</v>
      </c>
      <c r="J433" s="8">
        <v>45598</v>
      </c>
      <c r="K433" s="1" t="s">
        <v>1479</v>
      </c>
      <c r="L433" t="s">
        <v>1969</v>
      </c>
      <c r="M433" t="s">
        <v>273</v>
      </c>
      <c r="N433" s="2">
        <v>208000</v>
      </c>
      <c r="O433" t="s">
        <v>273</v>
      </c>
      <c r="P433" s="6" t="s">
        <v>36</v>
      </c>
      <c r="R433" t="s">
        <v>240</v>
      </c>
      <c r="S433" s="9">
        <v>5200</v>
      </c>
      <c r="T433" s="9">
        <v>40</v>
      </c>
      <c r="U433" s="9">
        <v>208000</v>
      </c>
      <c r="V433" s="6" t="s">
        <v>58</v>
      </c>
      <c r="W433" t="s">
        <v>59</v>
      </c>
      <c r="X433">
        <v>5262222144</v>
      </c>
      <c r="Y433">
        <v>526201001</v>
      </c>
      <c r="Z433" s="3">
        <v>45652.697916666664</v>
      </c>
      <c r="AA433" s="6">
        <v>2024</v>
      </c>
      <c r="AB433" s="1">
        <v>45657</v>
      </c>
    </row>
    <row r="434" spans="1:28" x14ac:dyDescent="0.3">
      <c r="A434" t="s">
        <v>1970</v>
      </c>
      <c r="B434" s="6" t="s">
        <v>1971</v>
      </c>
      <c r="C434" s="6" t="s">
        <v>436</v>
      </c>
      <c r="D434">
        <v>7627003927</v>
      </c>
      <c r="E434">
        <v>762701001</v>
      </c>
      <c r="F434" t="s">
        <v>52</v>
      </c>
      <c r="G434" t="s">
        <v>1972</v>
      </c>
      <c r="H434" s="1">
        <v>45588</v>
      </c>
      <c r="J434" s="8">
        <v>45601</v>
      </c>
      <c r="K434" s="1" t="s">
        <v>1479</v>
      </c>
      <c r="L434" t="s">
        <v>1973</v>
      </c>
      <c r="M434" t="s">
        <v>1974</v>
      </c>
      <c r="N434" s="2">
        <v>76110.5</v>
      </c>
      <c r="O434" t="s">
        <v>1975</v>
      </c>
      <c r="P434" s="6" t="s">
        <v>36</v>
      </c>
      <c r="R434" t="s">
        <v>66</v>
      </c>
      <c r="S434" s="9">
        <v>7611.05</v>
      </c>
      <c r="T434" s="9">
        <v>10</v>
      </c>
      <c r="U434" s="9">
        <v>76110.5</v>
      </c>
      <c r="V434" s="6" t="s">
        <v>1976</v>
      </c>
      <c r="W434" t="s">
        <v>40</v>
      </c>
      <c r="X434">
        <v>4414016556</v>
      </c>
      <c r="Y434">
        <v>441401001</v>
      </c>
      <c r="Z434" s="3">
        <v>45632.488194444442</v>
      </c>
      <c r="AA434" s="6">
        <v>2024</v>
      </c>
      <c r="AB434" s="1">
        <v>45703</v>
      </c>
    </row>
    <row r="435" spans="1:28" x14ac:dyDescent="0.3">
      <c r="A435" t="s">
        <v>1977</v>
      </c>
      <c r="B435" s="6" t="s">
        <v>796</v>
      </c>
      <c r="C435" s="6" t="s">
        <v>69</v>
      </c>
      <c r="D435">
        <v>8901007006</v>
      </c>
      <c r="E435">
        <v>890101001</v>
      </c>
      <c r="F435" t="s">
        <v>52</v>
      </c>
      <c r="G435" t="s">
        <v>1978</v>
      </c>
      <c r="H435" s="1">
        <v>45589</v>
      </c>
      <c r="J435" s="8">
        <v>45601</v>
      </c>
      <c r="K435" s="1" t="s">
        <v>1479</v>
      </c>
      <c r="L435" t="s">
        <v>1979</v>
      </c>
      <c r="M435" t="s">
        <v>339</v>
      </c>
      <c r="N435" s="2">
        <v>13377359.1</v>
      </c>
      <c r="O435" t="s">
        <v>440</v>
      </c>
      <c r="P435" s="6" t="s">
        <v>36</v>
      </c>
      <c r="R435" t="s">
        <v>240</v>
      </c>
      <c r="S435" s="9">
        <v>6256.95</v>
      </c>
      <c r="T435" s="9">
        <v>2138</v>
      </c>
      <c r="U435" s="9">
        <v>13377359.1</v>
      </c>
      <c r="V435" s="6" t="s">
        <v>58</v>
      </c>
      <c r="W435" t="s">
        <v>59</v>
      </c>
      <c r="X435">
        <v>5262222144</v>
      </c>
      <c r="Y435">
        <v>526201001</v>
      </c>
      <c r="Z435" s="3">
        <v>45650.561111111114</v>
      </c>
      <c r="AA435" s="6">
        <v>2024</v>
      </c>
      <c r="AB435" s="1">
        <v>45719</v>
      </c>
    </row>
    <row r="436" spans="1:28" x14ac:dyDescent="0.3">
      <c r="A436" t="s">
        <v>1980</v>
      </c>
      <c r="B436" s="6" t="s">
        <v>796</v>
      </c>
      <c r="C436" s="6" t="s">
        <v>69</v>
      </c>
      <c r="D436">
        <v>8901007006</v>
      </c>
      <c r="E436">
        <v>890101001</v>
      </c>
      <c r="F436" t="s">
        <v>52</v>
      </c>
      <c r="G436" t="s">
        <v>1981</v>
      </c>
      <c r="H436" s="1">
        <v>45589</v>
      </c>
      <c r="J436" s="8">
        <v>45601</v>
      </c>
      <c r="K436" s="1" t="s">
        <v>1479</v>
      </c>
      <c r="L436" t="s">
        <v>1982</v>
      </c>
      <c r="M436" t="s">
        <v>1983</v>
      </c>
      <c r="N436" s="2">
        <v>1261016.96</v>
      </c>
      <c r="O436" t="s">
        <v>1984</v>
      </c>
      <c r="P436" s="6" t="s">
        <v>36</v>
      </c>
      <c r="R436" t="s">
        <v>306</v>
      </c>
      <c r="S436" s="9">
        <v>6433.76</v>
      </c>
      <c r="T436" s="9">
        <v>196</v>
      </c>
      <c r="U436" s="9">
        <v>1261016.96</v>
      </c>
      <c r="V436" s="6" t="s">
        <v>58</v>
      </c>
      <c r="W436" t="s">
        <v>59</v>
      </c>
      <c r="X436">
        <v>5262222144</v>
      </c>
      <c r="Y436">
        <v>526201001</v>
      </c>
      <c r="Z436" s="3">
        <v>45650.55972222222</v>
      </c>
      <c r="AA436" s="6">
        <v>2024</v>
      </c>
      <c r="AB436" s="1">
        <v>45719</v>
      </c>
    </row>
    <row r="437" spans="1:28" x14ac:dyDescent="0.3">
      <c r="A437" t="s">
        <v>1985</v>
      </c>
      <c r="B437" s="6" t="s">
        <v>796</v>
      </c>
      <c r="C437" s="6" t="s">
        <v>69</v>
      </c>
      <c r="D437">
        <v>8901007006</v>
      </c>
      <c r="E437">
        <v>890101001</v>
      </c>
      <c r="F437" t="s">
        <v>52</v>
      </c>
      <c r="G437" t="s">
        <v>1986</v>
      </c>
      <c r="H437" s="1">
        <v>45589</v>
      </c>
      <c r="J437" s="8">
        <v>45601</v>
      </c>
      <c r="K437" s="1" t="s">
        <v>1479</v>
      </c>
      <c r="L437" t="s">
        <v>1987</v>
      </c>
      <c r="M437" t="s">
        <v>339</v>
      </c>
      <c r="N437" s="2">
        <v>107064.16</v>
      </c>
      <c r="O437" t="s">
        <v>273</v>
      </c>
      <c r="P437" s="6" t="s">
        <v>464</v>
      </c>
      <c r="Q437" t="s">
        <v>37</v>
      </c>
      <c r="R437" t="s">
        <v>240</v>
      </c>
      <c r="S437" s="9">
        <v>7647.44</v>
      </c>
      <c r="T437" s="9">
        <v>14</v>
      </c>
      <c r="U437" s="9">
        <v>107064.16</v>
      </c>
      <c r="V437" s="6" t="s">
        <v>1737</v>
      </c>
      <c r="W437" t="s">
        <v>1738</v>
      </c>
      <c r="X437">
        <v>7203394748</v>
      </c>
      <c r="Y437">
        <v>720301001</v>
      </c>
      <c r="Z437" s="3">
        <v>45623.287499999999</v>
      </c>
      <c r="AA437" s="6">
        <v>2024</v>
      </c>
      <c r="AB437" s="1">
        <v>45719</v>
      </c>
    </row>
    <row r="438" spans="1:28" x14ac:dyDescent="0.3">
      <c r="A438" t="s">
        <v>1988</v>
      </c>
      <c r="B438" s="6" t="s">
        <v>113</v>
      </c>
      <c r="C438" s="6" t="s">
        <v>114</v>
      </c>
      <c r="D438">
        <v>8601035838</v>
      </c>
      <c r="E438">
        <v>860201001</v>
      </c>
      <c r="F438" t="s">
        <v>52</v>
      </c>
      <c r="G438" t="s">
        <v>1989</v>
      </c>
      <c r="H438" s="1">
        <v>45588</v>
      </c>
      <c r="I438" t="s">
        <v>1990</v>
      </c>
      <c r="J438" s="8">
        <v>45601</v>
      </c>
      <c r="K438" s="1" t="s">
        <v>1479</v>
      </c>
      <c r="L438">
        <v>24005928</v>
      </c>
      <c r="M438" t="s">
        <v>1991</v>
      </c>
      <c r="N438" s="2">
        <v>41969250</v>
      </c>
      <c r="O438" t="s">
        <v>1992</v>
      </c>
      <c r="P438" s="6" t="s">
        <v>36</v>
      </c>
      <c r="Q438" t="s">
        <v>1993</v>
      </c>
      <c r="R438" t="s">
        <v>240</v>
      </c>
      <c r="S438" s="9">
        <v>5750</v>
      </c>
      <c r="T438" s="9">
        <v>7299</v>
      </c>
      <c r="U438" s="9">
        <v>41969250</v>
      </c>
      <c r="V438" s="6" t="s">
        <v>119</v>
      </c>
      <c r="W438" t="s">
        <v>59</v>
      </c>
      <c r="X438">
        <v>7810776309</v>
      </c>
      <c r="Y438">
        <v>780601001</v>
      </c>
      <c r="Z438" s="3">
        <v>45628.546527777777</v>
      </c>
      <c r="AA438" s="6">
        <v>2024</v>
      </c>
      <c r="AB438" s="1">
        <v>45639</v>
      </c>
    </row>
    <row r="439" spans="1:28" x14ac:dyDescent="0.3">
      <c r="A439" t="s">
        <v>1994</v>
      </c>
      <c r="B439" s="6" t="s">
        <v>321</v>
      </c>
      <c r="C439" s="6" t="s">
        <v>322</v>
      </c>
      <c r="D439">
        <v>3917515253</v>
      </c>
      <c r="E439">
        <v>390601001</v>
      </c>
      <c r="F439" t="s">
        <v>149</v>
      </c>
      <c r="G439" t="s">
        <v>1995</v>
      </c>
      <c r="H439" s="1">
        <v>45598</v>
      </c>
      <c r="I439" t="s">
        <v>1996</v>
      </c>
      <c r="J439" s="8">
        <v>45603</v>
      </c>
      <c r="K439" s="1" t="s">
        <v>1479</v>
      </c>
      <c r="L439" t="s">
        <v>1995</v>
      </c>
      <c r="M439" t="s">
        <v>273</v>
      </c>
      <c r="N439" s="2">
        <v>3185000</v>
      </c>
      <c r="O439" t="s">
        <v>440</v>
      </c>
      <c r="P439" s="6" t="s">
        <v>36</v>
      </c>
      <c r="R439" t="s">
        <v>240</v>
      </c>
      <c r="S439" s="9">
        <v>4900</v>
      </c>
      <c r="T439" s="9">
        <v>650</v>
      </c>
      <c r="U439" s="9">
        <v>3185000</v>
      </c>
      <c r="V439" s="6" t="s">
        <v>39</v>
      </c>
      <c r="W439" t="s">
        <v>40</v>
      </c>
      <c r="X439">
        <v>7810687137</v>
      </c>
      <c r="Y439">
        <v>781401001</v>
      </c>
      <c r="Z439" s="3">
        <v>45624.518055555556</v>
      </c>
      <c r="AA439" s="6">
        <v>2024</v>
      </c>
      <c r="AB439" s="1">
        <v>45657</v>
      </c>
    </row>
    <row r="440" spans="1:28" x14ac:dyDescent="0.3">
      <c r="A440" t="s">
        <v>1997</v>
      </c>
      <c r="B440" s="6" t="s">
        <v>1190</v>
      </c>
      <c r="C440" s="6" t="s">
        <v>1172</v>
      </c>
      <c r="D440">
        <v>5260037940</v>
      </c>
      <c r="E440">
        <v>526001001</v>
      </c>
      <c r="F440" t="s">
        <v>52</v>
      </c>
      <c r="G440" t="s">
        <v>1998</v>
      </c>
      <c r="H440" s="1">
        <v>45593</v>
      </c>
      <c r="J440" s="8">
        <v>45604</v>
      </c>
      <c r="K440" s="1" t="s">
        <v>1479</v>
      </c>
      <c r="L440" t="s">
        <v>1999</v>
      </c>
      <c r="M440" t="s">
        <v>2000</v>
      </c>
      <c r="N440" s="2">
        <v>255000</v>
      </c>
      <c r="O440" t="s">
        <v>440</v>
      </c>
      <c r="P440" s="6" t="s">
        <v>36</v>
      </c>
      <c r="R440" t="s">
        <v>240</v>
      </c>
      <c r="S440" s="9">
        <v>5100</v>
      </c>
      <c r="T440" s="9">
        <v>50</v>
      </c>
      <c r="U440" s="9">
        <v>255000</v>
      </c>
      <c r="V440" s="6" t="s">
        <v>111</v>
      </c>
      <c r="W440" t="s">
        <v>59</v>
      </c>
      <c r="X440">
        <v>5262258091</v>
      </c>
      <c r="Y440">
        <v>526201001</v>
      </c>
      <c r="Z440" s="3">
        <v>45645.598611111112</v>
      </c>
      <c r="AA440" s="6">
        <v>2024</v>
      </c>
      <c r="AB440" s="1">
        <v>45702</v>
      </c>
    </row>
    <row r="441" spans="1:28" x14ac:dyDescent="0.3">
      <c r="A441" t="s">
        <v>2001</v>
      </c>
      <c r="B441" s="6" t="s">
        <v>554</v>
      </c>
      <c r="C441" s="6" t="s">
        <v>555</v>
      </c>
      <c r="D441">
        <v>7453135827</v>
      </c>
      <c r="E441">
        <v>745301001</v>
      </c>
      <c r="F441" t="s">
        <v>52</v>
      </c>
      <c r="G441" t="s">
        <v>2002</v>
      </c>
      <c r="H441" s="1">
        <v>45593</v>
      </c>
      <c r="J441" s="8">
        <v>45604</v>
      </c>
      <c r="K441" s="1" t="s">
        <v>1479</v>
      </c>
      <c r="L441" t="s">
        <v>2003</v>
      </c>
      <c r="M441" t="s">
        <v>2004</v>
      </c>
      <c r="N441" s="2">
        <v>40675600</v>
      </c>
      <c r="O441" t="s">
        <v>377</v>
      </c>
      <c r="P441" s="6" t="s">
        <v>36</v>
      </c>
      <c r="R441" t="s">
        <v>38</v>
      </c>
      <c r="S441" s="9">
        <v>5572</v>
      </c>
      <c r="T441" s="9">
        <v>3650</v>
      </c>
      <c r="U441" s="9">
        <v>20337800</v>
      </c>
      <c r="V441" s="6" t="s">
        <v>1456</v>
      </c>
      <c r="W441" t="s">
        <v>59</v>
      </c>
      <c r="X441">
        <v>6658399963</v>
      </c>
      <c r="Y441">
        <v>665801001</v>
      </c>
      <c r="Z441" s="3">
        <v>45670.615277777775</v>
      </c>
      <c r="AA441" s="6">
        <v>2024</v>
      </c>
      <c r="AB441" s="1">
        <v>45651</v>
      </c>
    </row>
    <row r="442" spans="1:28" x14ac:dyDescent="0.3">
      <c r="A442" t="s">
        <v>2001</v>
      </c>
      <c r="B442" s="6" t="s">
        <v>554</v>
      </c>
      <c r="C442" s="6" t="s">
        <v>555</v>
      </c>
      <c r="D442">
        <v>7453135827</v>
      </c>
      <c r="E442">
        <v>745301001</v>
      </c>
      <c r="F442" t="s">
        <v>52</v>
      </c>
      <c r="G442" t="s">
        <v>2002</v>
      </c>
      <c r="H442" s="1">
        <v>45593</v>
      </c>
      <c r="J442" s="8">
        <v>45604</v>
      </c>
      <c r="K442" s="1" t="s">
        <v>1479</v>
      </c>
      <c r="L442" t="s">
        <v>2003</v>
      </c>
      <c r="M442" t="s">
        <v>2004</v>
      </c>
      <c r="N442" s="2">
        <v>40675600</v>
      </c>
      <c r="O442" t="s">
        <v>1912</v>
      </c>
      <c r="P442" s="6" t="s">
        <v>891</v>
      </c>
      <c r="Q442" t="s">
        <v>37</v>
      </c>
      <c r="R442" t="s">
        <v>38</v>
      </c>
      <c r="S442" s="9">
        <v>5572</v>
      </c>
      <c r="T442" s="9">
        <v>3650</v>
      </c>
      <c r="U442" s="9">
        <v>20337800</v>
      </c>
      <c r="V442" s="6" t="s">
        <v>1456</v>
      </c>
      <c r="W442" t="s">
        <v>59</v>
      </c>
      <c r="X442">
        <v>6658399963</v>
      </c>
      <c r="Y442">
        <v>665801001</v>
      </c>
      <c r="Z442" s="3">
        <v>45670.615277777775</v>
      </c>
      <c r="AA442" s="6">
        <v>2024</v>
      </c>
      <c r="AB442" s="1">
        <v>45651</v>
      </c>
    </row>
    <row r="443" spans="1:28" x14ac:dyDescent="0.3">
      <c r="A443" t="s">
        <v>2005</v>
      </c>
      <c r="B443" s="6" t="s">
        <v>501</v>
      </c>
      <c r="C443" s="6" t="s">
        <v>502</v>
      </c>
      <c r="D443">
        <v>6318197367</v>
      </c>
      <c r="E443">
        <v>631801001</v>
      </c>
      <c r="F443" t="s">
        <v>52</v>
      </c>
      <c r="G443" t="s">
        <v>2006</v>
      </c>
      <c r="H443" s="1">
        <v>45595</v>
      </c>
      <c r="I443" t="s">
        <v>2007</v>
      </c>
      <c r="J443" s="8">
        <v>45607</v>
      </c>
      <c r="K443" s="1" t="s">
        <v>1479</v>
      </c>
      <c r="L443" t="s">
        <v>2008</v>
      </c>
      <c r="M443" t="s">
        <v>1143</v>
      </c>
      <c r="N443" s="2">
        <v>908435</v>
      </c>
      <c r="O443" t="s">
        <v>1851</v>
      </c>
      <c r="P443" s="6" t="s">
        <v>1814</v>
      </c>
      <c r="R443" t="s">
        <v>38</v>
      </c>
      <c r="S443" s="9">
        <v>5472.5</v>
      </c>
      <c r="T443" s="9">
        <v>166</v>
      </c>
      <c r="U443" s="9">
        <v>908435</v>
      </c>
      <c r="V443" s="6" t="s">
        <v>90</v>
      </c>
      <c r="W443" t="s">
        <v>59</v>
      </c>
      <c r="X443">
        <v>5259153331</v>
      </c>
      <c r="Y443">
        <v>525901001</v>
      </c>
      <c r="Z443" s="3">
        <v>45646.306250000001</v>
      </c>
      <c r="AA443" s="6">
        <v>2024</v>
      </c>
      <c r="AB443" s="1">
        <v>45657</v>
      </c>
    </row>
    <row r="444" spans="1:28" x14ac:dyDescent="0.3">
      <c r="A444" t="s">
        <v>2009</v>
      </c>
      <c r="B444" s="6" t="s">
        <v>501</v>
      </c>
      <c r="C444" s="6" t="s">
        <v>502</v>
      </c>
      <c r="D444">
        <v>6318197367</v>
      </c>
      <c r="E444">
        <v>631801001</v>
      </c>
      <c r="F444" t="s">
        <v>52</v>
      </c>
      <c r="G444" t="s">
        <v>2010</v>
      </c>
      <c r="H444" s="1">
        <v>45597</v>
      </c>
      <c r="I444" t="s">
        <v>2011</v>
      </c>
      <c r="J444" s="8">
        <v>45608</v>
      </c>
      <c r="K444" s="1" t="s">
        <v>1479</v>
      </c>
      <c r="L444" t="s">
        <v>2012</v>
      </c>
      <c r="M444" t="s">
        <v>1143</v>
      </c>
      <c r="N444" s="2">
        <v>363000</v>
      </c>
      <c r="O444" t="s">
        <v>1851</v>
      </c>
      <c r="P444" s="6" t="s">
        <v>1814</v>
      </c>
      <c r="R444" t="s">
        <v>38</v>
      </c>
      <c r="S444" s="9">
        <v>5500</v>
      </c>
      <c r="T444" s="9">
        <v>66</v>
      </c>
      <c r="U444" s="9">
        <v>363000</v>
      </c>
      <c r="V444" s="6" t="s">
        <v>90</v>
      </c>
      <c r="W444" t="s">
        <v>59</v>
      </c>
      <c r="X444">
        <v>5259153331</v>
      </c>
      <c r="Y444">
        <v>525901001</v>
      </c>
      <c r="Z444" s="3">
        <v>45637.53125</v>
      </c>
      <c r="AA444" s="6">
        <v>2024</v>
      </c>
      <c r="AB444" s="1">
        <v>45657</v>
      </c>
    </row>
    <row r="445" spans="1:28" x14ac:dyDescent="0.3">
      <c r="A445" t="s">
        <v>2013</v>
      </c>
      <c r="B445" s="6" t="s">
        <v>220</v>
      </c>
      <c r="C445" s="6" t="s">
        <v>221</v>
      </c>
      <c r="D445">
        <v>5024068656</v>
      </c>
      <c r="E445">
        <v>502401001</v>
      </c>
      <c r="F445" t="s">
        <v>94</v>
      </c>
      <c r="G445" t="s">
        <v>2014</v>
      </c>
      <c r="H445" s="1">
        <v>45603</v>
      </c>
      <c r="J445" s="8">
        <v>45608</v>
      </c>
      <c r="K445" s="1" t="s">
        <v>1479</v>
      </c>
      <c r="L445" t="s">
        <v>2014</v>
      </c>
      <c r="M445" t="s">
        <v>2015</v>
      </c>
      <c r="N445" s="2">
        <v>450000</v>
      </c>
      <c r="O445" t="s">
        <v>494</v>
      </c>
      <c r="P445" s="6" t="s">
        <v>36</v>
      </c>
      <c r="R445" t="s">
        <v>38</v>
      </c>
      <c r="S445" s="9">
        <v>5000</v>
      </c>
      <c r="T445" s="9">
        <v>90</v>
      </c>
      <c r="U445" s="9">
        <v>450000</v>
      </c>
      <c r="V445" s="6" t="s">
        <v>128</v>
      </c>
      <c r="W445" t="s">
        <v>129</v>
      </c>
      <c r="X445">
        <v>274110679</v>
      </c>
      <c r="Y445">
        <v>500801001</v>
      </c>
      <c r="Z445" s="3">
        <v>45638.447222222225</v>
      </c>
      <c r="AA445" s="6">
        <v>2024</v>
      </c>
      <c r="AB445" s="1">
        <v>45653</v>
      </c>
    </row>
    <row r="446" spans="1:28" x14ac:dyDescent="0.3">
      <c r="A446" t="s">
        <v>2016</v>
      </c>
      <c r="B446" s="6" t="s">
        <v>910</v>
      </c>
      <c r="C446" s="6" t="s">
        <v>911</v>
      </c>
      <c r="D446">
        <v>1200000881</v>
      </c>
      <c r="E446">
        <v>121501001</v>
      </c>
      <c r="F446" t="s">
        <v>94</v>
      </c>
      <c r="G446" t="s">
        <v>2017</v>
      </c>
      <c r="H446" s="1">
        <v>45604</v>
      </c>
      <c r="J446" s="8">
        <v>45609</v>
      </c>
      <c r="K446" s="1" t="s">
        <v>1479</v>
      </c>
      <c r="L446" t="s">
        <v>2018</v>
      </c>
      <c r="M446" t="s">
        <v>2019</v>
      </c>
      <c r="N446" s="2">
        <v>1550000</v>
      </c>
      <c r="O446" t="s">
        <v>440</v>
      </c>
      <c r="P446" s="6" t="s">
        <v>36</v>
      </c>
      <c r="R446" t="s">
        <v>240</v>
      </c>
      <c r="S446" s="9">
        <v>5000</v>
      </c>
      <c r="T446" s="9">
        <v>310</v>
      </c>
      <c r="U446" s="9">
        <v>1550000</v>
      </c>
      <c r="V446" s="6" t="s">
        <v>111</v>
      </c>
      <c r="W446" t="s">
        <v>59</v>
      </c>
      <c r="X446">
        <v>5262258091</v>
      </c>
      <c r="Y446">
        <v>526201001</v>
      </c>
      <c r="Z446" s="3">
        <v>45628.447916666664</v>
      </c>
      <c r="AA446" s="6">
        <v>2024</v>
      </c>
      <c r="AB446" s="1">
        <v>45657</v>
      </c>
    </row>
    <row r="447" spans="1:28" x14ac:dyDescent="0.3">
      <c r="A447" t="s">
        <v>2020</v>
      </c>
      <c r="B447" s="6" t="s">
        <v>1448</v>
      </c>
      <c r="C447" s="6" t="s">
        <v>947</v>
      </c>
      <c r="D447">
        <v>7300016734</v>
      </c>
      <c r="E447">
        <v>730001001</v>
      </c>
      <c r="F447" t="s">
        <v>94</v>
      </c>
      <c r="G447" t="s">
        <v>2021</v>
      </c>
      <c r="H447" s="1">
        <v>45604</v>
      </c>
      <c r="I447" t="s">
        <v>2022</v>
      </c>
      <c r="J447" s="8">
        <v>45609</v>
      </c>
      <c r="K447" s="1" t="s">
        <v>1479</v>
      </c>
      <c r="L447" t="s">
        <v>2023</v>
      </c>
      <c r="M447" t="s">
        <v>2024</v>
      </c>
      <c r="N447" s="2">
        <v>1232000</v>
      </c>
      <c r="O447" t="s">
        <v>2025</v>
      </c>
      <c r="P447" s="6" t="s">
        <v>1814</v>
      </c>
      <c r="R447" t="s">
        <v>38</v>
      </c>
      <c r="S447" s="9">
        <v>4400</v>
      </c>
      <c r="T447" s="9">
        <v>280</v>
      </c>
      <c r="U447" s="9">
        <v>1232000</v>
      </c>
      <c r="V447" s="6" t="s">
        <v>90</v>
      </c>
      <c r="W447" t="s">
        <v>59</v>
      </c>
      <c r="X447">
        <v>5259153331</v>
      </c>
      <c r="Y447">
        <v>525901001</v>
      </c>
      <c r="Z447" s="3">
        <v>45651.584027777775</v>
      </c>
      <c r="AA447" s="6">
        <v>2024</v>
      </c>
      <c r="AB447" s="1">
        <v>45657</v>
      </c>
    </row>
    <row r="448" spans="1:28" x14ac:dyDescent="0.3">
      <c r="A448" t="s">
        <v>2026</v>
      </c>
      <c r="B448" s="6" t="s">
        <v>1908</v>
      </c>
      <c r="C448" s="6" t="s">
        <v>1473</v>
      </c>
      <c r="D448">
        <v>3123162110</v>
      </c>
      <c r="E448">
        <v>312301001</v>
      </c>
      <c r="F448" t="s">
        <v>52</v>
      </c>
      <c r="G448" t="s">
        <v>2027</v>
      </c>
      <c r="H448" s="1">
        <v>45603</v>
      </c>
      <c r="I448" t="s">
        <v>2028</v>
      </c>
      <c r="J448" s="8">
        <v>45614</v>
      </c>
      <c r="K448" s="1" t="s">
        <v>1479</v>
      </c>
      <c r="L448" t="s">
        <v>2029</v>
      </c>
      <c r="M448" t="s">
        <v>2030</v>
      </c>
      <c r="N448" s="2">
        <v>53627805</v>
      </c>
      <c r="O448" t="s">
        <v>377</v>
      </c>
      <c r="P448" s="6" t="s">
        <v>464</v>
      </c>
      <c r="Q448" t="s">
        <v>37</v>
      </c>
      <c r="R448" t="s">
        <v>38</v>
      </c>
      <c r="S448" s="9">
        <v>3638.25</v>
      </c>
      <c r="T448" s="9">
        <v>14740</v>
      </c>
      <c r="U448" s="9">
        <v>53627805</v>
      </c>
      <c r="V448" s="6" t="s">
        <v>465</v>
      </c>
      <c r="W448" t="s">
        <v>466</v>
      </c>
      <c r="X448">
        <v>7715921852</v>
      </c>
      <c r="Y448">
        <v>770401001</v>
      </c>
      <c r="Z448" s="3">
        <v>45671.544444444444</v>
      </c>
      <c r="AA448" s="6">
        <v>2024</v>
      </c>
      <c r="AB448" s="1">
        <v>46022</v>
      </c>
    </row>
    <row r="449" spans="1:28" x14ac:dyDescent="0.3">
      <c r="A449" t="s">
        <v>1571</v>
      </c>
      <c r="B449" s="6" t="s">
        <v>354</v>
      </c>
      <c r="C449" s="6" t="s">
        <v>355</v>
      </c>
      <c r="D449">
        <v>2225021067</v>
      </c>
      <c r="E449">
        <v>222501001</v>
      </c>
      <c r="F449" t="s">
        <v>52</v>
      </c>
      <c r="G449" t="s">
        <v>1572</v>
      </c>
      <c r="H449" s="1">
        <v>45601</v>
      </c>
      <c r="I449" t="s">
        <v>2031</v>
      </c>
      <c r="J449" s="8">
        <v>45614</v>
      </c>
      <c r="K449" s="1" t="s">
        <v>1479</v>
      </c>
      <c r="L449" t="s">
        <v>2032</v>
      </c>
      <c r="M449" t="s">
        <v>2033</v>
      </c>
      <c r="N449" s="2">
        <v>275000</v>
      </c>
      <c r="O449" t="s">
        <v>440</v>
      </c>
      <c r="P449" s="6" t="s">
        <v>36</v>
      </c>
      <c r="R449" t="s">
        <v>240</v>
      </c>
      <c r="S449" s="9">
        <v>5500</v>
      </c>
      <c r="T449" s="9">
        <v>50</v>
      </c>
      <c r="U449" s="9">
        <v>275000</v>
      </c>
      <c r="V449" s="6" t="s">
        <v>58</v>
      </c>
      <c r="W449" t="s">
        <v>59</v>
      </c>
      <c r="X449">
        <v>5262222144</v>
      </c>
      <c r="Y449">
        <v>526201001</v>
      </c>
      <c r="Z449" s="3">
        <v>45616.185416666667</v>
      </c>
      <c r="AA449" s="6">
        <v>2024</v>
      </c>
      <c r="AB449" s="1">
        <v>46021</v>
      </c>
    </row>
    <row r="450" spans="1:28" x14ac:dyDescent="0.3">
      <c r="A450" t="s">
        <v>2034</v>
      </c>
      <c r="B450" s="6" t="s">
        <v>509</v>
      </c>
      <c r="C450" s="6" t="s">
        <v>395</v>
      </c>
      <c r="D450">
        <v>7202161807</v>
      </c>
      <c r="E450">
        <v>720301001</v>
      </c>
      <c r="F450" t="s">
        <v>52</v>
      </c>
      <c r="G450" t="s">
        <v>2035</v>
      </c>
      <c r="H450" s="1">
        <v>45602</v>
      </c>
      <c r="I450" t="s">
        <v>2036</v>
      </c>
      <c r="J450" s="8">
        <v>45614</v>
      </c>
      <c r="K450" s="1" t="s">
        <v>1479</v>
      </c>
      <c r="L450" t="s">
        <v>2037</v>
      </c>
      <c r="M450" t="s">
        <v>2038</v>
      </c>
      <c r="N450" s="2">
        <v>561600</v>
      </c>
      <c r="O450" t="s">
        <v>377</v>
      </c>
      <c r="P450" s="6" t="s">
        <v>891</v>
      </c>
      <c r="Q450" t="s">
        <v>37</v>
      </c>
      <c r="R450" t="s">
        <v>38</v>
      </c>
      <c r="S450" s="9">
        <v>5850</v>
      </c>
      <c r="T450" s="9">
        <v>96</v>
      </c>
      <c r="U450" s="9">
        <v>561600</v>
      </c>
      <c r="V450" s="6" t="s">
        <v>1954</v>
      </c>
      <c r="W450" t="s">
        <v>402</v>
      </c>
      <c r="X450">
        <v>7203346783</v>
      </c>
      <c r="Y450">
        <v>720301001</v>
      </c>
      <c r="Z450" s="3">
        <v>45628.417361111111</v>
      </c>
      <c r="AA450" s="6">
        <v>2024</v>
      </c>
      <c r="AB450" s="1">
        <v>45654</v>
      </c>
    </row>
    <row r="451" spans="1:28" x14ac:dyDescent="0.3">
      <c r="A451" s="4" t="s">
        <v>2039</v>
      </c>
      <c r="B451" s="6" t="s">
        <v>1596</v>
      </c>
      <c r="C451" s="6" t="s">
        <v>285</v>
      </c>
      <c r="D451">
        <v>3325008103</v>
      </c>
      <c r="E451">
        <v>332501001</v>
      </c>
      <c r="F451" t="s">
        <v>52</v>
      </c>
      <c r="G451" t="s">
        <v>2040</v>
      </c>
      <c r="H451" s="1">
        <v>45603</v>
      </c>
      <c r="I451" t="s">
        <v>2041</v>
      </c>
      <c r="J451" s="8">
        <v>45614</v>
      </c>
      <c r="K451" s="1" t="s">
        <v>1479</v>
      </c>
      <c r="L451" t="s">
        <v>2042</v>
      </c>
      <c r="M451" t="s">
        <v>2043</v>
      </c>
      <c r="N451" s="2">
        <v>161019.72</v>
      </c>
      <c r="O451" t="s">
        <v>1251</v>
      </c>
      <c r="P451" s="6" t="s">
        <v>891</v>
      </c>
      <c r="Q451" t="s">
        <v>37</v>
      </c>
      <c r="R451" t="s">
        <v>38</v>
      </c>
      <c r="S451" s="9">
        <v>4472.7700000000004</v>
      </c>
      <c r="T451" s="9">
        <v>36</v>
      </c>
      <c r="U451" s="9">
        <v>161019.72</v>
      </c>
      <c r="V451" s="6" t="s">
        <v>290</v>
      </c>
      <c r="W451" t="s">
        <v>59</v>
      </c>
      <c r="X451">
        <v>3302013594</v>
      </c>
      <c r="Y451">
        <v>332801001</v>
      </c>
      <c r="Z451" s="3">
        <v>45653.635416666664</v>
      </c>
      <c r="AA451" s="6">
        <v>2024</v>
      </c>
      <c r="AB451" s="1">
        <v>45651</v>
      </c>
    </row>
    <row r="452" spans="1:28" x14ac:dyDescent="0.3">
      <c r="A452" t="s">
        <v>2044</v>
      </c>
      <c r="B452" s="6" t="s">
        <v>2045</v>
      </c>
      <c r="C452" s="6" t="s">
        <v>122</v>
      </c>
      <c r="D452">
        <v>5408100138</v>
      </c>
      <c r="E452">
        <v>540801001</v>
      </c>
      <c r="F452" t="s">
        <v>149</v>
      </c>
      <c r="G452" t="s">
        <v>2046</v>
      </c>
      <c r="H452" s="1">
        <v>45610</v>
      </c>
      <c r="J452" s="8">
        <v>45615</v>
      </c>
      <c r="K452" s="1" t="s">
        <v>1479</v>
      </c>
      <c r="L452" t="s">
        <v>2047</v>
      </c>
      <c r="M452" t="s">
        <v>273</v>
      </c>
      <c r="N452" s="2">
        <v>52650</v>
      </c>
      <c r="O452" t="s">
        <v>440</v>
      </c>
      <c r="P452" s="6" t="s">
        <v>36</v>
      </c>
      <c r="R452" t="s">
        <v>240</v>
      </c>
      <c r="S452" s="9">
        <v>5850</v>
      </c>
      <c r="T452" s="9">
        <v>9</v>
      </c>
      <c r="U452" s="9">
        <v>52650</v>
      </c>
      <c r="V452" s="6" t="s">
        <v>750</v>
      </c>
      <c r="W452" t="s">
        <v>59</v>
      </c>
      <c r="X452">
        <v>540123954976</v>
      </c>
      <c r="Z452" s="3">
        <v>45650.313888888886</v>
      </c>
      <c r="AA452" s="6">
        <v>2024</v>
      </c>
      <c r="AB452" s="1">
        <v>45657</v>
      </c>
    </row>
    <row r="453" spans="1:28" x14ac:dyDescent="0.3">
      <c r="A453" t="s">
        <v>2048</v>
      </c>
      <c r="B453" s="6" t="s">
        <v>220</v>
      </c>
      <c r="C453" s="6" t="s">
        <v>221</v>
      </c>
      <c r="D453">
        <v>5024068656</v>
      </c>
      <c r="E453">
        <v>502401001</v>
      </c>
      <c r="F453" t="s">
        <v>94</v>
      </c>
      <c r="G453" t="s">
        <v>2049</v>
      </c>
      <c r="H453" s="1">
        <v>45610</v>
      </c>
      <c r="J453" s="8">
        <v>45615</v>
      </c>
      <c r="K453" s="1" t="s">
        <v>1479</v>
      </c>
      <c r="L453" t="s">
        <v>2050</v>
      </c>
      <c r="M453" t="s">
        <v>2051</v>
      </c>
      <c r="N453" s="2">
        <v>205000</v>
      </c>
      <c r="O453" t="s">
        <v>440</v>
      </c>
      <c r="P453" s="6" t="s">
        <v>36</v>
      </c>
      <c r="R453" t="s">
        <v>240</v>
      </c>
      <c r="S453" s="9">
        <v>5000</v>
      </c>
      <c r="T453" s="9">
        <v>41</v>
      </c>
      <c r="U453" s="9">
        <v>205000</v>
      </c>
      <c r="V453" s="6" t="s">
        <v>128</v>
      </c>
      <c r="W453" t="s">
        <v>129</v>
      </c>
      <c r="X453">
        <v>274110679</v>
      </c>
      <c r="Y453">
        <v>500801001</v>
      </c>
      <c r="Z453" s="3">
        <v>45615.706250000003</v>
      </c>
      <c r="AA453" s="6">
        <v>2024</v>
      </c>
      <c r="AB453" s="1">
        <v>45706</v>
      </c>
    </row>
    <row r="454" spans="1:28" x14ac:dyDescent="0.3">
      <c r="A454" t="s">
        <v>2052</v>
      </c>
      <c r="B454" s="6" t="s">
        <v>220</v>
      </c>
      <c r="C454" s="6" t="s">
        <v>221</v>
      </c>
      <c r="D454">
        <v>5024068656</v>
      </c>
      <c r="E454">
        <v>502401001</v>
      </c>
      <c r="F454" t="s">
        <v>94</v>
      </c>
      <c r="G454" t="s">
        <v>2053</v>
      </c>
      <c r="H454" s="1">
        <v>45610</v>
      </c>
      <c r="J454" s="8">
        <v>45615</v>
      </c>
      <c r="K454" s="1" t="s">
        <v>1479</v>
      </c>
      <c r="L454" t="s">
        <v>2054</v>
      </c>
      <c r="M454" t="s">
        <v>2055</v>
      </c>
      <c r="N454" s="2">
        <v>135000</v>
      </c>
      <c r="O454" t="s">
        <v>494</v>
      </c>
      <c r="P454" s="6" t="s">
        <v>36</v>
      </c>
      <c r="R454" t="s">
        <v>38</v>
      </c>
      <c r="S454" s="9">
        <v>5000</v>
      </c>
      <c r="T454" s="9">
        <v>27</v>
      </c>
      <c r="U454" s="9">
        <v>135000</v>
      </c>
      <c r="V454" s="6" t="s">
        <v>128</v>
      </c>
      <c r="W454" t="s">
        <v>129</v>
      </c>
      <c r="X454">
        <v>274110679</v>
      </c>
      <c r="Y454">
        <v>500801001</v>
      </c>
      <c r="Z454" s="3">
        <v>45637.51458333333</v>
      </c>
      <c r="AA454" s="6">
        <v>2024</v>
      </c>
      <c r="AB454" s="1">
        <v>45654</v>
      </c>
    </row>
    <row r="455" spans="1:28" x14ac:dyDescent="0.3">
      <c r="A455" t="s">
        <v>2056</v>
      </c>
      <c r="B455" s="6" t="s">
        <v>1926</v>
      </c>
      <c r="C455" s="6" t="s">
        <v>731</v>
      </c>
      <c r="D455">
        <v>5835108606</v>
      </c>
      <c r="E455">
        <v>583501001</v>
      </c>
      <c r="F455" t="s">
        <v>52</v>
      </c>
      <c r="G455" t="s">
        <v>2057</v>
      </c>
      <c r="H455" s="1">
        <v>45604</v>
      </c>
      <c r="I455" t="s">
        <v>2058</v>
      </c>
      <c r="J455" s="8">
        <v>45615</v>
      </c>
      <c r="K455" s="1" t="s">
        <v>1479</v>
      </c>
      <c r="L455" t="s">
        <v>2057</v>
      </c>
      <c r="M455" t="s">
        <v>534</v>
      </c>
      <c r="N455" s="2">
        <v>3635500</v>
      </c>
      <c r="O455" t="s">
        <v>1928</v>
      </c>
      <c r="P455" s="6" t="s">
        <v>36</v>
      </c>
      <c r="R455" t="s">
        <v>240</v>
      </c>
      <c r="S455" s="9">
        <v>5500</v>
      </c>
      <c r="T455" s="9">
        <v>661</v>
      </c>
      <c r="U455" s="9">
        <v>3635500</v>
      </c>
      <c r="V455" s="6" t="s">
        <v>58</v>
      </c>
      <c r="W455" t="s">
        <v>59</v>
      </c>
      <c r="X455">
        <v>5262222144</v>
      </c>
      <c r="Y455">
        <v>526201001</v>
      </c>
      <c r="Z455" s="3">
        <v>45651.504166666666</v>
      </c>
      <c r="AA455" s="6">
        <v>2024</v>
      </c>
      <c r="AB455" s="1">
        <v>45666</v>
      </c>
    </row>
    <row r="456" spans="1:28" x14ac:dyDescent="0.3">
      <c r="A456" t="s">
        <v>1204</v>
      </c>
      <c r="B456" s="6" t="s">
        <v>1171</v>
      </c>
      <c r="C456" s="6" t="s">
        <v>1172</v>
      </c>
      <c r="D456">
        <v>5260101352</v>
      </c>
      <c r="E456">
        <v>526001001</v>
      </c>
      <c r="F456" t="s">
        <v>94</v>
      </c>
      <c r="G456" t="s">
        <v>1205</v>
      </c>
      <c r="H456" s="1">
        <v>45614</v>
      </c>
      <c r="J456" s="8">
        <v>45617</v>
      </c>
      <c r="K456" s="1" t="s">
        <v>1479</v>
      </c>
      <c r="L456" t="s">
        <v>2059</v>
      </c>
      <c r="M456" t="s">
        <v>2060</v>
      </c>
      <c r="N456" s="2">
        <v>180000</v>
      </c>
      <c r="O456" t="s">
        <v>440</v>
      </c>
      <c r="P456" s="6" t="s">
        <v>36</v>
      </c>
      <c r="R456" t="s">
        <v>240</v>
      </c>
      <c r="S456" s="9">
        <v>5000</v>
      </c>
      <c r="T456" s="9">
        <v>36</v>
      </c>
      <c r="U456" s="9">
        <v>180000</v>
      </c>
      <c r="V456" s="6" t="s">
        <v>128</v>
      </c>
      <c r="W456" t="s">
        <v>129</v>
      </c>
      <c r="X456">
        <v>274110679</v>
      </c>
      <c r="Y456">
        <v>500801001</v>
      </c>
      <c r="Z456" s="3">
        <v>45636.52847222222</v>
      </c>
      <c r="AA456" s="6">
        <v>2024</v>
      </c>
      <c r="AB456" s="1">
        <v>45875</v>
      </c>
    </row>
    <row r="457" spans="1:28" x14ac:dyDescent="0.3">
      <c r="A457" t="s">
        <v>2061</v>
      </c>
      <c r="B457" s="6" t="s">
        <v>554</v>
      </c>
      <c r="C457" s="6" t="s">
        <v>555</v>
      </c>
      <c r="D457">
        <v>7453135827</v>
      </c>
      <c r="E457">
        <v>745301001</v>
      </c>
      <c r="F457" t="s">
        <v>52</v>
      </c>
      <c r="G457" t="s">
        <v>2062</v>
      </c>
      <c r="H457" s="1">
        <v>45607</v>
      </c>
      <c r="J457" s="8">
        <v>45618</v>
      </c>
      <c r="K457" s="1" t="s">
        <v>1479</v>
      </c>
      <c r="L457" t="s">
        <v>2063</v>
      </c>
      <c r="M457" t="s">
        <v>2064</v>
      </c>
      <c r="N457" s="2">
        <v>1292544</v>
      </c>
      <c r="O457" t="s">
        <v>440</v>
      </c>
      <c r="P457" s="6" t="s">
        <v>36</v>
      </c>
      <c r="R457" t="s">
        <v>240</v>
      </c>
      <c r="S457" s="9">
        <v>4896</v>
      </c>
      <c r="T457" s="9">
        <v>264</v>
      </c>
      <c r="U457" s="9">
        <v>1292544</v>
      </c>
      <c r="V457" s="6" t="s">
        <v>58</v>
      </c>
      <c r="W457" t="s">
        <v>59</v>
      </c>
      <c r="X457">
        <v>5262222144</v>
      </c>
      <c r="Y457">
        <v>526201001</v>
      </c>
      <c r="Z457" s="3">
        <v>45649.461111111108</v>
      </c>
      <c r="AA457" s="6">
        <v>2024</v>
      </c>
      <c r="AB457" s="1">
        <v>45657</v>
      </c>
    </row>
    <row r="458" spans="1:28" x14ac:dyDescent="0.3">
      <c r="A458" t="s">
        <v>2065</v>
      </c>
      <c r="B458" s="6" t="s">
        <v>404</v>
      </c>
      <c r="C458" s="6" t="s">
        <v>405</v>
      </c>
      <c r="D458">
        <v>560020779</v>
      </c>
      <c r="E458">
        <v>57301001</v>
      </c>
      <c r="F458" t="s">
        <v>52</v>
      </c>
      <c r="G458" t="s">
        <v>2066</v>
      </c>
      <c r="H458" s="1">
        <v>45607</v>
      </c>
      <c r="I458" t="s">
        <v>2067</v>
      </c>
      <c r="J458" s="8">
        <v>45618</v>
      </c>
      <c r="K458" s="1" t="s">
        <v>1479</v>
      </c>
      <c r="L458" t="s">
        <v>2068</v>
      </c>
      <c r="M458" t="s">
        <v>409</v>
      </c>
      <c r="N458" s="2">
        <v>390831</v>
      </c>
      <c r="O458" t="s">
        <v>440</v>
      </c>
      <c r="P458" s="6" t="s">
        <v>36</v>
      </c>
      <c r="R458" t="s">
        <v>240</v>
      </c>
      <c r="S458" s="9">
        <v>5583.3</v>
      </c>
      <c r="T458" s="9">
        <v>70</v>
      </c>
      <c r="U458" s="9">
        <v>390831</v>
      </c>
      <c r="V458" s="6" t="s">
        <v>39</v>
      </c>
      <c r="W458" t="s">
        <v>40</v>
      </c>
      <c r="X458">
        <v>7810687137</v>
      </c>
      <c r="Y458">
        <v>781401001</v>
      </c>
      <c r="Z458" s="3">
        <v>45651.757638888892</v>
      </c>
      <c r="AA458" s="6">
        <v>2024</v>
      </c>
      <c r="AB458" s="1">
        <v>45869</v>
      </c>
    </row>
    <row r="459" spans="1:28" x14ac:dyDescent="0.3">
      <c r="A459" t="s">
        <v>2069</v>
      </c>
      <c r="B459" s="6" t="s">
        <v>121</v>
      </c>
      <c r="C459" s="6" t="s">
        <v>122</v>
      </c>
      <c r="D459">
        <v>5402155123</v>
      </c>
      <c r="E459">
        <v>540201001</v>
      </c>
      <c r="F459" t="s">
        <v>94</v>
      </c>
      <c r="G459" t="s">
        <v>2070</v>
      </c>
      <c r="H459" s="1">
        <v>45617</v>
      </c>
      <c r="I459" t="s">
        <v>2071</v>
      </c>
      <c r="J459" s="8">
        <v>45622</v>
      </c>
      <c r="K459" s="1" t="s">
        <v>1479</v>
      </c>
      <c r="L459" t="s">
        <v>2072</v>
      </c>
      <c r="M459" t="s">
        <v>2073</v>
      </c>
      <c r="N459" s="2">
        <v>388080</v>
      </c>
      <c r="O459" t="s">
        <v>440</v>
      </c>
      <c r="P459" s="6" t="s">
        <v>36</v>
      </c>
      <c r="R459" t="s">
        <v>240</v>
      </c>
      <c r="S459" s="9">
        <v>5390</v>
      </c>
      <c r="T459" s="9">
        <v>72</v>
      </c>
      <c r="U459" s="9">
        <v>388080</v>
      </c>
      <c r="V459" s="6" t="s">
        <v>750</v>
      </c>
      <c r="W459" t="s">
        <v>59</v>
      </c>
      <c r="X459">
        <v>540123954976</v>
      </c>
      <c r="Z459" s="3">
        <v>45629.372916666667</v>
      </c>
      <c r="AA459" s="6">
        <v>2024</v>
      </c>
      <c r="AB459" s="1">
        <v>45646</v>
      </c>
    </row>
    <row r="460" spans="1:28" x14ac:dyDescent="0.3">
      <c r="A460" t="s">
        <v>2074</v>
      </c>
      <c r="B460" s="6" t="s">
        <v>1317</v>
      </c>
      <c r="C460" s="6" t="s">
        <v>380</v>
      </c>
      <c r="D460">
        <v>4700001180</v>
      </c>
      <c r="E460">
        <v>784201001</v>
      </c>
      <c r="F460" t="s">
        <v>52</v>
      </c>
      <c r="G460" t="s">
        <v>2075</v>
      </c>
      <c r="H460" s="1">
        <v>45614</v>
      </c>
      <c r="J460" s="8">
        <v>45625</v>
      </c>
      <c r="K460" s="1" t="s">
        <v>1479</v>
      </c>
      <c r="L460" t="s">
        <v>2076</v>
      </c>
      <c r="M460" t="s">
        <v>2077</v>
      </c>
      <c r="N460" s="2">
        <v>3008500</v>
      </c>
      <c r="O460" t="s">
        <v>440</v>
      </c>
      <c r="P460" s="6" t="s">
        <v>36</v>
      </c>
      <c r="R460" t="s">
        <v>240</v>
      </c>
      <c r="S460" s="9">
        <v>5500</v>
      </c>
      <c r="T460" s="9">
        <v>547</v>
      </c>
      <c r="U460" s="9">
        <v>3008500</v>
      </c>
      <c r="V460" s="6" t="s">
        <v>39</v>
      </c>
      <c r="W460" t="s">
        <v>40</v>
      </c>
      <c r="X460">
        <v>7810687137</v>
      </c>
      <c r="Y460">
        <v>781401001</v>
      </c>
      <c r="Z460" s="3">
        <v>45638.384027777778</v>
      </c>
      <c r="AA460" s="6">
        <v>2024</v>
      </c>
      <c r="AB460" s="1">
        <v>45657</v>
      </c>
    </row>
    <row r="461" spans="1:28" x14ac:dyDescent="0.3">
      <c r="A461" t="s">
        <v>2078</v>
      </c>
      <c r="B461" s="6" t="s">
        <v>524</v>
      </c>
      <c r="C461" s="6" t="s">
        <v>525</v>
      </c>
      <c r="D461">
        <v>721060278</v>
      </c>
      <c r="E461">
        <v>72501001</v>
      </c>
      <c r="F461" t="s">
        <v>149</v>
      </c>
      <c r="G461" t="s">
        <v>2079</v>
      </c>
      <c r="H461" s="1">
        <v>45623</v>
      </c>
      <c r="J461" s="8">
        <v>45626</v>
      </c>
      <c r="K461" s="1" t="s">
        <v>1479</v>
      </c>
      <c r="L461" t="s">
        <v>2080</v>
      </c>
      <c r="M461" t="s">
        <v>273</v>
      </c>
      <c r="N461" s="2">
        <v>3968816.25</v>
      </c>
      <c r="O461" t="s">
        <v>1366</v>
      </c>
      <c r="P461" s="6" t="s">
        <v>36</v>
      </c>
      <c r="R461" t="s">
        <v>240</v>
      </c>
      <c r="S461" s="9">
        <v>5399.75</v>
      </c>
      <c r="T461" s="9">
        <v>735</v>
      </c>
      <c r="U461" s="9">
        <v>3968816.25</v>
      </c>
      <c r="V461" s="6" t="s">
        <v>39</v>
      </c>
      <c r="W461" t="s">
        <v>40</v>
      </c>
      <c r="X461">
        <v>7810687137</v>
      </c>
      <c r="Y461">
        <v>781401001</v>
      </c>
      <c r="Z461" s="3">
        <v>45639.495138888888</v>
      </c>
      <c r="AA461" s="6">
        <v>2024</v>
      </c>
      <c r="AB461" s="1">
        <v>45657</v>
      </c>
    </row>
    <row r="462" spans="1:28" x14ac:dyDescent="0.3">
      <c r="A462" t="s">
        <v>2081</v>
      </c>
      <c r="B462" s="6" t="s">
        <v>524</v>
      </c>
      <c r="C462" s="6" t="s">
        <v>525</v>
      </c>
      <c r="D462">
        <v>721060278</v>
      </c>
      <c r="E462">
        <v>72501001</v>
      </c>
      <c r="F462" t="s">
        <v>149</v>
      </c>
      <c r="G462" t="s">
        <v>2082</v>
      </c>
      <c r="H462" s="1">
        <v>45623</v>
      </c>
      <c r="J462" s="8">
        <v>45626</v>
      </c>
      <c r="K462" s="1" t="s">
        <v>1479</v>
      </c>
      <c r="L462" t="s">
        <v>2083</v>
      </c>
      <c r="M462" t="s">
        <v>273</v>
      </c>
      <c r="N462" s="2">
        <v>4994768.75</v>
      </c>
      <c r="O462" t="s">
        <v>1366</v>
      </c>
      <c r="P462" s="6" t="s">
        <v>36</v>
      </c>
      <c r="R462" t="s">
        <v>240</v>
      </c>
      <c r="S462" s="9">
        <v>5399.75</v>
      </c>
      <c r="T462" s="9">
        <v>925</v>
      </c>
      <c r="U462" s="9">
        <v>4994768.75</v>
      </c>
      <c r="V462" s="6" t="s">
        <v>39</v>
      </c>
      <c r="W462" t="s">
        <v>40</v>
      </c>
      <c r="X462">
        <v>7810687137</v>
      </c>
      <c r="Y462">
        <v>781401001</v>
      </c>
      <c r="Z462" s="3">
        <v>45639.494444444441</v>
      </c>
      <c r="AA462" s="6">
        <v>2024</v>
      </c>
      <c r="AB462" s="1">
        <v>45657</v>
      </c>
    </row>
    <row r="463" spans="1:28" x14ac:dyDescent="0.3">
      <c r="A463" t="s">
        <v>2084</v>
      </c>
      <c r="B463" s="6" t="s">
        <v>524</v>
      </c>
      <c r="C463" s="6" t="s">
        <v>525</v>
      </c>
      <c r="D463">
        <v>721060278</v>
      </c>
      <c r="E463">
        <v>72501001</v>
      </c>
      <c r="F463" t="s">
        <v>149</v>
      </c>
      <c r="G463" t="s">
        <v>2085</v>
      </c>
      <c r="H463" s="1">
        <v>45623</v>
      </c>
      <c r="J463" s="8">
        <v>45626</v>
      </c>
      <c r="K463" s="1" t="s">
        <v>1479</v>
      </c>
      <c r="L463" t="s">
        <v>2086</v>
      </c>
      <c r="M463" t="s">
        <v>273</v>
      </c>
      <c r="N463" s="2">
        <v>4805777.5</v>
      </c>
      <c r="O463" t="s">
        <v>1366</v>
      </c>
      <c r="P463" s="6" t="s">
        <v>36</v>
      </c>
      <c r="R463" t="s">
        <v>240</v>
      </c>
      <c r="S463" s="9">
        <v>5399.75</v>
      </c>
      <c r="T463" s="9">
        <v>890</v>
      </c>
      <c r="U463" s="9">
        <v>4805777.5</v>
      </c>
      <c r="V463" s="6" t="s">
        <v>39</v>
      </c>
      <c r="W463" t="s">
        <v>40</v>
      </c>
      <c r="X463">
        <v>7810687137</v>
      </c>
      <c r="Y463">
        <v>781401001</v>
      </c>
      <c r="Z463" s="3">
        <v>45639.494444444441</v>
      </c>
      <c r="AA463" s="6">
        <v>2024</v>
      </c>
      <c r="AB463" s="1">
        <v>45657</v>
      </c>
    </row>
    <row r="464" spans="1:28" x14ac:dyDescent="0.3">
      <c r="A464" t="s">
        <v>2087</v>
      </c>
      <c r="B464" s="6" t="s">
        <v>524</v>
      </c>
      <c r="C464" s="6" t="s">
        <v>525</v>
      </c>
      <c r="D464">
        <v>721060278</v>
      </c>
      <c r="E464">
        <v>72501001</v>
      </c>
      <c r="F464" t="s">
        <v>149</v>
      </c>
      <c r="G464" t="s">
        <v>2088</v>
      </c>
      <c r="H464" s="1">
        <v>45623</v>
      </c>
      <c r="J464" s="8">
        <v>45626</v>
      </c>
      <c r="K464" s="1" t="s">
        <v>1479</v>
      </c>
      <c r="L464" t="s">
        <v>2089</v>
      </c>
      <c r="M464" t="s">
        <v>273</v>
      </c>
      <c r="N464" s="2">
        <v>2157872</v>
      </c>
      <c r="O464" t="s">
        <v>1366</v>
      </c>
      <c r="P464" s="6" t="s">
        <v>36</v>
      </c>
      <c r="R464" t="s">
        <v>240</v>
      </c>
      <c r="S464" s="9">
        <v>5394.68</v>
      </c>
      <c r="T464" s="9">
        <v>400</v>
      </c>
      <c r="U464" s="9">
        <v>2157872</v>
      </c>
      <c r="V464" s="6" t="s">
        <v>39</v>
      </c>
      <c r="W464" t="s">
        <v>40</v>
      </c>
      <c r="X464">
        <v>7810687137</v>
      </c>
      <c r="Y464">
        <v>781401001</v>
      </c>
      <c r="Z464" s="3">
        <v>45639.494444444441</v>
      </c>
      <c r="AA464" s="6">
        <v>2024</v>
      </c>
      <c r="AB464" s="1">
        <v>45657</v>
      </c>
    </row>
    <row r="465" spans="1:28" x14ac:dyDescent="0.3">
      <c r="A465" t="s">
        <v>2090</v>
      </c>
      <c r="B465" s="6" t="s">
        <v>83</v>
      </c>
      <c r="C465" s="6" t="s">
        <v>84</v>
      </c>
      <c r="D465">
        <v>3666031335</v>
      </c>
      <c r="E465">
        <v>366601001</v>
      </c>
      <c r="F465" t="s">
        <v>52</v>
      </c>
      <c r="G465" t="s">
        <v>2091</v>
      </c>
      <c r="H465" s="1">
        <v>45616</v>
      </c>
      <c r="I465" t="s">
        <v>2092</v>
      </c>
      <c r="J465" s="8">
        <v>45628</v>
      </c>
      <c r="K465" s="1" t="s">
        <v>1479</v>
      </c>
      <c r="L465" t="s">
        <v>2093</v>
      </c>
      <c r="M465" t="s">
        <v>2094</v>
      </c>
      <c r="N465" s="2">
        <v>43168815.119999997</v>
      </c>
      <c r="O465" t="s">
        <v>377</v>
      </c>
      <c r="P465" s="6" t="s">
        <v>1814</v>
      </c>
      <c r="R465" t="s">
        <v>38</v>
      </c>
      <c r="S465" s="9">
        <v>5153.87</v>
      </c>
      <c r="T465" s="9">
        <v>8376</v>
      </c>
      <c r="U465" s="9">
        <v>43168815.119999997</v>
      </c>
      <c r="V465" s="6" t="s">
        <v>39</v>
      </c>
      <c r="W465" t="s">
        <v>40</v>
      </c>
      <c r="X465">
        <v>7810687137</v>
      </c>
      <c r="Y465">
        <v>781401001</v>
      </c>
      <c r="Z465" s="3">
        <v>45653.46597222222</v>
      </c>
      <c r="AA465" s="6">
        <v>2024</v>
      </c>
      <c r="AB465" s="1">
        <v>45747</v>
      </c>
    </row>
    <row r="466" spans="1:28" x14ac:dyDescent="0.3">
      <c r="A466" t="s">
        <v>2095</v>
      </c>
      <c r="B466" s="6" t="s">
        <v>524</v>
      </c>
      <c r="C466" s="6" t="s">
        <v>525</v>
      </c>
      <c r="D466">
        <v>721060278</v>
      </c>
      <c r="E466">
        <v>72501001</v>
      </c>
      <c r="F466" t="s">
        <v>149</v>
      </c>
      <c r="G466" t="s">
        <v>2096</v>
      </c>
      <c r="H466" s="1">
        <v>45624</v>
      </c>
      <c r="I466" t="s">
        <v>2097</v>
      </c>
      <c r="J466" s="8">
        <v>45629</v>
      </c>
      <c r="K466" s="1" t="s">
        <v>1479</v>
      </c>
      <c r="L466" t="s">
        <v>2098</v>
      </c>
      <c r="M466" t="s">
        <v>273</v>
      </c>
      <c r="N466" s="2">
        <v>5391.16</v>
      </c>
      <c r="O466" t="s">
        <v>1366</v>
      </c>
      <c r="P466" s="6" t="s">
        <v>36</v>
      </c>
      <c r="R466" t="s">
        <v>240</v>
      </c>
      <c r="S466" s="9">
        <v>5391.16</v>
      </c>
      <c r="T466" s="9">
        <v>1</v>
      </c>
      <c r="U466" s="9">
        <v>5391.16</v>
      </c>
      <c r="V466" s="6" t="s">
        <v>39</v>
      </c>
      <c r="W466" t="s">
        <v>40</v>
      </c>
      <c r="X466">
        <v>7810687137</v>
      </c>
      <c r="Y466">
        <v>781401001</v>
      </c>
      <c r="Z466" s="3">
        <v>45639.495138888888</v>
      </c>
      <c r="AA466" s="6">
        <v>2024</v>
      </c>
      <c r="AB466" s="1">
        <v>45657</v>
      </c>
    </row>
    <row r="467" spans="1:28" x14ac:dyDescent="0.3">
      <c r="A467" t="s">
        <v>2099</v>
      </c>
      <c r="B467" s="6" t="s">
        <v>524</v>
      </c>
      <c r="C467" s="6" t="s">
        <v>525</v>
      </c>
      <c r="D467">
        <v>721060278</v>
      </c>
      <c r="E467">
        <v>72501001</v>
      </c>
      <c r="F467" t="s">
        <v>149</v>
      </c>
      <c r="G467" t="s">
        <v>2100</v>
      </c>
      <c r="H467" s="1">
        <v>45624</v>
      </c>
      <c r="I467" t="s">
        <v>2097</v>
      </c>
      <c r="J467" s="8">
        <v>45629</v>
      </c>
      <c r="K467" s="1" t="s">
        <v>1479</v>
      </c>
      <c r="L467" t="s">
        <v>2101</v>
      </c>
      <c r="M467" t="s">
        <v>273</v>
      </c>
      <c r="N467" s="2">
        <v>5385.41</v>
      </c>
      <c r="O467" t="s">
        <v>1366</v>
      </c>
      <c r="P467" s="6" t="s">
        <v>36</v>
      </c>
      <c r="R467" t="s">
        <v>240</v>
      </c>
      <c r="S467" s="9">
        <v>5385.41</v>
      </c>
      <c r="T467" s="9">
        <v>1</v>
      </c>
      <c r="U467" s="9">
        <v>5385.41</v>
      </c>
      <c r="V467" s="6" t="s">
        <v>39</v>
      </c>
      <c r="W467" t="s">
        <v>40</v>
      </c>
      <c r="X467">
        <v>7810687137</v>
      </c>
      <c r="Y467">
        <v>781401001</v>
      </c>
      <c r="Z467" s="3">
        <v>45639.494444444441</v>
      </c>
      <c r="AA467" s="6">
        <v>2024</v>
      </c>
      <c r="AB467" s="1">
        <v>45657</v>
      </c>
    </row>
    <row r="468" spans="1:28" x14ac:dyDescent="0.3">
      <c r="A468" t="s">
        <v>2102</v>
      </c>
      <c r="B468" s="6" t="s">
        <v>524</v>
      </c>
      <c r="C468" s="6" t="s">
        <v>525</v>
      </c>
      <c r="D468">
        <v>721060278</v>
      </c>
      <c r="E468">
        <v>72501001</v>
      </c>
      <c r="F468" t="s">
        <v>149</v>
      </c>
      <c r="G468" t="s">
        <v>2103</v>
      </c>
      <c r="H468" s="1">
        <v>45624</v>
      </c>
      <c r="I468" t="s">
        <v>2097</v>
      </c>
      <c r="J468" s="8">
        <v>45629</v>
      </c>
      <c r="K468" s="1" t="s">
        <v>1479</v>
      </c>
      <c r="L468" t="s">
        <v>2104</v>
      </c>
      <c r="M468" t="s">
        <v>273</v>
      </c>
      <c r="N468" s="2">
        <v>1830515.25</v>
      </c>
      <c r="O468" t="s">
        <v>1366</v>
      </c>
      <c r="P468" s="6" t="s">
        <v>36</v>
      </c>
      <c r="R468" t="s">
        <v>240</v>
      </c>
      <c r="S468" s="9">
        <v>5399.75</v>
      </c>
      <c r="T468" s="9">
        <v>339</v>
      </c>
      <c r="U468" s="9">
        <v>1830515.25</v>
      </c>
      <c r="V468" s="6" t="s">
        <v>39</v>
      </c>
      <c r="W468" t="s">
        <v>40</v>
      </c>
      <c r="X468">
        <v>7810687137</v>
      </c>
      <c r="Y468">
        <v>781401001</v>
      </c>
      <c r="Z468" s="3">
        <v>45639.495138888888</v>
      </c>
      <c r="AA468" s="6">
        <v>2024</v>
      </c>
      <c r="AB468" s="1">
        <v>45657</v>
      </c>
    </row>
    <row r="469" spans="1:28" x14ac:dyDescent="0.3">
      <c r="A469" t="s">
        <v>2105</v>
      </c>
      <c r="B469" s="6" t="s">
        <v>2106</v>
      </c>
      <c r="C469" s="6" t="s">
        <v>140</v>
      </c>
      <c r="D469">
        <v>3443028748</v>
      </c>
      <c r="E469">
        <v>344301001</v>
      </c>
      <c r="F469" t="s">
        <v>94</v>
      </c>
      <c r="G469" t="s">
        <v>2107</v>
      </c>
      <c r="H469" s="1">
        <v>45624</v>
      </c>
      <c r="J469" s="8">
        <v>45629</v>
      </c>
      <c r="K469" s="1" t="s">
        <v>1479</v>
      </c>
      <c r="L469" t="s">
        <v>2108</v>
      </c>
      <c r="M469" t="s">
        <v>2109</v>
      </c>
      <c r="N469" s="2">
        <v>195000</v>
      </c>
      <c r="O469" t="s">
        <v>109</v>
      </c>
      <c r="P469" s="6" t="s">
        <v>36</v>
      </c>
      <c r="R469" t="s">
        <v>1611</v>
      </c>
      <c r="S469" s="9">
        <v>8632.64</v>
      </c>
      <c r="T469" s="9">
        <v>10</v>
      </c>
      <c r="U469" s="9">
        <v>86326.399999999994</v>
      </c>
      <c r="V469" s="6" t="s">
        <v>2110</v>
      </c>
      <c r="W469" t="s">
        <v>40</v>
      </c>
      <c r="X469">
        <v>344815968700</v>
      </c>
      <c r="Z469" s="3">
        <v>45630.463888888888</v>
      </c>
      <c r="AA469" s="6">
        <v>2024</v>
      </c>
      <c r="AB469" s="1">
        <v>46022</v>
      </c>
    </row>
    <row r="470" spans="1:28" x14ac:dyDescent="0.3">
      <c r="A470" t="s">
        <v>2111</v>
      </c>
      <c r="B470" s="6" t="s">
        <v>657</v>
      </c>
      <c r="C470" s="6" t="s">
        <v>658</v>
      </c>
      <c r="D470">
        <v>3015068159</v>
      </c>
      <c r="E470">
        <v>301601001</v>
      </c>
      <c r="F470" t="s">
        <v>94</v>
      </c>
      <c r="G470" t="s">
        <v>2112</v>
      </c>
      <c r="H470" s="1">
        <v>45624</v>
      </c>
      <c r="J470" s="8">
        <v>45629</v>
      </c>
      <c r="K470" s="1" t="s">
        <v>1479</v>
      </c>
      <c r="L470" t="s">
        <v>2113</v>
      </c>
      <c r="M470" t="s">
        <v>416</v>
      </c>
      <c r="N470" s="2">
        <v>174100</v>
      </c>
      <c r="O470" t="s">
        <v>109</v>
      </c>
      <c r="P470" s="6" t="s">
        <v>36</v>
      </c>
      <c r="R470" t="s">
        <v>66</v>
      </c>
      <c r="S470" s="9">
        <v>5200</v>
      </c>
      <c r="T470" s="9">
        <v>8</v>
      </c>
      <c r="U470" s="9">
        <v>41600</v>
      </c>
      <c r="V470" s="6" t="s">
        <v>39</v>
      </c>
      <c r="W470" t="s">
        <v>40</v>
      </c>
      <c r="X470">
        <v>7810687137</v>
      </c>
      <c r="Y470">
        <v>781401001</v>
      </c>
      <c r="Z470" s="3">
        <v>45653.926388888889</v>
      </c>
      <c r="AA470" s="6">
        <v>2024</v>
      </c>
      <c r="AB470" s="1">
        <v>45657</v>
      </c>
    </row>
    <row r="471" spans="1:28" x14ac:dyDescent="0.3">
      <c r="A471" t="s">
        <v>2114</v>
      </c>
      <c r="B471" s="6" t="s">
        <v>2115</v>
      </c>
      <c r="C471" s="6" t="s">
        <v>84</v>
      </c>
      <c r="D471">
        <v>3662006088</v>
      </c>
      <c r="E471">
        <v>366201001</v>
      </c>
      <c r="F471" t="s">
        <v>149</v>
      </c>
      <c r="G471" t="s">
        <v>2116</v>
      </c>
      <c r="H471" s="1">
        <v>45624</v>
      </c>
      <c r="J471" s="8">
        <v>45629</v>
      </c>
      <c r="K471" s="1" t="s">
        <v>1479</v>
      </c>
      <c r="L471" t="s">
        <v>2117</v>
      </c>
      <c r="M471" t="s">
        <v>377</v>
      </c>
      <c r="N471" s="2">
        <v>397217.6</v>
      </c>
      <c r="O471" t="s">
        <v>377</v>
      </c>
      <c r="P471" s="6" t="s">
        <v>36</v>
      </c>
      <c r="R471" t="s">
        <v>38</v>
      </c>
      <c r="S471" s="9">
        <v>4965.22</v>
      </c>
      <c r="T471" s="9">
        <v>80</v>
      </c>
      <c r="U471" s="9">
        <v>397217.6</v>
      </c>
      <c r="V471" s="6" t="s">
        <v>58</v>
      </c>
      <c r="W471" t="s">
        <v>59</v>
      </c>
      <c r="X471">
        <v>5262222144</v>
      </c>
      <c r="Y471">
        <v>526201001</v>
      </c>
      <c r="Z471" s="3">
        <v>45646.539583333331</v>
      </c>
      <c r="AA471" s="6">
        <v>2024</v>
      </c>
      <c r="AB471" s="1">
        <v>45657</v>
      </c>
    </row>
    <row r="472" spans="1:28" x14ac:dyDescent="0.3">
      <c r="A472" t="s">
        <v>2118</v>
      </c>
      <c r="B472" s="6" t="s">
        <v>567</v>
      </c>
      <c r="C472" s="6" t="s">
        <v>568</v>
      </c>
      <c r="D472">
        <v>4909085785</v>
      </c>
      <c r="E472">
        <v>490901001</v>
      </c>
      <c r="F472" t="s">
        <v>94</v>
      </c>
      <c r="G472" t="s">
        <v>2119</v>
      </c>
      <c r="H472" s="1">
        <v>45624</v>
      </c>
      <c r="I472" t="s">
        <v>2120</v>
      </c>
      <c r="J472" s="8">
        <v>45629</v>
      </c>
      <c r="K472" s="1" t="s">
        <v>1479</v>
      </c>
      <c r="L472" t="s">
        <v>2119</v>
      </c>
      <c r="M472" t="s">
        <v>2121</v>
      </c>
      <c r="N472" s="2">
        <v>1020000</v>
      </c>
      <c r="O472" t="s">
        <v>440</v>
      </c>
      <c r="P472" s="6" t="s">
        <v>36</v>
      </c>
      <c r="R472" t="s">
        <v>240</v>
      </c>
      <c r="S472" s="9">
        <v>5100</v>
      </c>
      <c r="T472" s="9">
        <v>200</v>
      </c>
      <c r="U472" s="9">
        <v>1020000</v>
      </c>
      <c r="V472" s="6" t="s">
        <v>39</v>
      </c>
      <c r="W472" t="s">
        <v>40</v>
      </c>
      <c r="X472">
        <v>7810687137</v>
      </c>
      <c r="Y472">
        <v>781401001</v>
      </c>
      <c r="Z472" s="3">
        <v>45646.28402777778</v>
      </c>
      <c r="AA472" s="6">
        <v>2024</v>
      </c>
      <c r="AB472" s="1">
        <v>46022</v>
      </c>
    </row>
    <row r="473" spans="1:28" x14ac:dyDescent="0.3">
      <c r="A473" t="s">
        <v>2122</v>
      </c>
      <c r="B473" s="6" t="s">
        <v>459</v>
      </c>
      <c r="C473" s="6" t="s">
        <v>460</v>
      </c>
      <c r="D473">
        <v>4629019420</v>
      </c>
      <c r="E473">
        <v>463201001</v>
      </c>
      <c r="F473" t="s">
        <v>52</v>
      </c>
      <c r="G473" t="s">
        <v>2123</v>
      </c>
      <c r="H473" s="1">
        <v>45618</v>
      </c>
      <c r="I473" t="s">
        <v>2124</v>
      </c>
      <c r="J473" s="8">
        <v>45629</v>
      </c>
      <c r="K473" s="1" t="s">
        <v>1479</v>
      </c>
      <c r="L473" t="s">
        <v>2125</v>
      </c>
      <c r="M473" t="s">
        <v>463</v>
      </c>
      <c r="N473" s="2">
        <v>2954807.1</v>
      </c>
      <c r="O473" t="s">
        <v>440</v>
      </c>
      <c r="P473" s="6" t="s">
        <v>36</v>
      </c>
      <c r="R473" t="s">
        <v>240</v>
      </c>
      <c r="S473" s="9">
        <v>5211.3</v>
      </c>
      <c r="T473" s="9">
        <v>567</v>
      </c>
      <c r="U473" s="9">
        <v>2954807.1</v>
      </c>
      <c r="V473" s="6" t="s">
        <v>128</v>
      </c>
      <c r="W473" t="s">
        <v>129</v>
      </c>
      <c r="X473">
        <v>274110679</v>
      </c>
      <c r="Y473">
        <v>500801001</v>
      </c>
      <c r="Z473" s="3">
        <v>45649.479166666664</v>
      </c>
      <c r="AA473" s="6">
        <v>2024</v>
      </c>
      <c r="AB473" s="1">
        <v>45688</v>
      </c>
    </row>
    <row r="474" spans="1:28" x14ac:dyDescent="0.3">
      <c r="A474" t="s">
        <v>2111</v>
      </c>
      <c r="B474" s="6" t="s">
        <v>657</v>
      </c>
      <c r="C474" s="6" t="s">
        <v>658</v>
      </c>
      <c r="D474">
        <v>3015068159</v>
      </c>
      <c r="E474">
        <v>301601001</v>
      </c>
      <c r="F474" t="s">
        <v>94</v>
      </c>
      <c r="G474" t="s">
        <v>2112</v>
      </c>
      <c r="H474" s="1">
        <v>45624</v>
      </c>
      <c r="J474" s="8">
        <v>45629</v>
      </c>
      <c r="K474" s="1" t="s">
        <v>1479</v>
      </c>
      <c r="L474" t="s">
        <v>2113</v>
      </c>
      <c r="M474" t="s">
        <v>416</v>
      </c>
      <c r="N474" s="2">
        <v>174100</v>
      </c>
      <c r="O474" t="s">
        <v>377</v>
      </c>
      <c r="P474" s="6" t="s">
        <v>891</v>
      </c>
      <c r="Q474" t="s">
        <v>37</v>
      </c>
      <c r="R474" t="s">
        <v>38</v>
      </c>
      <c r="S474" s="9">
        <v>5300</v>
      </c>
      <c r="T474" s="9">
        <v>25</v>
      </c>
      <c r="U474" s="9">
        <v>132500</v>
      </c>
      <c r="V474" s="6" t="s">
        <v>39</v>
      </c>
      <c r="W474" t="s">
        <v>40</v>
      </c>
      <c r="X474">
        <v>7810687137</v>
      </c>
      <c r="Y474">
        <v>781401001</v>
      </c>
      <c r="Z474" s="3">
        <v>45653.926388888889</v>
      </c>
      <c r="AA474" s="6">
        <v>2024</v>
      </c>
      <c r="AB474" s="1">
        <v>45657</v>
      </c>
    </row>
    <row r="475" spans="1:28" x14ac:dyDescent="0.3">
      <c r="A475" t="s">
        <v>2126</v>
      </c>
      <c r="B475" s="6" t="s">
        <v>2115</v>
      </c>
      <c r="C475" s="6" t="s">
        <v>84</v>
      </c>
      <c r="D475">
        <v>3662006088</v>
      </c>
      <c r="E475">
        <v>366201001</v>
      </c>
      <c r="F475" t="s">
        <v>149</v>
      </c>
      <c r="G475" t="s">
        <v>2127</v>
      </c>
      <c r="H475" s="1">
        <v>45625</v>
      </c>
      <c r="J475" s="8">
        <v>45630</v>
      </c>
      <c r="K475" s="1" t="s">
        <v>1479</v>
      </c>
      <c r="L475" t="s">
        <v>2128</v>
      </c>
      <c r="M475" t="s">
        <v>377</v>
      </c>
      <c r="N475" s="2">
        <v>4890000</v>
      </c>
      <c r="O475" t="s">
        <v>377</v>
      </c>
      <c r="P475" s="6" t="s">
        <v>36</v>
      </c>
      <c r="R475" t="s">
        <v>38</v>
      </c>
      <c r="S475" s="9">
        <v>4890</v>
      </c>
      <c r="T475" s="9">
        <v>1000</v>
      </c>
      <c r="U475" s="9">
        <v>4890000</v>
      </c>
      <c r="V475" s="6" t="s">
        <v>58</v>
      </c>
      <c r="W475" t="s">
        <v>59</v>
      </c>
      <c r="X475">
        <v>5262222144</v>
      </c>
      <c r="Y475">
        <v>526201001</v>
      </c>
      <c r="Z475" s="3">
        <v>45646.600694444445</v>
      </c>
      <c r="AA475" s="6">
        <v>2024</v>
      </c>
      <c r="AB475" s="1">
        <v>45657</v>
      </c>
    </row>
    <row r="476" spans="1:28" x14ac:dyDescent="0.3">
      <c r="A476" t="s">
        <v>2129</v>
      </c>
      <c r="B476" s="6" t="s">
        <v>946</v>
      </c>
      <c r="C476" s="6" t="s">
        <v>947</v>
      </c>
      <c r="D476">
        <v>7325000951</v>
      </c>
      <c r="E476">
        <v>732501001</v>
      </c>
      <c r="F476" t="s">
        <v>94</v>
      </c>
      <c r="G476" t="s">
        <v>2130</v>
      </c>
      <c r="H476" s="1">
        <v>45628</v>
      </c>
      <c r="J476" s="8">
        <v>45631</v>
      </c>
      <c r="K476" s="1" t="s">
        <v>1479</v>
      </c>
      <c r="L476" t="s">
        <v>2130</v>
      </c>
      <c r="M476" t="s">
        <v>950</v>
      </c>
      <c r="N476" s="2">
        <v>8722520</v>
      </c>
      <c r="O476" t="s">
        <v>440</v>
      </c>
      <c r="P476" s="6" t="s">
        <v>36</v>
      </c>
      <c r="Q476" t="s">
        <v>37</v>
      </c>
      <c r="R476" t="s">
        <v>240</v>
      </c>
      <c r="S476" s="9">
        <v>4990</v>
      </c>
      <c r="T476" s="9">
        <v>1748</v>
      </c>
      <c r="U476" s="9">
        <v>8722520</v>
      </c>
      <c r="V476" s="6" t="s">
        <v>39</v>
      </c>
      <c r="W476" t="s">
        <v>40</v>
      </c>
      <c r="X476">
        <v>7810687137</v>
      </c>
      <c r="Y476">
        <v>781401001</v>
      </c>
      <c r="Z476" s="3">
        <v>45652.327777777777</v>
      </c>
      <c r="AA476" s="6">
        <v>2024</v>
      </c>
      <c r="AB476" s="1">
        <v>45657</v>
      </c>
    </row>
    <row r="477" spans="1:28" x14ac:dyDescent="0.3">
      <c r="A477" t="s">
        <v>2131</v>
      </c>
      <c r="B477" s="6" t="s">
        <v>801</v>
      </c>
      <c r="C477" s="6" t="s">
        <v>802</v>
      </c>
      <c r="D477">
        <v>1701052707</v>
      </c>
      <c r="E477">
        <v>170101001</v>
      </c>
      <c r="F477" t="s">
        <v>44</v>
      </c>
      <c r="G477">
        <v>0</v>
      </c>
      <c r="I477" t="s">
        <v>2132</v>
      </c>
      <c r="J477" s="8">
        <v>45631</v>
      </c>
      <c r="K477" s="1" t="s">
        <v>1479</v>
      </c>
      <c r="L477">
        <v>146</v>
      </c>
      <c r="M477" t="s">
        <v>2133</v>
      </c>
      <c r="N477" s="2">
        <v>245062.5</v>
      </c>
      <c r="O477" t="s">
        <v>225</v>
      </c>
      <c r="P477" s="6" t="s">
        <v>36</v>
      </c>
      <c r="Q477" t="s">
        <v>1993</v>
      </c>
      <c r="R477" t="s">
        <v>66</v>
      </c>
      <c r="S477" s="9">
        <v>4901.25</v>
      </c>
      <c r="T477" s="9">
        <v>50</v>
      </c>
      <c r="U477" s="9">
        <v>245062.5</v>
      </c>
      <c r="V477" s="6" t="s">
        <v>39</v>
      </c>
      <c r="W477" t="s">
        <v>40</v>
      </c>
      <c r="X477">
        <v>7810687137</v>
      </c>
      <c r="Y477">
        <v>781401001</v>
      </c>
      <c r="Z477" s="3">
        <v>45671.372916666667</v>
      </c>
      <c r="AA477" s="6">
        <v>2024</v>
      </c>
      <c r="AB477" s="1">
        <v>45688</v>
      </c>
    </row>
    <row r="478" spans="1:28" x14ac:dyDescent="0.3">
      <c r="A478" t="s">
        <v>2131</v>
      </c>
      <c r="B478" s="6" t="s">
        <v>801</v>
      </c>
      <c r="C478" s="6" t="s">
        <v>802</v>
      </c>
      <c r="D478">
        <v>1701052707</v>
      </c>
      <c r="E478">
        <v>170101001</v>
      </c>
      <c r="F478" t="s">
        <v>44</v>
      </c>
      <c r="G478">
        <v>0</v>
      </c>
      <c r="I478" t="s">
        <v>2132</v>
      </c>
      <c r="J478" s="8">
        <v>45631</v>
      </c>
      <c r="K478" s="1" t="s">
        <v>1479</v>
      </c>
      <c r="L478">
        <v>145</v>
      </c>
      <c r="M478" t="s">
        <v>2133</v>
      </c>
      <c r="N478" s="2">
        <v>245062.5</v>
      </c>
      <c r="O478" t="s">
        <v>225</v>
      </c>
      <c r="P478" s="6" t="s">
        <v>36</v>
      </c>
      <c r="Q478" t="s">
        <v>1993</v>
      </c>
      <c r="R478" t="s">
        <v>66</v>
      </c>
      <c r="S478" s="9">
        <v>4901.25</v>
      </c>
      <c r="T478" s="9">
        <v>50</v>
      </c>
      <c r="U478" s="9">
        <v>245062.5</v>
      </c>
      <c r="V478" s="6" t="s">
        <v>39</v>
      </c>
      <c r="W478" t="s">
        <v>40</v>
      </c>
      <c r="X478">
        <v>7810687137</v>
      </c>
      <c r="Y478">
        <v>781401001</v>
      </c>
      <c r="Z478" s="3">
        <v>45671.370138888888</v>
      </c>
      <c r="AA478" s="6">
        <v>2024</v>
      </c>
      <c r="AB478" s="1">
        <v>45688</v>
      </c>
    </row>
    <row r="479" spans="1:28" x14ac:dyDescent="0.3">
      <c r="A479" t="s">
        <v>2131</v>
      </c>
      <c r="B479" s="6" t="s">
        <v>801</v>
      </c>
      <c r="C479" s="6" t="s">
        <v>802</v>
      </c>
      <c r="D479">
        <v>1701052707</v>
      </c>
      <c r="E479">
        <v>170101001</v>
      </c>
      <c r="F479" t="s">
        <v>44</v>
      </c>
      <c r="G479">
        <v>0</v>
      </c>
      <c r="I479" t="s">
        <v>2132</v>
      </c>
      <c r="J479" s="8">
        <v>45631</v>
      </c>
      <c r="K479" s="1" t="s">
        <v>1479</v>
      </c>
      <c r="L479">
        <v>144</v>
      </c>
      <c r="M479" t="s">
        <v>2133</v>
      </c>
      <c r="N479" s="2">
        <v>245062.5</v>
      </c>
      <c r="O479" t="s">
        <v>225</v>
      </c>
      <c r="P479" s="6" t="s">
        <v>36</v>
      </c>
      <c r="Q479" t="s">
        <v>1993</v>
      </c>
      <c r="R479" t="s">
        <v>66</v>
      </c>
      <c r="S479" s="9">
        <v>4901.25</v>
      </c>
      <c r="T479" s="9">
        <v>50</v>
      </c>
      <c r="U479" s="9">
        <v>245062.5</v>
      </c>
      <c r="V479" s="6" t="s">
        <v>39</v>
      </c>
      <c r="W479" t="s">
        <v>40</v>
      </c>
      <c r="X479">
        <v>7810687137</v>
      </c>
      <c r="Y479">
        <v>781401001</v>
      </c>
      <c r="Z479" s="3">
        <v>45671.369444444441</v>
      </c>
      <c r="AA479" s="6">
        <v>2024</v>
      </c>
      <c r="AB479" s="1">
        <v>45688</v>
      </c>
    </row>
    <row r="480" spans="1:28" x14ac:dyDescent="0.3">
      <c r="A480" t="s">
        <v>2131</v>
      </c>
      <c r="B480" s="6" t="s">
        <v>801</v>
      </c>
      <c r="C480" s="6" t="s">
        <v>802</v>
      </c>
      <c r="D480">
        <v>1701052707</v>
      </c>
      <c r="E480">
        <v>170101001</v>
      </c>
      <c r="F480" t="s">
        <v>44</v>
      </c>
      <c r="G480">
        <v>0</v>
      </c>
      <c r="I480" t="s">
        <v>2132</v>
      </c>
      <c r="J480" s="8">
        <v>45631</v>
      </c>
      <c r="K480" s="1" t="s">
        <v>1479</v>
      </c>
      <c r="L480">
        <v>143</v>
      </c>
      <c r="M480" t="s">
        <v>2133</v>
      </c>
      <c r="N480" s="2">
        <v>245062.5</v>
      </c>
      <c r="O480" t="s">
        <v>225</v>
      </c>
      <c r="P480" s="6" t="s">
        <v>36</v>
      </c>
      <c r="Q480" t="s">
        <v>1993</v>
      </c>
      <c r="R480" t="s">
        <v>66</v>
      </c>
      <c r="S480" s="9">
        <v>4901.25</v>
      </c>
      <c r="T480" s="9">
        <v>50</v>
      </c>
      <c r="U480" s="9">
        <v>245062.5</v>
      </c>
      <c r="V480" s="6" t="s">
        <v>39</v>
      </c>
      <c r="W480" t="s">
        <v>40</v>
      </c>
      <c r="X480">
        <v>7810687137</v>
      </c>
      <c r="Y480">
        <v>781401001</v>
      </c>
      <c r="Z480" s="3">
        <v>45671.371527777781</v>
      </c>
      <c r="AA480" s="6">
        <v>2024</v>
      </c>
      <c r="AB480" s="1">
        <v>45688</v>
      </c>
    </row>
    <row r="481" spans="1:28" x14ac:dyDescent="0.3">
      <c r="A481" t="s">
        <v>2131</v>
      </c>
      <c r="B481" s="6" t="s">
        <v>801</v>
      </c>
      <c r="C481" s="6" t="s">
        <v>802</v>
      </c>
      <c r="D481">
        <v>1701052707</v>
      </c>
      <c r="E481">
        <v>170101001</v>
      </c>
      <c r="F481" t="s">
        <v>44</v>
      </c>
      <c r="G481">
        <v>0</v>
      </c>
      <c r="I481" t="s">
        <v>2132</v>
      </c>
      <c r="J481" s="8">
        <v>45631</v>
      </c>
      <c r="K481" s="1" t="s">
        <v>1479</v>
      </c>
      <c r="L481">
        <v>142</v>
      </c>
      <c r="M481" t="s">
        <v>2133</v>
      </c>
      <c r="N481" s="2">
        <v>245062.5</v>
      </c>
      <c r="O481" t="s">
        <v>225</v>
      </c>
      <c r="P481" s="6" t="s">
        <v>36</v>
      </c>
      <c r="Q481" t="s">
        <v>1993</v>
      </c>
      <c r="R481" t="s">
        <v>66</v>
      </c>
      <c r="S481" s="9">
        <v>4901.25</v>
      </c>
      <c r="T481" s="9">
        <v>50</v>
      </c>
      <c r="U481" s="9">
        <v>245062.5</v>
      </c>
      <c r="V481" s="6" t="s">
        <v>39</v>
      </c>
      <c r="W481" t="s">
        <v>40</v>
      </c>
      <c r="X481">
        <v>7810687137</v>
      </c>
      <c r="Y481">
        <v>781401001</v>
      </c>
      <c r="Z481" s="3">
        <v>45671.37222222222</v>
      </c>
      <c r="AA481" s="6">
        <v>2024</v>
      </c>
      <c r="AB481" s="1">
        <v>45688</v>
      </c>
    </row>
    <row r="482" spans="1:28" x14ac:dyDescent="0.3">
      <c r="A482" t="s">
        <v>2131</v>
      </c>
      <c r="B482" s="6" t="s">
        <v>801</v>
      </c>
      <c r="C482" s="6" t="s">
        <v>802</v>
      </c>
      <c r="D482">
        <v>1701052707</v>
      </c>
      <c r="E482">
        <v>170101001</v>
      </c>
      <c r="F482" t="s">
        <v>44</v>
      </c>
      <c r="G482">
        <v>0</v>
      </c>
      <c r="I482" t="s">
        <v>2132</v>
      </c>
      <c r="J482" s="8">
        <v>45631</v>
      </c>
      <c r="K482" s="1" t="s">
        <v>1479</v>
      </c>
      <c r="L482">
        <v>141</v>
      </c>
      <c r="M482" t="s">
        <v>2133</v>
      </c>
      <c r="N482" s="2">
        <v>245062.5</v>
      </c>
      <c r="O482" t="s">
        <v>225</v>
      </c>
      <c r="P482" s="6" t="s">
        <v>36</v>
      </c>
      <c r="Q482" t="s">
        <v>1993</v>
      </c>
      <c r="R482" t="s">
        <v>66</v>
      </c>
      <c r="S482" s="9">
        <v>4901.25</v>
      </c>
      <c r="T482" s="9">
        <v>50</v>
      </c>
      <c r="U482" s="9">
        <v>245062.5</v>
      </c>
      <c r="V482" s="6" t="s">
        <v>39</v>
      </c>
      <c r="W482" t="s">
        <v>40</v>
      </c>
      <c r="X482">
        <v>7810687137</v>
      </c>
      <c r="Y482">
        <v>781401001</v>
      </c>
      <c r="Z482" s="3">
        <v>45671.370833333334</v>
      </c>
      <c r="AA482" s="6">
        <v>2024</v>
      </c>
      <c r="AB482" s="1">
        <v>45688</v>
      </c>
    </row>
    <row r="483" spans="1:28" x14ac:dyDescent="0.3">
      <c r="A483" t="s">
        <v>2131</v>
      </c>
      <c r="B483" s="6" t="s">
        <v>801</v>
      </c>
      <c r="C483" s="6" t="s">
        <v>802</v>
      </c>
      <c r="D483">
        <v>1701052707</v>
      </c>
      <c r="E483">
        <v>170101001</v>
      </c>
      <c r="F483" t="s">
        <v>44</v>
      </c>
      <c r="G483">
        <v>0</v>
      </c>
      <c r="I483" t="s">
        <v>2132</v>
      </c>
      <c r="J483" s="8">
        <v>45631</v>
      </c>
      <c r="K483" s="1" t="s">
        <v>1479</v>
      </c>
      <c r="L483">
        <v>140</v>
      </c>
      <c r="M483" t="s">
        <v>2133</v>
      </c>
      <c r="N483" s="2">
        <v>245062.5</v>
      </c>
      <c r="O483" t="s">
        <v>225</v>
      </c>
      <c r="P483" s="6" t="s">
        <v>36</v>
      </c>
      <c r="Q483" t="s">
        <v>1993</v>
      </c>
      <c r="R483" t="s">
        <v>66</v>
      </c>
      <c r="S483" s="9">
        <v>4901.25</v>
      </c>
      <c r="T483" s="9">
        <v>50</v>
      </c>
      <c r="U483" s="9">
        <v>245062.5</v>
      </c>
      <c r="V483" s="6" t="s">
        <v>39</v>
      </c>
      <c r="W483" t="s">
        <v>40</v>
      </c>
      <c r="X483">
        <v>7810687137</v>
      </c>
      <c r="Y483">
        <v>781401001</v>
      </c>
      <c r="Z483" s="3">
        <v>45671.371527777781</v>
      </c>
      <c r="AA483" s="6">
        <v>2024</v>
      </c>
      <c r="AB483" s="1">
        <v>45688</v>
      </c>
    </row>
    <row r="484" spans="1:28" x14ac:dyDescent="0.3">
      <c r="A484" t="s">
        <v>2131</v>
      </c>
      <c r="B484" s="6" t="s">
        <v>801</v>
      </c>
      <c r="C484" s="6" t="s">
        <v>802</v>
      </c>
      <c r="D484">
        <v>1701052707</v>
      </c>
      <c r="E484">
        <v>170101001</v>
      </c>
      <c r="F484" t="s">
        <v>44</v>
      </c>
      <c r="G484">
        <v>0</v>
      </c>
      <c r="I484" t="s">
        <v>2132</v>
      </c>
      <c r="J484" s="8">
        <v>45631</v>
      </c>
      <c r="K484" s="1" t="s">
        <v>1479</v>
      </c>
      <c r="L484">
        <v>139</v>
      </c>
      <c r="M484" t="s">
        <v>2133</v>
      </c>
      <c r="N484" s="2">
        <v>245062.5</v>
      </c>
      <c r="O484" t="s">
        <v>225</v>
      </c>
      <c r="P484" s="6" t="s">
        <v>36</v>
      </c>
      <c r="Q484" t="s">
        <v>1993</v>
      </c>
      <c r="R484" t="s">
        <v>66</v>
      </c>
      <c r="S484" s="9">
        <v>4901.25</v>
      </c>
      <c r="T484" s="9">
        <v>50</v>
      </c>
      <c r="U484" s="9">
        <v>245062.5</v>
      </c>
      <c r="V484" s="6" t="s">
        <v>39</v>
      </c>
      <c r="W484" t="s">
        <v>40</v>
      </c>
      <c r="X484">
        <v>7810687137</v>
      </c>
      <c r="Y484">
        <v>781401001</v>
      </c>
      <c r="Z484" s="3">
        <v>45671.368750000001</v>
      </c>
      <c r="AA484" s="6">
        <v>2024</v>
      </c>
      <c r="AB484" s="1">
        <v>45688</v>
      </c>
    </row>
    <row r="485" spans="1:28" x14ac:dyDescent="0.3">
      <c r="A485" t="s">
        <v>2131</v>
      </c>
      <c r="B485" s="6" t="s">
        <v>801</v>
      </c>
      <c r="C485" s="6" t="s">
        <v>802</v>
      </c>
      <c r="D485">
        <v>1701052707</v>
      </c>
      <c r="E485">
        <v>170101001</v>
      </c>
      <c r="F485" t="s">
        <v>44</v>
      </c>
      <c r="G485">
        <v>0</v>
      </c>
      <c r="I485" t="s">
        <v>2132</v>
      </c>
      <c r="J485" s="8">
        <v>45631</v>
      </c>
      <c r="K485" s="1" t="s">
        <v>1479</v>
      </c>
      <c r="L485">
        <v>138</v>
      </c>
      <c r="M485" t="s">
        <v>2133</v>
      </c>
      <c r="N485" s="2">
        <v>245062.5</v>
      </c>
      <c r="O485" t="s">
        <v>225</v>
      </c>
      <c r="P485" s="6" t="s">
        <v>36</v>
      </c>
      <c r="Q485" t="s">
        <v>1993</v>
      </c>
      <c r="R485" t="s">
        <v>66</v>
      </c>
      <c r="S485" s="9">
        <v>4901.25</v>
      </c>
      <c r="T485" s="9">
        <v>50</v>
      </c>
      <c r="U485" s="9">
        <v>245062.5</v>
      </c>
      <c r="V485" s="6" t="s">
        <v>39</v>
      </c>
      <c r="W485" t="s">
        <v>40</v>
      </c>
      <c r="X485">
        <v>7810687137</v>
      </c>
      <c r="Y485">
        <v>781401001</v>
      </c>
      <c r="Z485" s="3">
        <v>45671.37222222222</v>
      </c>
      <c r="AA485" s="6">
        <v>2024</v>
      </c>
      <c r="AB485" s="1">
        <v>45688</v>
      </c>
    </row>
    <row r="486" spans="1:28" x14ac:dyDescent="0.3">
      <c r="A486" t="s">
        <v>2134</v>
      </c>
      <c r="B486" s="6" t="s">
        <v>801</v>
      </c>
      <c r="C486" s="6" t="s">
        <v>802</v>
      </c>
      <c r="D486">
        <v>1701052707</v>
      </c>
      <c r="E486">
        <v>170101001</v>
      </c>
      <c r="F486" t="s">
        <v>44</v>
      </c>
      <c r="G486">
        <v>0</v>
      </c>
      <c r="I486" t="s">
        <v>2132</v>
      </c>
      <c r="J486" s="8">
        <v>45631</v>
      </c>
      <c r="K486" s="1" t="s">
        <v>1479</v>
      </c>
      <c r="L486">
        <v>137</v>
      </c>
      <c r="M486" t="s">
        <v>2135</v>
      </c>
      <c r="N486" s="2">
        <v>264667.5</v>
      </c>
      <c r="O486" t="s">
        <v>225</v>
      </c>
      <c r="P486" s="6" t="s">
        <v>36</v>
      </c>
      <c r="Q486" t="s">
        <v>37</v>
      </c>
      <c r="R486" t="s">
        <v>66</v>
      </c>
      <c r="S486" s="9">
        <v>4901.25</v>
      </c>
      <c r="T486" s="9">
        <v>54</v>
      </c>
      <c r="U486" s="9">
        <v>264667.5</v>
      </c>
      <c r="V486" s="6" t="s">
        <v>39</v>
      </c>
      <c r="W486" t="s">
        <v>40</v>
      </c>
      <c r="X486">
        <v>7810687137</v>
      </c>
      <c r="Y486">
        <v>781401001</v>
      </c>
      <c r="Z486" s="3">
        <v>45651.530555555553</v>
      </c>
      <c r="AA486" s="6">
        <v>2024</v>
      </c>
      <c r="AB486" s="1">
        <v>45688</v>
      </c>
    </row>
    <row r="487" spans="1:28" x14ac:dyDescent="0.3">
      <c r="A487" t="s">
        <v>2134</v>
      </c>
      <c r="B487" s="6" t="s">
        <v>801</v>
      </c>
      <c r="C487" s="6" t="s">
        <v>802</v>
      </c>
      <c r="D487">
        <v>1701052707</v>
      </c>
      <c r="E487">
        <v>170101001</v>
      </c>
      <c r="F487" t="s">
        <v>44</v>
      </c>
      <c r="G487">
        <v>0</v>
      </c>
      <c r="I487" t="s">
        <v>2132</v>
      </c>
      <c r="J487" s="8">
        <v>45631</v>
      </c>
      <c r="K487" s="1" t="s">
        <v>1479</v>
      </c>
      <c r="L487">
        <v>136</v>
      </c>
      <c r="M487" t="s">
        <v>2135</v>
      </c>
      <c r="N487" s="2">
        <v>264667.5</v>
      </c>
      <c r="O487" t="s">
        <v>225</v>
      </c>
      <c r="P487" s="6" t="s">
        <v>36</v>
      </c>
      <c r="Q487" t="s">
        <v>37</v>
      </c>
      <c r="R487" t="s">
        <v>66</v>
      </c>
      <c r="S487" s="9">
        <v>4901.25</v>
      </c>
      <c r="T487" s="9">
        <v>54</v>
      </c>
      <c r="U487" s="9">
        <v>264667.5</v>
      </c>
      <c r="V487" s="6" t="s">
        <v>39</v>
      </c>
      <c r="W487" t="s">
        <v>40</v>
      </c>
      <c r="X487">
        <v>7810687137</v>
      </c>
      <c r="Y487">
        <v>781401001</v>
      </c>
      <c r="Z487" s="3">
        <v>45651.52847222222</v>
      </c>
      <c r="AA487" s="6">
        <v>2024</v>
      </c>
      <c r="AB487" s="1">
        <v>45688</v>
      </c>
    </row>
    <row r="488" spans="1:28" x14ac:dyDescent="0.3">
      <c r="A488" t="s">
        <v>2134</v>
      </c>
      <c r="B488" s="6" t="s">
        <v>801</v>
      </c>
      <c r="C488" s="6" t="s">
        <v>802</v>
      </c>
      <c r="D488">
        <v>1701052707</v>
      </c>
      <c r="E488">
        <v>170101001</v>
      </c>
      <c r="F488" t="s">
        <v>44</v>
      </c>
      <c r="G488">
        <v>0</v>
      </c>
      <c r="I488" t="s">
        <v>2132</v>
      </c>
      <c r="J488" s="8">
        <v>45631</v>
      </c>
      <c r="K488" s="1" t="s">
        <v>1479</v>
      </c>
      <c r="L488">
        <v>135</v>
      </c>
      <c r="M488" t="s">
        <v>2135</v>
      </c>
      <c r="N488" s="2">
        <v>264667.5</v>
      </c>
      <c r="O488" t="s">
        <v>225</v>
      </c>
      <c r="P488" s="6" t="s">
        <v>36</v>
      </c>
      <c r="Q488" t="s">
        <v>37</v>
      </c>
      <c r="R488" t="s">
        <v>66</v>
      </c>
      <c r="S488" s="9">
        <v>4901.25</v>
      </c>
      <c r="T488" s="9">
        <v>54</v>
      </c>
      <c r="U488" s="9">
        <v>264667.5</v>
      </c>
      <c r="V488" s="6" t="s">
        <v>39</v>
      </c>
      <c r="W488" t="s">
        <v>40</v>
      </c>
      <c r="X488">
        <v>7810687137</v>
      </c>
      <c r="Y488">
        <v>781401001</v>
      </c>
      <c r="Z488" s="3">
        <v>45651.527777777781</v>
      </c>
      <c r="AA488" s="6">
        <v>2024</v>
      </c>
      <c r="AB488" s="1">
        <v>45688</v>
      </c>
    </row>
    <row r="489" spans="1:28" x14ac:dyDescent="0.3">
      <c r="A489" t="s">
        <v>2134</v>
      </c>
      <c r="B489" s="6" t="s">
        <v>801</v>
      </c>
      <c r="C489" s="6" t="s">
        <v>802</v>
      </c>
      <c r="D489">
        <v>1701052707</v>
      </c>
      <c r="E489">
        <v>170101001</v>
      </c>
      <c r="F489" t="s">
        <v>44</v>
      </c>
      <c r="G489">
        <v>0</v>
      </c>
      <c r="I489" t="s">
        <v>2132</v>
      </c>
      <c r="J489" s="8">
        <v>45631</v>
      </c>
      <c r="K489" s="1" t="s">
        <v>1479</v>
      </c>
      <c r="L489">
        <v>134</v>
      </c>
      <c r="M489" t="s">
        <v>2135</v>
      </c>
      <c r="N489" s="2">
        <v>264667.5</v>
      </c>
      <c r="O489" t="s">
        <v>225</v>
      </c>
      <c r="P489" s="6" t="s">
        <v>36</v>
      </c>
      <c r="Q489" t="s">
        <v>37</v>
      </c>
      <c r="R489" t="s">
        <v>66</v>
      </c>
      <c r="S489" s="9">
        <v>4901.25</v>
      </c>
      <c r="T489" s="9">
        <v>54</v>
      </c>
      <c r="U489" s="9">
        <v>264667.5</v>
      </c>
      <c r="V489" s="6" t="s">
        <v>39</v>
      </c>
      <c r="W489" t="s">
        <v>40</v>
      </c>
      <c r="X489">
        <v>7810687137</v>
      </c>
      <c r="Y489">
        <v>781401001</v>
      </c>
      <c r="Z489" s="3">
        <v>45651.53125</v>
      </c>
      <c r="AA489" s="6">
        <v>2024</v>
      </c>
      <c r="AB489" s="1">
        <v>45688</v>
      </c>
    </row>
    <row r="490" spans="1:28" x14ac:dyDescent="0.3">
      <c r="A490" t="s">
        <v>2134</v>
      </c>
      <c r="B490" s="6" t="s">
        <v>801</v>
      </c>
      <c r="C490" s="6" t="s">
        <v>802</v>
      </c>
      <c r="D490">
        <v>1701052707</v>
      </c>
      <c r="E490">
        <v>170101001</v>
      </c>
      <c r="F490" t="s">
        <v>44</v>
      </c>
      <c r="G490">
        <v>0</v>
      </c>
      <c r="I490" t="s">
        <v>2132</v>
      </c>
      <c r="J490" s="8">
        <v>45631</v>
      </c>
      <c r="K490" s="1" t="s">
        <v>1479</v>
      </c>
      <c r="L490">
        <v>133</v>
      </c>
      <c r="M490" t="s">
        <v>2135</v>
      </c>
      <c r="N490" s="2">
        <v>264667.5</v>
      </c>
      <c r="O490" t="s">
        <v>225</v>
      </c>
      <c r="P490" s="6" t="s">
        <v>36</v>
      </c>
      <c r="Q490" t="s">
        <v>37</v>
      </c>
      <c r="R490" t="s">
        <v>66</v>
      </c>
      <c r="S490" s="9">
        <v>4901.25</v>
      </c>
      <c r="T490" s="9">
        <v>54</v>
      </c>
      <c r="U490" s="9">
        <v>264667.5</v>
      </c>
      <c r="V490" s="6" t="s">
        <v>39</v>
      </c>
      <c r="W490" t="s">
        <v>40</v>
      </c>
      <c r="X490">
        <v>7810687137</v>
      </c>
      <c r="Y490">
        <v>781401001</v>
      </c>
      <c r="Z490" s="3">
        <v>45651.529166666667</v>
      </c>
      <c r="AA490" s="6">
        <v>2024</v>
      </c>
      <c r="AB490" s="1">
        <v>45688</v>
      </c>
    </row>
    <row r="491" spans="1:28" x14ac:dyDescent="0.3">
      <c r="A491" t="s">
        <v>2134</v>
      </c>
      <c r="B491" s="6" t="s">
        <v>801</v>
      </c>
      <c r="C491" s="6" t="s">
        <v>802</v>
      </c>
      <c r="D491">
        <v>1701052707</v>
      </c>
      <c r="E491">
        <v>170101001</v>
      </c>
      <c r="F491" t="s">
        <v>44</v>
      </c>
      <c r="G491">
        <v>0</v>
      </c>
      <c r="I491" t="s">
        <v>2132</v>
      </c>
      <c r="J491" s="8">
        <v>45631</v>
      </c>
      <c r="K491" s="1" t="s">
        <v>1479</v>
      </c>
      <c r="L491">
        <v>132</v>
      </c>
      <c r="M491" t="s">
        <v>2135</v>
      </c>
      <c r="N491" s="2">
        <v>264667.5</v>
      </c>
      <c r="O491" t="s">
        <v>225</v>
      </c>
      <c r="P491" s="6" t="s">
        <v>36</v>
      </c>
      <c r="Q491" t="s">
        <v>37</v>
      </c>
      <c r="R491" t="s">
        <v>66</v>
      </c>
      <c r="S491" s="9">
        <v>4901.25</v>
      </c>
      <c r="T491" s="9">
        <v>54</v>
      </c>
      <c r="U491" s="9">
        <v>264667.5</v>
      </c>
      <c r="V491" s="6" t="s">
        <v>39</v>
      </c>
      <c r="W491" t="s">
        <v>40</v>
      </c>
      <c r="X491">
        <v>7810687137</v>
      </c>
      <c r="Y491">
        <v>781401001</v>
      </c>
      <c r="Z491" s="3">
        <v>45651.529861111114</v>
      </c>
      <c r="AA491" s="6">
        <v>2024</v>
      </c>
      <c r="AB491" s="1">
        <v>45688</v>
      </c>
    </row>
    <row r="492" spans="1:28" x14ac:dyDescent="0.3">
      <c r="A492" t="s">
        <v>2136</v>
      </c>
      <c r="B492" s="6" t="s">
        <v>801</v>
      </c>
      <c r="C492" s="6" t="s">
        <v>802</v>
      </c>
      <c r="D492">
        <v>1701052707</v>
      </c>
      <c r="E492">
        <v>170101001</v>
      </c>
      <c r="F492" t="s">
        <v>44</v>
      </c>
      <c r="G492">
        <v>0</v>
      </c>
      <c r="I492" t="s">
        <v>2132</v>
      </c>
      <c r="J492" s="8">
        <v>45631</v>
      </c>
      <c r="K492" s="1" t="s">
        <v>1479</v>
      </c>
      <c r="L492">
        <v>131</v>
      </c>
      <c r="M492" t="s">
        <v>2135</v>
      </c>
      <c r="N492" s="2">
        <v>269568.75</v>
      </c>
      <c r="O492" t="s">
        <v>225</v>
      </c>
      <c r="P492" s="6" t="s">
        <v>36</v>
      </c>
      <c r="Q492" t="s">
        <v>37</v>
      </c>
      <c r="R492" t="s">
        <v>66</v>
      </c>
      <c r="S492" s="9">
        <v>4901.25</v>
      </c>
      <c r="T492" s="9">
        <v>55</v>
      </c>
      <c r="U492" s="9">
        <v>269568.75</v>
      </c>
      <c r="V492" s="6" t="s">
        <v>39</v>
      </c>
      <c r="W492" t="s">
        <v>40</v>
      </c>
      <c r="X492">
        <v>7810687137</v>
      </c>
      <c r="Y492">
        <v>781401001</v>
      </c>
      <c r="Z492" s="3">
        <v>45651.529861111114</v>
      </c>
      <c r="AA492" s="6">
        <v>2024</v>
      </c>
      <c r="AB492" s="1">
        <v>45688</v>
      </c>
    </row>
    <row r="493" spans="1:28" x14ac:dyDescent="0.3">
      <c r="A493" t="s">
        <v>2137</v>
      </c>
      <c r="B493" s="6" t="s">
        <v>42</v>
      </c>
      <c r="C493" s="6" t="s">
        <v>43</v>
      </c>
      <c r="D493">
        <v>5609027223</v>
      </c>
      <c r="E493">
        <v>560901001</v>
      </c>
      <c r="F493" t="s">
        <v>31</v>
      </c>
      <c r="G493" t="s">
        <v>2138</v>
      </c>
      <c r="J493" s="8">
        <v>45632</v>
      </c>
      <c r="K493" s="1" t="s">
        <v>1479</v>
      </c>
      <c r="L493" t="s">
        <v>2139</v>
      </c>
      <c r="M493" t="s">
        <v>72</v>
      </c>
      <c r="N493" s="2">
        <v>28502200</v>
      </c>
      <c r="O493" t="s">
        <v>2140</v>
      </c>
      <c r="P493" s="6" t="s">
        <v>36</v>
      </c>
      <c r="Q493" t="s">
        <v>37</v>
      </c>
      <c r="R493" t="s">
        <v>66</v>
      </c>
      <c r="S493" s="9">
        <v>5050</v>
      </c>
      <c r="T493" s="9">
        <f>U493/S493</f>
        <v>1326</v>
      </c>
      <c r="U493" s="9">
        <v>6696300</v>
      </c>
      <c r="V493" s="6" t="s">
        <v>39</v>
      </c>
      <c r="W493" t="s">
        <v>40</v>
      </c>
      <c r="Z493" s="3"/>
      <c r="AA493" s="6">
        <v>2024</v>
      </c>
      <c r="AB493" s="1">
        <v>46022</v>
      </c>
    </row>
    <row r="494" spans="1:28" x14ac:dyDescent="0.3">
      <c r="A494" t="s">
        <v>2137</v>
      </c>
      <c r="B494" s="6" t="s">
        <v>42</v>
      </c>
      <c r="C494" s="6" t="s">
        <v>43</v>
      </c>
      <c r="D494">
        <v>5609027223</v>
      </c>
      <c r="E494">
        <v>560901001</v>
      </c>
      <c r="F494" t="s">
        <v>31</v>
      </c>
      <c r="G494" t="s">
        <v>2138</v>
      </c>
      <c r="J494" s="8">
        <v>45632</v>
      </c>
      <c r="K494" s="1" t="s">
        <v>1479</v>
      </c>
      <c r="L494" t="s">
        <v>2139</v>
      </c>
      <c r="M494" t="s">
        <v>72</v>
      </c>
      <c r="N494" s="2">
        <v>28502200</v>
      </c>
      <c r="O494" t="s">
        <v>2140</v>
      </c>
      <c r="P494" s="6" t="s">
        <v>36</v>
      </c>
      <c r="Q494" t="s">
        <v>37</v>
      </c>
      <c r="R494" t="s">
        <v>66</v>
      </c>
      <c r="S494" s="9">
        <v>5050</v>
      </c>
      <c r="T494" s="9">
        <f>U494/S494</f>
        <v>4318</v>
      </c>
      <c r="U494" s="9">
        <v>21805900</v>
      </c>
      <c r="V494" s="6" t="s">
        <v>39</v>
      </c>
      <c r="W494" t="s">
        <v>40</v>
      </c>
      <c r="Z494" s="3"/>
      <c r="AA494" s="6">
        <v>2025</v>
      </c>
      <c r="AB494" s="1">
        <v>46022</v>
      </c>
    </row>
    <row r="495" spans="1:28" x14ac:dyDescent="0.3">
      <c r="A495" t="s">
        <v>2126</v>
      </c>
      <c r="B495" s="6" t="s">
        <v>2115</v>
      </c>
      <c r="C495" s="6" t="s">
        <v>84</v>
      </c>
      <c r="D495">
        <v>3662006088</v>
      </c>
      <c r="E495">
        <v>366201001</v>
      </c>
      <c r="F495" t="s">
        <v>149</v>
      </c>
      <c r="G495" t="s">
        <v>2127</v>
      </c>
      <c r="H495" s="1">
        <v>45629</v>
      </c>
      <c r="J495" s="8">
        <v>45632</v>
      </c>
      <c r="K495" s="1" t="s">
        <v>1479</v>
      </c>
      <c r="L495" t="s">
        <v>2141</v>
      </c>
      <c r="M495" t="s">
        <v>377</v>
      </c>
      <c r="N495" s="2">
        <v>4890000</v>
      </c>
      <c r="O495" t="s">
        <v>377</v>
      </c>
      <c r="P495" s="6" t="s">
        <v>36</v>
      </c>
      <c r="R495" t="s">
        <v>38</v>
      </c>
      <c r="S495" s="9">
        <v>4890</v>
      </c>
      <c r="T495" s="9">
        <v>1000</v>
      </c>
      <c r="U495" s="9">
        <v>4890000</v>
      </c>
      <c r="V495" s="6" t="s">
        <v>58</v>
      </c>
      <c r="W495" t="s">
        <v>59</v>
      </c>
      <c r="X495">
        <v>5262222144</v>
      </c>
      <c r="Y495">
        <v>526201001</v>
      </c>
      <c r="Z495" s="3">
        <v>45646.465277777781</v>
      </c>
      <c r="AA495" s="6">
        <v>2024</v>
      </c>
      <c r="AB495" s="1">
        <v>45657</v>
      </c>
    </row>
    <row r="496" spans="1:28" x14ac:dyDescent="0.3">
      <c r="A496" t="s">
        <v>2142</v>
      </c>
      <c r="B496" s="6" t="s">
        <v>75</v>
      </c>
      <c r="C496" s="6" t="s">
        <v>76</v>
      </c>
      <c r="D496">
        <v>2633004253</v>
      </c>
      <c r="E496">
        <v>263601001</v>
      </c>
      <c r="F496" t="s">
        <v>52</v>
      </c>
      <c r="G496" t="s">
        <v>2143</v>
      </c>
      <c r="H496" s="1">
        <v>45618</v>
      </c>
      <c r="J496" s="8">
        <v>45632</v>
      </c>
      <c r="K496" s="1" t="s">
        <v>1479</v>
      </c>
      <c r="L496" t="s">
        <v>2144</v>
      </c>
      <c r="M496" t="s">
        <v>2145</v>
      </c>
      <c r="N496" s="2">
        <v>13126784</v>
      </c>
      <c r="O496" t="s">
        <v>273</v>
      </c>
      <c r="P496" s="6" t="s">
        <v>36</v>
      </c>
      <c r="R496" t="s">
        <v>240</v>
      </c>
      <c r="S496" s="9">
        <v>5966.72</v>
      </c>
      <c r="T496" s="9">
        <v>2200</v>
      </c>
      <c r="U496" s="9">
        <v>13126784</v>
      </c>
      <c r="V496" s="6" t="s">
        <v>352</v>
      </c>
      <c r="W496" t="s">
        <v>40</v>
      </c>
      <c r="X496">
        <v>7843014747</v>
      </c>
      <c r="Y496">
        <v>781401001</v>
      </c>
      <c r="Z496" s="3">
        <v>45632.59097222222</v>
      </c>
      <c r="AA496" s="6">
        <v>2024</v>
      </c>
      <c r="AB496" s="1">
        <v>46022</v>
      </c>
    </row>
    <row r="497" spans="1:28" x14ac:dyDescent="0.3">
      <c r="A497" t="s">
        <v>2146</v>
      </c>
      <c r="B497" s="6" t="s">
        <v>801</v>
      </c>
      <c r="C497" s="6" t="s">
        <v>802</v>
      </c>
      <c r="D497">
        <v>1701052707</v>
      </c>
      <c r="E497">
        <v>170101001</v>
      </c>
      <c r="F497" t="s">
        <v>44</v>
      </c>
      <c r="G497">
        <v>0</v>
      </c>
      <c r="I497" t="s">
        <v>2132</v>
      </c>
      <c r="J497" s="8">
        <v>45632</v>
      </c>
      <c r="K497" s="1" t="s">
        <v>1479</v>
      </c>
      <c r="L497">
        <v>147</v>
      </c>
      <c r="M497" t="s">
        <v>2133</v>
      </c>
      <c r="N497" s="2">
        <v>251738</v>
      </c>
      <c r="O497" t="s">
        <v>225</v>
      </c>
      <c r="P497" s="6" t="s">
        <v>36</v>
      </c>
      <c r="Q497" t="s">
        <v>1993</v>
      </c>
      <c r="R497" t="s">
        <v>66</v>
      </c>
      <c r="S497" s="9">
        <v>4901.25</v>
      </c>
      <c r="T497" s="9">
        <v>50</v>
      </c>
      <c r="U497" s="9">
        <v>245062.5</v>
      </c>
      <c r="V497" s="6" t="s">
        <v>39</v>
      </c>
      <c r="W497" t="s">
        <v>40</v>
      </c>
      <c r="X497">
        <v>7810687137</v>
      </c>
      <c r="Y497">
        <v>781401001</v>
      </c>
      <c r="Z497" s="3">
        <v>45671.370138888888</v>
      </c>
      <c r="AA497" s="6">
        <v>2024</v>
      </c>
      <c r="AB497" s="1">
        <v>45688</v>
      </c>
    </row>
    <row r="498" spans="1:28" x14ac:dyDescent="0.3">
      <c r="A498" t="s">
        <v>2146</v>
      </c>
      <c r="B498" s="6" t="s">
        <v>801</v>
      </c>
      <c r="C498" s="6" t="s">
        <v>802</v>
      </c>
      <c r="D498">
        <v>1701052707</v>
      </c>
      <c r="E498">
        <v>170101001</v>
      </c>
      <c r="F498" t="s">
        <v>44</v>
      </c>
      <c r="G498">
        <v>0</v>
      </c>
      <c r="I498" t="s">
        <v>2132</v>
      </c>
      <c r="J498" s="8">
        <v>45632</v>
      </c>
      <c r="K498" s="1" t="s">
        <v>1479</v>
      </c>
      <c r="L498">
        <v>147</v>
      </c>
      <c r="M498" t="s">
        <v>2133</v>
      </c>
      <c r="N498" s="2">
        <v>251738</v>
      </c>
      <c r="O498" t="s">
        <v>225</v>
      </c>
      <c r="P498" s="6" t="s">
        <v>36</v>
      </c>
      <c r="Q498" t="s">
        <v>1993</v>
      </c>
      <c r="R498" t="s">
        <v>66</v>
      </c>
      <c r="S498" s="9">
        <v>3337.75</v>
      </c>
      <c r="T498" s="9">
        <v>2</v>
      </c>
      <c r="U498" s="9">
        <v>6675.5</v>
      </c>
      <c r="V498" s="6" t="s">
        <v>39</v>
      </c>
      <c r="W498" t="s">
        <v>40</v>
      </c>
      <c r="X498">
        <v>7810687137</v>
      </c>
      <c r="Y498">
        <v>781401001</v>
      </c>
      <c r="Z498" s="3">
        <v>45671.370138888888</v>
      </c>
      <c r="AA498" s="6">
        <v>2024</v>
      </c>
      <c r="AB498" s="1">
        <v>45688</v>
      </c>
    </row>
    <row r="499" spans="1:28" x14ac:dyDescent="0.3">
      <c r="A499" t="s">
        <v>2147</v>
      </c>
      <c r="B499" s="6" t="s">
        <v>2148</v>
      </c>
      <c r="C499" s="6" t="s">
        <v>1859</v>
      </c>
      <c r="D499">
        <v>2020003211</v>
      </c>
      <c r="E499">
        <v>201601001</v>
      </c>
      <c r="F499" t="s">
        <v>31</v>
      </c>
      <c r="G499" t="s">
        <v>2149</v>
      </c>
      <c r="J499" s="8">
        <v>45635</v>
      </c>
      <c r="K499" s="1" t="s">
        <v>1479</v>
      </c>
      <c r="L499" t="s">
        <v>2150</v>
      </c>
      <c r="M499" t="s">
        <v>2151</v>
      </c>
      <c r="N499" s="2">
        <v>1720736.84</v>
      </c>
      <c r="O499" t="s">
        <v>2152</v>
      </c>
      <c r="P499" s="6" t="s">
        <v>36</v>
      </c>
      <c r="R499" t="s">
        <v>38</v>
      </c>
      <c r="S499" s="9">
        <v>6500</v>
      </c>
      <c r="T499" s="9">
        <v>264</v>
      </c>
      <c r="U499" s="9">
        <v>1720736.84</v>
      </c>
      <c r="V499" s="6" t="s">
        <v>39</v>
      </c>
      <c r="W499" t="s">
        <v>40</v>
      </c>
      <c r="Z499" s="3"/>
      <c r="AA499" s="6">
        <v>2024</v>
      </c>
      <c r="AB499" s="1">
        <v>45657</v>
      </c>
    </row>
    <row r="500" spans="1:28" x14ac:dyDescent="0.3">
      <c r="A500" t="s">
        <v>2153</v>
      </c>
      <c r="B500" s="6" t="s">
        <v>2148</v>
      </c>
      <c r="C500" s="6" t="s">
        <v>1859</v>
      </c>
      <c r="D500">
        <v>2020003211</v>
      </c>
      <c r="E500">
        <v>201601001</v>
      </c>
      <c r="F500" t="s">
        <v>31</v>
      </c>
      <c r="G500" t="s">
        <v>2154</v>
      </c>
      <c r="J500" s="8">
        <v>45635</v>
      </c>
      <c r="K500" s="1" t="s">
        <v>1479</v>
      </c>
      <c r="L500" t="s">
        <v>2155</v>
      </c>
      <c r="M500" t="s">
        <v>2151</v>
      </c>
      <c r="N500" s="2">
        <v>16529578.949999999</v>
      </c>
      <c r="O500" t="s">
        <v>2152</v>
      </c>
      <c r="P500" s="6" t="s">
        <v>36</v>
      </c>
      <c r="R500" t="s">
        <v>38</v>
      </c>
      <c r="S500" s="9">
        <v>6500</v>
      </c>
      <c r="T500" s="9">
        <v>2543</v>
      </c>
      <c r="U500" s="9">
        <v>16529578.949999999</v>
      </c>
      <c r="V500" s="6" t="s">
        <v>39</v>
      </c>
      <c r="W500" t="s">
        <v>40</v>
      </c>
      <c r="Z500" s="3"/>
      <c r="AA500" s="6">
        <v>2024</v>
      </c>
      <c r="AB500" s="1">
        <v>45657</v>
      </c>
    </row>
    <row r="501" spans="1:28" x14ac:dyDescent="0.3">
      <c r="A501" t="s">
        <v>2156</v>
      </c>
      <c r="B501" s="6" t="s">
        <v>2157</v>
      </c>
      <c r="C501" s="6" t="s">
        <v>539</v>
      </c>
      <c r="D501">
        <v>7842461679</v>
      </c>
      <c r="E501">
        <v>784201001</v>
      </c>
      <c r="F501" t="s">
        <v>52</v>
      </c>
      <c r="G501" t="s">
        <v>2158</v>
      </c>
      <c r="H501" s="1">
        <v>45624</v>
      </c>
      <c r="I501" t="s">
        <v>2159</v>
      </c>
      <c r="J501" s="8">
        <v>45635</v>
      </c>
      <c r="K501" s="1" t="s">
        <v>1479</v>
      </c>
      <c r="L501" t="s">
        <v>2160</v>
      </c>
      <c r="M501" t="s">
        <v>2161</v>
      </c>
      <c r="N501" s="2">
        <v>53985</v>
      </c>
      <c r="O501" t="s">
        <v>2162</v>
      </c>
      <c r="P501" s="6" t="s">
        <v>36</v>
      </c>
      <c r="R501" t="s">
        <v>240</v>
      </c>
      <c r="S501" s="9">
        <v>5398.5</v>
      </c>
      <c r="T501" s="9">
        <v>10</v>
      </c>
      <c r="U501" s="9">
        <v>53985</v>
      </c>
      <c r="V501" s="6" t="s">
        <v>39</v>
      </c>
      <c r="W501" t="s">
        <v>40</v>
      </c>
      <c r="X501">
        <v>7810687137</v>
      </c>
      <c r="Y501">
        <v>781401001</v>
      </c>
      <c r="Z501" s="3">
        <v>45636.675000000003</v>
      </c>
      <c r="AA501" s="6">
        <v>2024</v>
      </c>
      <c r="AB501" s="1">
        <v>45808</v>
      </c>
    </row>
    <row r="502" spans="1:28" x14ac:dyDescent="0.3">
      <c r="A502" t="s">
        <v>2163</v>
      </c>
      <c r="B502" s="6" t="s">
        <v>1399</v>
      </c>
      <c r="C502" s="6" t="s">
        <v>93</v>
      </c>
      <c r="D502">
        <v>4501025099</v>
      </c>
      <c r="E502">
        <v>450101001</v>
      </c>
      <c r="F502" t="s">
        <v>94</v>
      </c>
      <c r="G502" t="s">
        <v>2164</v>
      </c>
      <c r="H502" s="1">
        <v>45628</v>
      </c>
      <c r="I502" t="s">
        <v>2165</v>
      </c>
      <c r="J502" s="8">
        <v>45635</v>
      </c>
      <c r="K502" s="1" t="s">
        <v>1479</v>
      </c>
      <c r="L502" t="s">
        <v>2166</v>
      </c>
      <c r="M502" t="s">
        <v>644</v>
      </c>
      <c r="N502" s="2">
        <v>1487200</v>
      </c>
      <c r="O502" t="s">
        <v>440</v>
      </c>
      <c r="P502" s="6" t="s">
        <v>36</v>
      </c>
      <c r="R502" t="s">
        <v>240</v>
      </c>
      <c r="S502" s="9">
        <v>5200</v>
      </c>
      <c r="T502" s="9">
        <v>286</v>
      </c>
      <c r="U502" s="9">
        <v>1487200</v>
      </c>
      <c r="V502" s="6" t="s">
        <v>39</v>
      </c>
      <c r="W502" t="s">
        <v>40</v>
      </c>
      <c r="X502">
        <v>7810687137</v>
      </c>
      <c r="Y502">
        <v>781401001</v>
      </c>
      <c r="Z502" s="3">
        <v>45667.381249999999</v>
      </c>
      <c r="AA502" s="6">
        <v>2024</v>
      </c>
      <c r="AB502" s="1">
        <v>45808</v>
      </c>
    </row>
    <row r="503" spans="1:28" x14ac:dyDescent="0.3">
      <c r="A503" t="s">
        <v>2167</v>
      </c>
      <c r="B503" s="6" t="s">
        <v>917</v>
      </c>
      <c r="C503" s="6" t="s">
        <v>918</v>
      </c>
      <c r="D503">
        <v>1325126625</v>
      </c>
      <c r="E503">
        <v>132601001</v>
      </c>
      <c r="F503" t="s">
        <v>149</v>
      </c>
      <c r="G503" t="s">
        <v>2168</v>
      </c>
      <c r="H503" s="1">
        <v>45630</v>
      </c>
      <c r="J503" s="8">
        <v>45635</v>
      </c>
      <c r="K503" s="1" t="s">
        <v>1479</v>
      </c>
      <c r="L503" t="s">
        <v>2169</v>
      </c>
      <c r="M503" t="s">
        <v>273</v>
      </c>
      <c r="N503" s="2">
        <v>3610800</v>
      </c>
      <c r="O503" t="s">
        <v>273</v>
      </c>
      <c r="P503" s="6" t="s">
        <v>36</v>
      </c>
      <c r="R503" t="s">
        <v>240</v>
      </c>
      <c r="S503" s="9">
        <v>5100</v>
      </c>
      <c r="T503" s="9">
        <v>708</v>
      </c>
      <c r="U503" s="9">
        <v>3610800</v>
      </c>
      <c r="V503" s="6" t="s">
        <v>58</v>
      </c>
      <c r="W503" t="s">
        <v>59</v>
      </c>
      <c r="X503">
        <v>5262222144</v>
      </c>
      <c r="Y503">
        <v>526201001</v>
      </c>
      <c r="Z503" s="3">
        <v>45652.601388888892</v>
      </c>
      <c r="AA503" s="6">
        <v>2024</v>
      </c>
      <c r="AB503" s="1">
        <v>45654</v>
      </c>
    </row>
    <row r="504" spans="1:28" x14ac:dyDescent="0.3">
      <c r="A504" t="s">
        <v>2170</v>
      </c>
      <c r="B504" s="6" t="s">
        <v>1103</v>
      </c>
      <c r="C504" s="6" t="s">
        <v>1104</v>
      </c>
      <c r="D504">
        <v>4347018562</v>
      </c>
      <c r="E504">
        <v>434501001</v>
      </c>
      <c r="F504" t="s">
        <v>149</v>
      </c>
      <c r="G504" t="s">
        <v>2171</v>
      </c>
      <c r="H504" s="1">
        <v>45630</v>
      </c>
      <c r="J504" s="8">
        <v>45635</v>
      </c>
      <c r="K504" s="1" t="s">
        <v>1479</v>
      </c>
      <c r="L504" t="s">
        <v>2172</v>
      </c>
      <c r="M504" t="s">
        <v>273</v>
      </c>
      <c r="N504" s="2">
        <v>3498600</v>
      </c>
      <c r="O504" t="s">
        <v>273</v>
      </c>
      <c r="P504" s="6" t="s">
        <v>36</v>
      </c>
      <c r="R504" t="s">
        <v>240</v>
      </c>
      <c r="S504" s="9">
        <v>5100</v>
      </c>
      <c r="T504" s="9">
        <v>686</v>
      </c>
      <c r="U504" s="9">
        <v>3498600</v>
      </c>
      <c r="V504" s="6" t="s">
        <v>58</v>
      </c>
      <c r="W504" t="s">
        <v>59</v>
      </c>
      <c r="X504">
        <v>5262222144</v>
      </c>
      <c r="Y504">
        <v>526201001</v>
      </c>
      <c r="Z504" s="3">
        <v>45649.545138888891</v>
      </c>
      <c r="AA504" s="6">
        <v>2024</v>
      </c>
      <c r="AB504" s="1">
        <v>45656</v>
      </c>
    </row>
    <row r="505" spans="1:28" x14ac:dyDescent="0.3">
      <c r="A505" t="s">
        <v>2173</v>
      </c>
      <c r="B505" s="6" t="s">
        <v>959</v>
      </c>
      <c r="C505" s="6" t="s">
        <v>960</v>
      </c>
      <c r="D505">
        <v>105023439</v>
      </c>
      <c r="E505">
        <v>10501001</v>
      </c>
      <c r="F505" t="s">
        <v>149</v>
      </c>
      <c r="G505" t="s">
        <v>2174</v>
      </c>
      <c r="H505" s="1">
        <v>45631</v>
      </c>
      <c r="J505" s="8">
        <v>45636</v>
      </c>
      <c r="K505" s="1" t="s">
        <v>1479</v>
      </c>
      <c r="L505" t="s">
        <v>2175</v>
      </c>
      <c r="M505" t="s">
        <v>273</v>
      </c>
      <c r="N505" s="2">
        <v>2075867.36</v>
      </c>
      <c r="O505" t="s">
        <v>1366</v>
      </c>
      <c r="P505" s="6" t="s">
        <v>36</v>
      </c>
      <c r="R505" t="s">
        <v>240</v>
      </c>
      <c r="S505" s="9">
        <v>5295.58</v>
      </c>
      <c r="T505" s="9">
        <v>392</v>
      </c>
      <c r="U505" s="9">
        <v>2075867.36</v>
      </c>
      <c r="V505" s="6" t="s">
        <v>39</v>
      </c>
      <c r="W505" t="s">
        <v>40</v>
      </c>
      <c r="X505">
        <v>7810687137</v>
      </c>
      <c r="Y505">
        <v>781401001</v>
      </c>
      <c r="Z505" s="3">
        <v>45654.456250000003</v>
      </c>
      <c r="AA505" s="6">
        <v>2024</v>
      </c>
      <c r="AB505" s="1">
        <v>45657</v>
      </c>
    </row>
    <row r="506" spans="1:28" x14ac:dyDescent="0.3">
      <c r="A506" t="s">
        <v>2176</v>
      </c>
      <c r="B506" s="6" t="s">
        <v>147</v>
      </c>
      <c r="C506" s="6" t="s">
        <v>148</v>
      </c>
      <c r="D506">
        <v>274019476</v>
      </c>
      <c r="E506">
        <v>27401001</v>
      </c>
      <c r="F506" t="s">
        <v>149</v>
      </c>
      <c r="G506" t="s">
        <v>2177</v>
      </c>
      <c r="H506" s="1">
        <v>45631</v>
      </c>
      <c r="J506" s="8">
        <v>45636</v>
      </c>
      <c r="K506" s="1" t="s">
        <v>1479</v>
      </c>
      <c r="L506" t="s">
        <v>2177</v>
      </c>
      <c r="M506" t="s">
        <v>377</v>
      </c>
      <c r="N506" s="2">
        <v>132000</v>
      </c>
      <c r="O506" t="s">
        <v>2178</v>
      </c>
      <c r="P506" s="6" t="s">
        <v>36</v>
      </c>
      <c r="R506" t="s">
        <v>38</v>
      </c>
      <c r="S506" s="9">
        <v>8800</v>
      </c>
      <c r="T506" s="9">
        <v>15</v>
      </c>
      <c r="U506" s="9">
        <v>132000</v>
      </c>
      <c r="V506" s="6" t="s">
        <v>155</v>
      </c>
      <c r="W506" t="s">
        <v>59</v>
      </c>
      <c r="X506">
        <v>24202357780</v>
      </c>
      <c r="Z506" s="3">
        <v>45675.219444444447</v>
      </c>
      <c r="AA506" s="6">
        <v>2024</v>
      </c>
      <c r="AB506" s="1">
        <v>46022</v>
      </c>
    </row>
    <row r="507" spans="1:28" x14ac:dyDescent="0.3">
      <c r="A507" t="s">
        <v>2176</v>
      </c>
      <c r="B507" s="6" t="s">
        <v>147</v>
      </c>
      <c r="C507" s="6" t="s">
        <v>148</v>
      </c>
      <c r="D507">
        <v>274019476</v>
      </c>
      <c r="E507">
        <v>27401001</v>
      </c>
      <c r="F507" t="s">
        <v>149</v>
      </c>
      <c r="G507" t="s">
        <v>2177</v>
      </c>
      <c r="H507" s="1">
        <v>45631</v>
      </c>
      <c r="J507" s="8">
        <v>45636</v>
      </c>
      <c r="K507" s="1" t="s">
        <v>1479</v>
      </c>
      <c r="L507" t="s">
        <v>2177</v>
      </c>
      <c r="M507" t="s">
        <v>377</v>
      </c>
      <c r="N507" s="2">
        <v>132000</v>
      </c>
      <c r="O507" t="s">
        <v>2178</v>
      </c>
      <c r="P507" s="6" t="s">
        <v>36</v>
      </c>
      <c r="R507" t="s">
        <v>38</v>
      </c>
      <c r="S507" s="9">
        <v>8800</v>
      </c>
      <c r="T507" s="9">
        <v>15</v>
      </c>
      <c r="U507" s="9">
        <v>132000</v>
      </c>
      <c r="V507" s="6" t="s">
        <v>155</v>
      </c>
      <c r="W507" t="s">
        <v>59</v>
      </c>
      <c r="X507">
        <v>24202357780</v>
      </c>
      <c r="Z507" s="3">
        <v>45637.666666666664</v>
      </c>
      <c r="AA507" s="6">
        <v>2024</v>
      </c>
      <c r="AB507" s="1">
        <v>46022</v>
      </c>
    </row>
    <row r="508" spans="1:28" x14ac:dyDescent="0.3">
      <c r="A508" t="s">
        <v>2179</v>
      </c>
      <c r="B508" s="6" t="s">
        <v>121</v>
      </c>
      <c r="C508" s="6" t="s">
        <v>122</v>
      </c>
      <c r="D508">
        <v>5402155123</v>
      </c>
      <c r="E508">
        <v>540201001</v>
      </c>
      <c r="F508" t="s">
        <v>94</v>
      </c>
      <c r="G508" t="s">
        <v>2180</v>
      </c>
      <c r="H508" s="1">
        <v>45632</v>
      </c>
      <c r="I508" t="s">
        <v>2181</v>
      </c>
      <c r="J508" s="8">
        <v>45637</v>
      </c>
      <c r="K508" s="1" t="s">
        <v>1479</v>
      </c>
      <c r="L508" t="s">
        <v>2182</v>
      </c>
      <c r="M508" t="s">
        <v>2183</v>
      </c>
      <c r="N508" s="2">
        <v>2576000</v>
      </c>
      <c r="O508" t="s">
        <v>273</v>
      </c>
      <c r="P508" s="6" t="s">
        <v>464</v>
      </c>
      <c r="Q508" t="s">
        <v>37</v>
      </c>
      <c r="R508" t="s">
        <v>240</v>
      </c>
      <c r="S508" s="9">
        <v>5600</v>
      </c>
      <c r="T508" s="9">
        <v>460</v>
      </c>
      <c r="U508" s="9">
        <v>2576000</v>
      </c>
      <c r="V508" s="6" t="s">
        <v>1183</v>
      </c>
      <c r="W508" t="s">
        <v>1184</v>
      </c>
      <c r="X508">
        <v>6678119558</v>
      </c>
      <c r="Y508">
        <v>667801001</v>
      </c>
      <c r="Z508" s="3">
        <v>45673.304861111108</v>
      </c>
      <c r="AA508" s="6">
        <v>2024</v>
      </c>
      <c r="AB508" s="1">
        <v>45654</v>
      </c>
    </row>
    <row r="509" spans="1:28" x14ac:dyDescent="0.3">
      <c r="A509" t="s">
        <v>2184</v>
      </c>
      <c r="B509" s="6" t="s">
        <v>121</v>
      </c>
      <c r="C509" s="6" t="s">
        <v>122</v>
      </c>
      <c r="D509">
        <v>5402155123</v>
      </c>
      <c r="E509">
        <v>540201001</v>
      </c>
      <c r="F509" t="s">
        <v>94</v>
      </c>
      <c r="G509" t="s">
        <v>2185</v>
      </c>
      <c r="H509" s="1">
        <v>45632</v>
      </c>
      <c r="I509" t="s">
        <v>2181</v>
      </c>
      <c r="J509" s="8">
        <v>45637</v>
      </c>
      <c r="K509" s="1" t="s">
        <v>1479</v>
      </c>
      <c r="L509" t="s">
        <v>2186</v>
      </c>
      <c r="M509" t="s">
        <v>2187</v>
      </c>
      <c r="N509" s="2">
        <v>2856000</v>
      </c>
      <c r="O509" t="s">
        <v>273</v>
      </c>
      <c r="P509" s="6" t="s">
        <v>464</v>
      </c>
      <c r="Q509" t="s">
        <v>37</v>
      </c>
      <c r="R509" t="s">
        <v>240</v>
      </c>
      <c r="S509" s="9">
        <v>5600</v>
      </c>
      <c r="T509" s="9">
        <v>510</v>
      </c>
      <c r="U509" s="9">
        <v>2856000</v>
      </c>
      <c r="V509" s="6" t="s">
        <v>1183</v>
      </c>
      <c r="W509" t="s">
        <v>1184</v>
      </c>
      <c r="X509">
        <v>6678119558</v>
      </c>
      <c r="Y509">
        <v>667801001</v>
      </c>
      <c r="Z509" s="3">
        <v>45673.306944444441</v>
      </c>
      <c r="AA509" s="6">
        <v>2024</v>
      </c>
      <c r="AB509" s="1">
        <v>45654</v>
      </c>
    </row>
    <row r="510" spans="1:28" x14ac:dyDescent="0.3">
      <c r="A510" t="s">
        <v>2188</v>
      </c>
      <c r="B510" s="6" t="s">
        <v>121</v>
      </c>
      <c r="C510" s="6" t="s">
        <v>122</v>
      </c>
      <c r="D510">
        <v>5402155123</v>
      </c>
      <c r="E510">
        <v>540201001</v>
      </c>
      <c r="F510" t="s">
        <v>94</v>
      </c>
      <c r="G510" t="s">
        <v>2189</v>
      </c>
      <c r="H510" s="1">
        <v>45632</v>
      </c>
      <c r="I510" t="s">
        <v>2181</v>
      </c>
      <c r="J510" s="8">
        <v>45637</v>
      </c>
      <c r="K510" s="1" t="s">
        <v>1479</v>
      </c>
      <c r="L510" t="s">
        <v>2190</v>
      </c>
      <c r="M510" t="s">
        <v>2191</v>
      </c>
      <c r="N510" s="2">
        <v>2968000</v>
      </c>
      <c r="O510" t="s">
        <v>273</v>
      </c>
      <c r="P510" s="6" t="s">
        <v>464</v>
      </c>
      <c r="Q510" t="s">
        <v>37</v>
      </c>
      <c r="R510" t="s">
        <v>240</v>
      </c>
      <c r="S510" s="9">
        <v>5600</v>
      </c>
      <c r="T510" s="9">
        <v>530</v>
      </c>
      <c r="U510" s="9">
        <v>2968000</v>
      </c>
      <c r="V510" s="6" t="s">
        <v>1183</v>
      </c>
      <c r="W510" t="s">
        <v>1184</v>
      </c>
      <c r="X510">
        <v>6678119558</v>
      </c>
      <c r="Y510">
        <v>667801001</v>
      </c>
      <c r="Z510" s="3">
        <v>45673.309027777781</v>
      </c>
      <c r="AA510" s="6">
        <v>2024</v>
      </c>
      <c r="AB510" s="1">
        <v>45654</v>
      </c>
    </row>
    <row r="511" spans="1:28" x14ac:dyDescent="0.3">
      <c r="A511" t="s">
        <v>2192</v>
      </c>
      <c r="B511" s="6" t="s">
        <v>1645</v>
      </c>
      <c r="C511" s="6" t="s">
        <v>731</v>
      </c>
      <c r="D511">
        <v>5835064204</v>
      </c>
      <c r="E511">
        <v>583501001</v>
      </c>
      <c r="F511" t="s">
        <v>149</v>
      </c>
      <c r="G511" t="s">
        <v>2193</v>
      </c>
      <c r="H511" s="1">
        <v>45632</v>
      </c>
      <c r="J511" s="8">
        <v>45637</v>
      </c>
      <c r="K511" s="1" t="s">
        <v>1479</v>
      </c>
      <c r="L511" t="s">
        <v>2194</v>
      </c>
      <c r="M511" t="s">
        <v>273</v>
      </c>
      <c r="N511" s="2">
        <v>4998000</v>
      </c>
      <c r="O511" t="s">
        <v>273</v>
      </c>
      <c r="P511" s="6" t="s">
        <v>36</v>
      </c>
      <c r="R511" t="s">
        <v>240</v>
      </c>
      <c r="S511" s="9">
        <v>5100</v>
      </c>
      <c r="T511" s="9">
        <v>980</v>
      </c>
      <c r="U511" s="9">
        <v>4998000</v>
      </c>
      <c r="V511" s="6" t="s">
        <v>58</v>
      </c>
      <c r="W511" t="s">
        <v>59</v>
      </c>
      <c r="X511">
        <v>5262222144</v>
      </c>
      <c r="Y511">
        <v>526201001</v>
      </c>
      <c r="Z511" s="3">
        <v>45651.411111111112</v>
      </c>
      <c r="AA511" s="6">
        <v>2024</v>
      </c>
      <c r="AB511" s="1">
        <v>45677</v>
      </c>
    </row>
    <row r="512" spans="1:28" x14ac:dyDescent="0.3">
      <c r="A512" t="s">
        <v>2195</v>
      </c>
      <c r="B512" s="6" t="s">
        <v>2196</v>
      </c>
      <c r="C512" s="6" t="s">
        <v>1197</v>
      </c>
      <c r="D512">
        <v>411100361</v>
      </c>
      <c r="E512">
        <v>41101001</v>
      </c>
      <c r="F512" t="s">
        <v>149</v>
      </c>
      <c r="G512" t="s">
        <v>2197</v>
      </c>
      <c r="H512" s="1">
        <v>45632</v>
      </c>
      <c r="I512" t="s">
        <v>2198</v>
      </c>
      <c r="J512" s="8">
        <v>45637</v>
      </c>
      <c r="K512" s="1" t="s">
        <v>1479</v>
      </c>
      <c r="L512" t="s">
        <v>2199</v>
      </c>
      <c r="M512" t="s">
        <v>273</v>
      </c>
      <c r="N512" s="2">
        <v>1801886.04</v>
      </c>
      <c r="O512" t="s">
        <v>273</v>
      </c>
      <c r="P512" s="6" t="s">
        <v>36</v>
      </c>
      <c r="R512" t="s">
        <v>240</v>
      </c>
      <c r="S512" s="9">
        <v>4883.16</v>
      </c>
      <c r="T512" s="9">
        <v>369</v>
      </c>
      <c r="U512" s="9">
        <v>1801886.04</v>
      </c>
      <c r="V512" s="6" t="s">
        <v>39</v>
      </c>
      <c r="W512" t="s">
        <v>40</v>
      </c>
      <c r="X512">
        <v>7810687137</v>
      </c>
      <c r="Y512">
        <v>781401001</v>
      </c>
      <c r="Z512" s="3">
        <v>45653.23333333333</v>
      </c>
      <c r="AA512" s="6">
        <v>2024</v>
      </c>
      <c r="AB512" s="1">
        <v>45708</v>
      </c>
    </row>
    <row r="513" spans="1:28" x14ac:dyDescent="0.3">
      <c r="A513" t="s">
        <v>2200</v>
      </c>
      <c r="B513" s="6" t="s">
        <v>1645</v>
      </c>
      <c r="C513" s="6" t="s">
        <v>731</v>
      </c>
      <c r="D513">
        <v>5835064204</v>
      </c>
      <c r="E513">
        <v>583501001</v>
      </c>
      <c r="F513" t="s">
        <v>149</v>
      </c>
      <c r="G513" t="s">
        <v>2201</v>
      </c>
      <c r="H513" s="1">
        <v>45632</v>
      </c>
      <c r="J513" s="8">
        <v>45637</v>
      </c>
      <c r="K513" s="1" t="s">
        <v>1479</v>
      </c>
      <c r="L513" t="s">
        <v>2202</v>
      </c>
      <c r="M513" t="s">
        <v>273</v>
      </c>
      <c r="N513" s="2">
        <v>3570000</v>
      </c>
      <c r="O513" t="s">
        <v>273</v>
      </c>
      <c r="P513" s="6" t="s">
        <v>36</v>
      </c>
      <c r="R513" t="s">
        <v>240</v>
      </c>
      <c r="S513" s="9">
        <v>5100</v>
      </c>
      <c r="T513" s="9">
        <v>700</v>
      </c>
      <c r="U513" s="9">
        <v>3570000</v>
      </c>
      <c r="V513" s="6" t="s">
        <v>58</v>
      </c>
      <c r="W513" t="s">
        <v>59</v>
      </c>
      <c r="X513">
        <v>5262222144</v>
      </c>
      <c r="Y513">
        <v>526201001</v>
      </c>
      <c r="Z513" s="3">
        <v>45651.411111111112</v>
      </c>
      <c r="AA513" s="6">
        <v>2024</v>
      </c>
      <c r="AB513" s="1">
        <v>45677</v>
      </c>
    </row>
    <row r="514" spans="1:28" x14ac:dyDescent="0.3">
      <c r="A514" t="s">
        <v>2203</v>
      </c>
      <c r="B514" s="6" t="s">
        <v>2204</v>
      </c>
      <c r="C514" s="6" t="s">
        <v>731</v>
      </c>
      <c r="D514">
        <v>5836200690</v>
      </c>
      <c r="E514">
        <v>583601001</v>
      </c>
      <c r="F514" t="s">
        <v>149</v>
      </c>
      <c r="G514" t="s">
        <v>2205</v>
      </c>
      <c r="H514" s="1">
        <v>45632</v>
      </c>
      <c r="J514" s="8">
        <v>45637</v>
      </c>
      <c r="K514" s="1" t="s">
        <v>1479</v>
      </c>
      <c r="L514" t="s">
        <v>2205</v>
      </c>
      <c r="M514" t="s">
        <v>273</v>
      </c>
      <c r="N514" s="2">
        <v>1193400</v>
      </c>
      <c r="O514" t="s">
        <v>273</v>
      </c>
      <c r="P514" s="6" t="s">
        <v>36</v>
      </c>
      <c r="R514" t="s">
        <v>240</v>
      </c>
      <c r="S514" s="9">
        <v>5100</v>
      </c>
      <c r="T514" s="9">
        <v>234</v>
      </c>
      <c r="U514" s="9">
        <v>1193400</v>
      </c>
      <c r="V514" s="6" t="s">
        <v>58</v>
      </c>
      <c r="W514" t="s">
        <v>59</v>
      </c>
      <c r="X514">
        <v>5262222144</v>
      </c>
      <c r="Y514">
        <v>526201001</v>
      </c>
      <c r="Z514" s="3">
        <v>45650.476388888892</v>
      </c>
      <c r="AA514" s="6">
        <v>2024</v>
      </c>
      <c r="AB514" s="1">
        <v>45667</v>
      </c>
    </row>
    <row r="515" spans="1:28" x14ac:dyDescent="0.3">
      <c r="A515" t="s">
        <v>2206</v>
      </c>
      <c r="B515" s="6" t="s">
        <v>220</v>
      </c>
      <c r="C515" s="6" t="s">
        <v>221</v>
      </c>
      <c r="D515">
        <v>5024068656</v>
      </c>
      <c r="E515">
        <v>502401001</v>
      </c>
      <c r="F515" t="s">
        <v>94</v>
      </c>
      <c r="G515" t="s">
        <v>2207</v>
      </c>
      <c r="H515" s="1">
        <v>45632</v>
      </c>
      <c r="J515" s="8">
        <v>45637</v>
      </c>
      <c r="K515" s="1" t="s">
        <v>1479</v>
      </c>
      <c r="L515" t="s">
        <v>2208</v>
      </c>
      <c r="M515" t="s">
        <v>2209</v>
      </c>
      <c r="N515" s="2">
        <v>9900000</v>
      </c>
      <c r="O515" t="s">
        <v>494</v>
      </c>
      <c r="P515" s="6" t="s">
        <v>36</v>
      </c>
      <c r="Q515" t="s">
        <v>1993</v>
      </c>
      <c r="R515" t="s">
        <v>38</v>
      </c>
      <c r="S515" s="9">
        <v>5000</v>
      </c>
      <c r="T515" s="9">
        <v>1980</v>
      </c>
      <c r="U515" s="9">
        <v>9900000</v>
      </c>
      <c r="V515" s="6" t="s">
        <v>128</v>
      </c>
      <c r="W515" t="s">
        <v>129</v>
      </c>
      <c r="X515">
        <v>274110679</v>
      </c>
      <c r="Y515">
        <v>500801001</v>
      </c>
      <c r="Z515" s="3">
        <v>45679.435416666667</v>
      </c>
      <c r="AA515" s="6">
        <v>2024</v>
      </c>
      <c r="AB515" s="1">
        <v>45652</v>
      </c>
    </row>
    <row r="516" spans="1:28" x14ac:dyDescent="0.3">
      <c r="A516" t="s">
        <v>2206</v>
      </c>
      <c r="B516" s="6" t="s">
        <v>220</v>
      </c>
      <c r="C516" s="6" t="s">
        <v>221</v>
      </c>
      <c r="D516">
        <v>5024068656</v>
      </c>
      <c r="E516">
        <v>502401001</v>
      </c>
      <c r="F516" t="s">
        <v>94</v>
      </c>
      <c r="G516" t="s">
        <v>2207</v>
      </c>
      <c r="H516" s="1">
        <v>45632</v>
      </c>
      <c r="J516" s="8">
        <v>45637</v>
      </c>
      <c r="K516" s="1" t="s">
        <v>1479</v>
      </c>
      <c r="L516" t="s">
        <v>2208</v>
      </c>
      <c r="M516" t="s">
        <v>2210</v>
      </c>
      <c r="N516" s="2">
        <v>9900000</v>
      </c>
      <c r="O516" t="s">
        <v>494</v>
      </c>
      <c r="P516" s="6" t="s">
        <v>36</v>
      </c>
      <c r="Q516" t="s">
        <v>1993</v>
      </c>
      <c r="R516" t="s">
        <v>38</v>
      </c>
      <c r="S516" s="9">
        <v>5000</v>
      </c>
      <c r="T516" s="9">
        <v>1980</v>
      </c>
      <c r="U516" s="9">
        <v>9900000</v>
      </c>
      <c r="V516" s="6" t="s">
        <v>128</v>
      </c>
      <c r="W516" t="s">
        <v>129</v>
      </c>
      <c r="X516">
        <v>274110679</v>
      </c>
      <c r="Y516">
        <v>500801001</v>
      </c>
      <c r="Z516" s="3">
        <v>45679.429166666669</v>
      </c>
      <c r="AA516" s="6">
        <v>2024</v>
      </c>
      <c r="AB516" s="1">
        <v>45652</v>
      </c>
    </row>
    <row r="517" spans="1:28" x14ac:dyDescent="0.3">
      <c r="A517" t="s">
        <v>2206</v>
      </c>
      <c r="B517" s="6" t="s">
        <v>220</v>
      </c>
      <c r="C517" s="6" t="s">
        <v>221</v>
      </c>
      <c r="D517">
        <v>5024068656</v>
      </c>
      <c r="E517">
        <v>502401001</v>
      </c>
      <c r="F517" t="s">
        <v>94</v>
      </c>
      <c r="G517" t="s">
        <v>2207</v>
      </c>
      <c r="H517" s="1">
        <v>45632</v>
      </c>
      <c r="J517" s="8">
        <v>45637</v>
      </c>
      <c r="K517" s="1" t="s">
        <v>1479</v>
      </c>
      <c r="L517" t="s">
        <v>2208</v>
      </c>
      <c r="M517" t="s">
        <v>2211</v>
      </c>
      <c r="N517" s="2">
        <v>9900000</v>
      </c>
      <c r="O517" t="s">
        <v>494</v>
      </c>
      <c r="P517" s="6" t="s">
        <v>36</v>
      </c>
      <c r="Q517" t="s">
        <v>1993</v>
      </c>
      <c r="R517" t="s">
        <v>38</v>
      </c>
      <c r="S517" s="9">
        <v>5000</v>
      </c>
      <c r="T517" s="9">
        <v>1980</v>
      </c>
      <c r="U517" s="9">
        <v>9900000</v>
      </c>
      <c r="V517" s="6" t="s">
        <v>128</v>
      </c>
      <c r="W517" t="s">
        <v>129</v>
      </c>
      <c r="X517">
        <v>274110679</v>
      </c>
      <c r="Y517">
        <v>500801001</v>
      </c>
      <c r="Z517" s="3">
        <v>45679.404166666667</v>
      </c>
      <c r="AA517" s="6">
        <v>2024</v>
      </c>
      <c r="AB517" s="1">
        <v>45652</v>
      </c>
    </row>
    <row r="518" spans="1:28" x14ac:dyDescent="0.3">
      <c r="A518" t="s">
        <v>2206</v>
      </c>
      <c r="B518" s="6" t="s">
        <v>220</v>
      </c>
      <c r="C518" s="6" t="s">
        <v>221</v>
      </c>
      <c r="D518">
        <v>5024068656</v>
      </c>
      <c r="E518">
        <v>502401001</v>
      </c>
      <c r="F518" t="s">
        <v>94</v>
      </c>
      <c r="G518" t="s">
        <v>2207</v>
      </c>
      <c r="H518" s="1">
        <v>45632</v>
      </c>
      <c r="J518" s="8">
        <v>45637</v>
      </c>
      <c r="K518" s="1" t="s">
        <v>1479</v>
      </c>
      <c r="L518" t="s">
        <v>2208</v>
      </c>
      <c r="M518" t="s">
        <v>2212</v>
      </c>
      <c r="N518" s="2">
        <v>9900000</v>
      </c>
      <c r="O518" t="s">
        <v>494</v>
      </c>
      <c r="P518" s="6" t="s">
        <v>36</v>
      </c>
      <c r="Q518" t="s">
        <v>1993</v>
      </c>
      <c r="R518" t="s">
        <v>38</v>
      </c>
      <c r="S518" s="9">
        <v>5000</v>
      </c>
      <c r="T518" s="9">
        <v>1980</v>
      </c>
      <c r="U518" s="9">
        <v>9900000</v>
      </c>
      <c r="V518" s="6" t="s">
        <v>128</v>
      </c>
      <c r="W518" t="s">
        <v>129</v>
      </c>
      <c r="X518">
        <v>274110679</v>
      </c>
      <c r="Y518">
        <v>500801001</v>
      </c>
      <c r="Z518" s="3">
        <v>45679.40347222222</v>
      </c>
      <c r="AA518" s="6">
        <v>2024</v>
      </c>
      <c r="AB518" s="1">
        <v>45652</v>
      </c>
    </row>
    <row r="519" spans="1:28" x14ac:dyDescent="0.3">
      <c r="A519" t="s">
        <v>2206</v>
      </c>
      <c r="B519" s="6" t="s">
        <v>220</v>
      </c>
      <c r="C519" s="6" t="s">
        <v>221</v>
      </c>
      <c r="D519">
        <v>5024068656</v>
      </c>
      <c r="E519">
        <v>502401001</v>
      </c>
      <c r="F519" t="s">
        <v>94</v>
      </c>
      <c r="G519" t="s">
        <v>2207</v>
      </c>
      <c r="H519" s="1">
        <v>45632</v>
      </c>
      <c r="J519" s="8">
        <v>45637</v>
      </c>
      <c r="K519" s="1" t="s">
        <v>1479</v>
      </c>
      <c r="L519" t="s">
        <v>2208</v>
      </c>
      <c r="M519" t="s">
        <v>2213</v>
      </c>
      <c r="N519" s="2">
        <v>9900000</v>
      </c>
      <c r="O519" t="s">
        <v>494</v>
      </c>
      <c r="P519" s="6" t="s">
        <v>36</v>
      </c>
      <c r="Q519" t="s">
        <v>1993</v>
      </c>
      <c r="R519" t="s">
        <v>38</v>
      </c>
      <c r="S519" s="9">
        <v>5000</v>
      </c>
      <c r="T519" s="9">
        <v>1980</v>
      </c>
      <c r="U519" s="9">
        <v>9900000</v>
      </c>
      <c r="V519" s="6" t="s">
        <v>128</v>
      </c>
      <c r="W519" t="s">
        <v>129</v>
      </c>
      <c r="X519">
        <v>274110679</v>
      </c>
      <c r="Y519">
        <v>500801001</v>
      </c>
      <c r="Z519" s="3">
        <v>45679.397916666669</v>
      </c>
      <c r="AA519" s="6">
        <v>2024</v>
      </c>
      <c r="AB519" s="1">
        <v>45652</v>
      </c>
    </row>
    <row r="520" spans="1:28" x14ac:dyDescent="0.3">
      <c r="A520" t="s">
        <v>2206</v>
      </c>
      <c r="B520" s="6" t="s">
        <v>220</v>
      </c>
      <c r="C520" s="6" t="s">
        <v>221</v>
      </c>
      <c r="D520">
        <v>5024068656</v>
      </c>
      <c r="E520">
        <v>502401001</v>
      </c>
      <c r="F520" t="s">
        <v>94</v>
      </c>
      <c r="G520" t="s">
        <v>2207</v>
      </c>
      <c r="H520" s="1">
        <v>45632</v>
      </c>
      <c r="J520" s="8">
        <v>45637</v>
      </c>
      <c r="K520" s="1" t="s">
        <v>1479</v>
      </c>
      <c r="L520" t="s">
        <v>2208</v>
      </c>
      <c r="M520" t="s">
        <v>2214</v>
      </c>
      <c r="N520" s="2">
        <v>9900000</v>
      </c>
      <c r="O520" t="s">
        <v>494</v>
      </c>
      <c r="P520" s="6" t="s">
        <v>36</v>
      </c>
      <c r="Q520" t="s">
        <v>1993</v>
      </c>
      <c r="R520" t="s">
        <v>38</v>
      </c>
      <c r="S520" s="9">
        <v>5000</v>
      </c>
      <c r="T520" s="9">
        <v>1980</v>
      </c>
      <c r="U520" s="9">
        <v>9900000</v>
      </c>
      <c r="V520" s="6" t="s">
        <v>128</v>
      </c>
      <c r="W520" t="s">
        <v>129</v>
      </c>
      <c r="X520">
        <v>274110679</v>
      </c>
      <c r="Y520">
        <v>500801001</v>
      </c>
      <c r="Z520" s="3">
        <v>45679.396527777775</v>
      </c>
      <c r="AA520" s="6">
        <v>2024</v>
      </c>
      <c r="AB520" s="1">
        <v>45652</v>
      </c>
    </row>
    <row r="521" spans="1:28" x14ac:dyDescent="0.3">
      <c r="A521" t="s">
        <v>2206</v>
      </c>
      <c r="B521" s="6" t="s">
        <v>220</v>
      </c>
      <c r="C521" s="6" t="s">
        <v>221</v>
      </c>
      <c r="D521">
        <v>5024068656</v>
      </c>
      <c r="E521">
        <v>502401001</v>
      </c>
      <c r="F521" t="s">
        <v>94</v>
      </c>
      <c r="G521" t="s">
        <v>2207</v>
      </c>
      <c r="H521" s="1">
        <v>45632</v>
      </c>
      <c r="J521" s="8">
        <v>45637</v>
      </c>
      <c r="K521" s="1" t="s">
        <v>1479</v>
      </c>
      <c r="L521" t="s">
        <v>2208</v>
      </c>
      <c r="M521" t="s">
        <v>2215</v>
      </c>
      <c r="N521" s="2">
        <v>9900000</v>
      </c>
      <c r="O521" t="s">
        <v>494</v>
      </c>
      <c r="P521" s="6" t="s">
        <v>36</v>
      </c>
      <c r="Q521" t="s">
        <v>1993</v>
      </c>
      <c r="R521" t="s">
        <v>38</v>
      </c>
      <c r="S521" s="9">
        <v>5000</v>
      </c>
      <c r="T521" s="9">
        <v>1980</v>
      </c>
      <c r="U521" s="9">
        <v>9900000</v>
      </c>
      <c r="V521" s="6" t="s">
        <v>128</v>
      </c>
      <c r="W521" t="s">
        <v>129</v>
      </c>
      <c r="X521">
        <v>274110679</v>
      </c>
      <c r="Y521">
        <v>500801001</v>
      </c>
      <c r="Z521" s="3">
        <v>45649.492361111108</v>
      </c>
      <c r="AA521" s="6">
        <v>2024</v>
      </c>
      <c r="AB521" s="1">
        <v>45652</v>
      </c>
    </row>
    <row r="522" spans="1:28" x14ac:dyDescent="0.3">
      <c r="A522" t="s">
        <v>2216</v>
      </c>
      <c r="B522" s="6" t="s">
        <v>220</v>
      </c>
      <c r="C522" s="6" t="s">
        <v>221</v>
      </c>
      <c r="D522">
        <v>5024068656</v>
      </c>
      <c r="E522">
        <v>502401001</v>
      </c>
      <c r="F522" t="s">
        <v>94</v>
      </c>
      <c r="G522" t="s">
        <v>2217</v>
      </c>
      <c r="H522" s="1">
        <v>45632</v>
      </c>
      <c r="J522" s="8">
        <v>45637</v>
      </c>
      <c r="K522" s="1" t="s">
        <v>1479</v>
      </c>
      <c r="L522" t="s">
        <v>2217</v>
      </c>
      <c r="M522" t="s">
        <v>2218</v>
      </c>
      <c r="N522" s="2">
        <v>4790000</v>
      </c>
      <c r="O522" t="s">
        <v>494</v>
      </c>
      <c r="P522" s="6" t="s">
        <v>36</v>
      </c>
      <c r="Q522" t="s">
        <v>1993</v>
      </c>
      <c r="R522" t="s">
        <v>38</v>
      </c>
      <c r="S522" s="9">
        <v>5000</v>
      </c>
      <c r="T522" s="9">
        <v>958</v>
      </c>
      <c r="U522" s="9">
        <v>4790000</v>
      </c>
      <c r="V522" s="6" t="s">
        <v>128</v>
      </c>
      <c r="W522" t="s">
        <v>129</v>
      </c>
      <c r="X522">
        <v>274110679</v>
      </c>
      <c r="Y522">
        <v>500801001</v>
      </c>
      <c r="Z522" s="3">
        <v>45649.486805555556</v>
      </c>
      <c r="AA522" s="6">
        <v>2024</v>
      </c>
      <c r="AB522" s="1">
        <v>45652</v>
      </c>
    </row>
    <row r="523" spans="1:28" x14ac:dyDescent="0.3">
      <c r="A523" t="s">
        <v>2219</v>
      </c>
      <c r="B523" s="6" t="s">
        <v>220</v>
      </c>
      <c r="C523" s="6" t="s">
        <v>221</v>
      </c>
      <c r="D523">
        <v>5024068656</v>
      </c>
      <c r="E523">
        <v>502401001</v>
      </c>
      <c r="F523" t="s">
        <v>94</v>
      </c>
      <c r="G523" t="s">
        <v>2220</v>
      </c>
      <c r="H523" s="1">
        <v>45623</v>
      </c>
      <c r="I523" t="s">
        <v>2221</v>
      </c>
      <c r="J523" s="8">
        <v>45637</v>
      </c>
      <c r="K523" s="1" t="s">
        <v>1479</v>
      </c>
      <c r="L523" t="s">
        <v>2220</v>
      </c>
      <c r="M523" t="s">
        <v>2222</v>
      </c>
      <c r="N523" s="2">
        <v>10600000</v>
      </c>
      <c r="O523" t="s">
        <v>494</v>
      </c>
      <c r="P523" s="6" t="s">
        <v>36</v>
      </c>
      <c r="R523" t="s">
        <v>38</v>
      </c>
      <c r="S523" s="9">
        <v>5000</v>
      </c>
      <c r="T523" s="9">
        <v>2120</v>
      </c>
      <c r="U523" s="9">
        <v>10600000</v>
      </c>
      <c r="V523" s="6" t="s">
        <v>128</v>
      </c>
      <c r="W523" t="s">
        <v>129</v>
      </c>
      <c r="X523">
        <v>274110679</v>
      </c>
      <c r="Y523">
        <v>500801001</v>
      </c>
      <c r="Z523" s="3">
        <v>45666.526388888888</v>
      </c>
      <c r="AA523" s="6">
        <v>2024</v>
      </c>
      <c r="AB523" s="1">
        <v>45652</v>
      </c>
    </row>
    <row r="524" spans="1:28" x14ac:dyDescent="0.3">
      <c r="A524" t="s">
        <v>2192</v>
      </c>
      <c r="B524" s="6" t="s">
        <v>2223</v>
      </c>
      <c r="C524" s="6" t="s">
        <v>1104</v>
      </c>
      <c r="D524">
        <v>4345404435</v>
      </c>
      <c r="E524">
        <v>434501001</v>
      </c>
      <c r="F524" t="s">
        <v>149</v>
      </c>
      <c r="G524" t="s">
        <v>2193</v>
      </c>
      <c r="H524" s="1">
        <v>45632</v>
      </c>
      <c r="J524" s="8">
        <v>45637</v>
      </c>
      <c r="K524" s="1" t="s">
        <v>1479</v>
      </c>
      <c r="L524" t="s">
        <v>2193</v>
      </c>
      <c r="M524" t="s">
        <v>273</v>
      </c>
      <c r="N524" s="2">
        <v>4998000</v>
      </c>
      <c r="O524" t="s">
        <v>273</v>
      </c>
      <c r="P524" s="6" t="s">
        <v>36</v>
      </c>
      <c r="R524" t="s">
        <v>240</v>
      </c>
      <c r="S524" s="9">
        <v>5100</v>
      </c>
      <c r="T524" s="9">
        <v>980</v>
      </c>
      <c r="U524" s="9">
        <v>4998000</v>
      </c>
      <c r="V524" s="6" t="s">
        <v>58</v>
      </c>
      <c r="W524" t="s">
        <v>59</v>
      </c>
      <c r="X524">
        <v>5262222144</v>
      </c>
      <c r="Y524">
        <v>526201001</v>
      </c>
      <c r="Z524" s="3">
        <v>45654.665277777778</v>
      </c>
      <c r="AA524" s="6">
        <v>2024</v>
      </c>
      <c r="AB524" s="1">
        <v>45657</v>
      </c>
    </row>
    <row r="525" spans="1:28" x14ac:dyDescent="0.3">
      <c r="A525" t="s">
        <v>2192</v>
      </c>
      <c r="B525" s="6" t="s">
        <v>2223</v>
      </c>
      <c r="C525" s="6" t="s">
        <v>1104</v>
      </c>
      <c r="D525">
        <v>4345404435</v>
      </c>
      <c r="E525">
        <v>434501001</v>
      </c>
      <c r="F525" t="s">
        <v>149</v>
      </c>
      <c r="G525" t="s">
        <v>2193</v>
      </c>
      <c r="H525" s="1">
        <v>45632</v>
      </c>
      <c r="J525" s="8">
        <v>45637</v>
      </c>
      <c r="K525" s="1" t="s">
        <v>1479</v>
      </c>
      <c r="L525" t="s">
        <v>2193</v>
      </c>
      <c r="M525" t="s">
        <v>273</v>
      </c>
      <c r="N525" s="2">
        <v>4998000</v>
      </c>
      <c r="O525" t="s">
        <v>273</v>
      </c>
      <c r="P525" s="6" t="s">
        <v>36</v>
      </c>
      <c r="R525" t="s">
        <v>240</v>
      </c>
      <c r="S525" s="9">
        <v>5100</v>
      </c>
      <c r="T525" s="9">
        <v>980</v>
      </c>
      <c r="U525" s="9">
        <v>4998000</v>
      </c>
      <c r="V525" s="6" t="s">
        <v>58</v>
      </c>
      <c r="W525" t="s">
        <v>59</v>
      </c>
      <c r="X525">
        <v>5262222144</v>
      </c>
      <c r="Y525">
        <v>526201001</v>
      </c>
      <c r="Z525" s="3">
        <v>45653.663194444445</v>
      </c>
      <c r="AA525" s="6">
        <v>2024</v>
      </c>
      <c r="AB525" s="1">
        <v>45657</v>
      </c>
    </row>
    <row r="526" spans="1:28" x14ac:dyDescent="0.3">
      <c r="A526" t="s">
        <v>2192</v>
      </c>
      <c r="B526" s="6" t="s">
        <v>2223</v>
      </c>
      <c r="C526" s="6" t="s">
        <v>1104</v>
      </c>
      <c r="D526">
        <v>4345404435</v>
      </c>
      <c r="E526">
        <v>434501001</v>
      </c>
      <c r="F526" t="s">
        <v>149</v>
      </c>
      <c r="G526" t="s">
        <v>2193</v>
      </c>
      <c r="H526" s="1">
        <v>45632</v>
      </c>
      <c r="J526" s="8">
        <v>45637</v>
      </c>
      <c r="K526" s="1" t="s">
        <v>1479</v>
      </c>
      <c r="L526" t="s">
        <v>2193</v>
      </c>
      <c r="M526" t="s">
        <v>273</v>
      </c>
      <c r="N526" s="2">
        <v>4998000</v>
      </c>
      <c r="O526" t="s">
        <v>273</v>
      </c>
      <c r="P526" s="6" t="s">
        <v>36</v>
      </c>
      <c r="R526" t="s">
        <v>240</v>
      </c>
      <c r="S526" s="9">
        <v>5100</v>
      </c>
      <c r="T526" s="9">
        <v>980</v>
      </c>
      <c r="U526" s="9">
        <v>4998000</v>
      </c>
      <c r="V526" s="6" t="s">
        <v>58</v>
      </c>
      <c r="W526" t="s">
        <v>59</v>
      </c>
      <c r="X526">
        <v>5262222144</v>
      </c>
      <c r="Y526">
        <v>526201001</v>
      </c>
      <c r="Z526" s="3">
        <v>45653.663194444445</v>
      </c>
      <c r="AA526" s="6">
        <v>2024</v>
      </c>
      <c r="AB526" s="1">
        <v>45657</v>
      </c>
    </row>
    <row r="527" spans="1:28" x14ac:dyDescent="0.3">
      <c r="A527" t="s">
        <v>2224</v>
      </c>
      <c r="B527" s="6" t="s">
        <v>197</v>
      </c>
      <c r="C527" s="6" t="s">
        <v>198</v>
      </c>
      <c r="D527">
        <v>1001046786</v>
      </c>
      <c r="E527">
        <v>100101001</v>
      </c>
      <c r="F527" t="s">
        <v>94</v>
      </c>
      <c r="G527" t="s">
        <v>2225</v>
      </c>
      <c r="H527" s="1">
        <v>45632</v>
      </c>
      <c r="J527" s="8">
        <v>45637</v>
      </c>
      <c r="K527" s="1" t="s">
        <v>1479</v>
      </c>
      <c r="L527" t="s">
        <v>2225</v>
      </c>
      <c r="M527" t="s">
        <v>1166</v>
      </c>
      <c r="N527" s="2">
        <v>16662285</v>
      </c>
      <c r="O527" t="s">
        <v>440</v>
      </c>
      <c r="P527" s="6" t="s">
        <v>36</v>
      </c>
      <c r="R527" t="s">
        <v>240</v>
      </c>
      <c r="S527" s="9">
        <v>4905</v>
      </c>
      <c r="T527" s="9">
        <v>3397</v>
      </c>
      <c r="U527" s="9">
        <v>16662285</v>
      </c>
      <c r="V527" s="6" t="s">
        <v>39</v>
      </c>
      <c r="W527" t="s">
        <v>40</v>
      </c>
      <c r="X527">
        <v>7810687137</v>
      </c>
      <c r="Y527">
        <v>781401001</v>
      </c>
      <c r="Z527" s="3">
        <v>45653.490277777775</v>
      </c>
      <c r="AA527" s="6">
        <v>2024</v>
      </c>
      <c r="AB527" s="1">
        <v>45657</v>
      </c>
    </row>
    <row r="528" spans="1:28" x14ac:dyDescent="0.3">
      <c r="A528" t="s">
        <v>2226</v>
      </c>
      <c r="B528" s="6" t="s">
        <v>2227</v>
      </c>
      <c r="C528" s="6" t="s">
        <v>395</v>
      </c>
      <c r="D528">
        <v>7202070194</v>
      </c>
      <c r="E528">
        <v>720301001</v>
      </c>
      <c r="F528" t="s">
        <v>94</v>
      </c>
      <c r="G528" t="s">
        <v>2228</v>
      </c>
      <c r="H528" s="1">
        <v>45635</v>
      </c>
      <c r="I528" t="s">
        <v>2229</v>
      </c>
      <c r="J528" s="8">
        <v>45638</v>
      </c>
      <c r="K528" s="1" t="s">
        <v>1479</v>
      </c>
      <c r="L528" t="s">
        <v>2230</v>
      </c>
      <c r="M528" t="s">
        <v>2231</v>
      </c>
      <c r="N528" s="2">
        <v>3304800</v>
      </c>
      <c r="O528" t="s">
        <v>440</v>
      </c>
      <c r="P528" s="6" t="s">
        <v>36</v>
      </c>
      <c r="R528" t="s">
        <v>240</v>
      </c>
      <c r="S528" s="9">
        <v>5100</v>
      </c>
      <c r="T528" s="9">
        <v>648</v>
      </c>
      <c r="U528" s="9">
        <v>3304800</v>
      </c>
      <c r="V528" s="6" t="s">
        <v>111</v>
      </c>
      <c r="W528" t="s">
        <v>59</v>
      </c>
      <c r="X528">
        <v>5262258091</v>
      </c>
      <c r="Y528">
        <v>526201001</v>
      </c>
      <c r="Z528" s="3">
        <v>45654.529166666667</v>
      </c>
      <c r="AA528" s="6">
        <v>2024</v>
      </c>
      <c r="AB528" s="1">
        <v>45747</v>
      </c>
    </row>
    <row r="529" spans="1:28" x14ac:dyDescent="0.3">
      <c r="A529" t="s">
        <v>2232</v>
      </c>
      <c r="B529" s="6" t="s">
        <v>1908</v>
      </c>
      <c r="C529" s="6" t="s">
        <v>1473</v>
      </c>
      <c r="D529">
        <v>3123162110</v>
      </c>
      <c r="E529">
        <v>312301001</v>
      </c>
      <c r="F529" t="s">
        <v>94</v>
      </c>
      <c r="G529" t="s">
        <v>2233</v>
      </c>
      <c r="H529" s="1">
        <v>45635</v>
      </c>
      <c r="J529" s="8">
        <v>45638</v>
      </c>
      <c r="K529" s="1" t="s">
        <v>1479</v>
      </c>
      <c r="L529" t="s">
        <v>2234</v>
      </c>
      <c r="M529" t="s">
        <v>2235</v>
      </c>
      <c r="N529" s="2">
        <v>7056000</v>
      </c>
      <c r="O529" t="s">
        <v>2236</v>
      </c>
      <c r="P529" s="6" t="s">
        <v>36</v>
      </c>
      <c r="Q529" t="s">
        <v>1993</v>
      </c>
      <c r="R529" t="s">
        <v>48</v>
      </c>
      <c r="S529" s="9">
        <v>4900</v>
      </c>
      <c r="T529" s="9">
        <v>1440</v>
      </c>
      <c r="U529" s="9">
        <v>7056000</v>
      </c>
      <c r="V529" s="6" t="s">
        <v>2237</v>
      </c>
      <c r="W529" t="s">
        <v>2238</v>
      </c>
      <c r="X529">
        <v>3123321867</v>
      </c>
      <c r="Y529">
        <v>312301001</v>
      </c>
      <c r="Z529" s="3">
        <v>45654.373611111114</v>
      </c>
      <c r="AA529" s="6">
        <v>2024</v>
      </c>
      <c r="AB529" s="1">
        <v>45654</v>
      </c>
    </row>
    <row r="530" spans="1:28" x14ac:dyDescent="0.3">
      <c r="A530" t="s">
        <v>2239</v>
      </c>
      <c r="B530" s="6" t="s">
        <v>538</v>
      </c>
      <c r="C530" s="6" t="s">
        <v>539</v>
      </c>
      <c r="D530">
        <v>7808043833</v>
      </c>
      <c r="E530">
        <v>784101001</v>
      </c>
      <c r="F530" t="s">
        <v>44</v>
      </c>
      <c r="G530">
        <v>0</v>
      </c>
      <c r="J530" s="8">
        <v>45638</v>
      </c>
      <c r="K530" s="1" t="s">
        <v>1479</v>
      </c>
      <c r="L530" s="1" t="s">
        <v>2240</v>
      </c>
      <c r="M530" t="s">
        <v>2241</v>
      </c>
      <c r="N530" s="2">
        <v>184050668.94</v>
      </c>
      <c r="O530" t="s">
        <v>2242</v>
      </c>
      <c r="P530" s="6" t="s">
        <v>36</v>
      </c>
      <c r="R530" t="s">
        <v>66</v>
      </c>
      <c r="S530" s="9">
        <v>4499.9399999999996</v>
      </c>
      <c r="T530" s="9">
        <v>40900</v>
      </c>
      <c r="U530" s="9">
        <v>184047546</v>
      </c>
      <c r="V530" s="6" t="s">
        <v>39</v>
      </c>
      <c r="W530" t="s">
        <v>40</v>
      </c>
      <c r="X530">
        <v>7810687137</v>
      </c>
      <c r="Y530">
        <v>781401001</v>
      </c>
      <c r="Z530" s="3">
        <v>45654.629861111112</v>
      </c>
      <c r="AA530" s="6">
        <v>2024</v>
      </c>
      <c r="AB530" s="1">
        <v>45657</v>
      </c>
    </row>
    <row r="531" spans="1:28" x14ac:dyDescent="0.3">
      <c r="A531" t="s">
        <v>2243</v>
      </c>
      <c r="B531" s="6" t="s">
        <v>2244</v>
      </c>
      <c r="C531" s="6" t="s">
        <v>731</v>
      </c>
      <c r="D531">
        <v>5817000600</v>
      </c>
      <c r="E531">
        <v>581701001</v>
      </c>
      <c r="F531" t="s">
        <v>149</v>
      </c>
      <c r="G531" t="s">
        <v>2245</v>
      </c>
      <c r="H531" s="1">
        <v>45635</v>
      </c>
      <c r="J531" s="8">
        <v>45638</v>
      </c>
      <c r="K531" s="1" t="s">
        <v>1479</v>
      </c>
      <c r="L531" t="s">
        <v>2245</v>
      </c>
      <c r="M531" t="s">
        <v>273</v>
      </c>
      <c r="N531" s="2">
        <v>209100</v>
      </c>
      <c r="O531" t="s">
        <v>273</v>
      </c>
      <c r="P531" s="6" t="s">
        <v>36</v>
      </c>
      <c r="R531" t="s">
        <v>240</v>
      </c>
      <c r="S531" s="9">
        <v>5100</v>
      </c>
      <c r="T531" s="9">
        <v>41</v>
      </c>
      <c r="U531" s="9">
        <v>209100</v>
      </c>
      <c r="V531" s="6" t="s">
        <v>58</v>
      </c>
      <c r="W531" t="s">
        <v>59</v>
      </c>
      <c r="X531">
        <v>5262222144</v>
      </c>
      <c r="Y531">
        <v>526201001</v>
      </c>
      <c r="Z531" s="3">
        <v>45654.623611111114</v>
      </c>
      <c r="AA531" s="6">
        <v>2024</v>
      </c>
      <c r="AB531" s="1">
        <v>45657</v>
      </c>
    </row>
    <row r="532" spans="1:28" x14ac:dyDescent="0.3">
      <c r="A532" t="s">
        <v>2192</v>
      </c>
      <c r="B532" s="6" t="s">
        <v>2223</v>
      </c>
      <c r="C532" s="6" t="s">
        <v>1104</v>
      </c>
      <c r="D532">
        <v>4345404435</v>
      </c>
      <c r="E532">
        <v>434501001</v>
      </c>
      <c r="F532" t="s">
        <v>149</v>
      </c>
      <c r="G532" t="s">
        <v>2193</v>
      </c>
      <c r="H532" s="1">
        <v>45635</v>
      </c>
      <c r="J532" s="8">
        <v>45638</v>
      </c>
      <c r="K532" s="1" t="s">
        <v>1479</v>
      </c>
      <c r="L532" t="s">
        <v>2193</v>
      </c>
      <c r="M532" t="s">
        <v>273</v>
      </c>
      <c r="N532" s="2">
        <v>4998000</v>
      </c>
      <c r="O532" t="s">
        <v>273</v>
      </c>
      <c r="P532" s="6" t="s">
        <v>36</v>
      </c>
      <c r="R532" t="s">
        <v>240</v>
      </c>
      <c r="S532" s="9">
        <v>5100</v>
      </c>
      <c r="T532" s="9">
        <v>980</v>
      </c>
      <c r="U532" s="9">
        <v>4998000</v>
      </c>
      <c r="V532" s="6" t="s">
        <v>58</v>
      </c>
      <c r="W532" t="s">
        <v>59</v>
      </c>
      <c r="X532">
        <v>5262222144</v>
      </c>
      <c r="Y532">
        <v>526201001</v>
      </c>
      <c r="Z532" s="3">
        <v>45653.663888888892</v>
      </c>
      <c r="AA532" s="6">
        <v>2024</v>
      </c>
      <c r="AB532" s="1">
        <v>45657</v>
      </c>
    </row>
    <row r="533" spans="1:28" x14ac:dyDescent="0.3">
      <c r="A533" t="s">
        <v>2246</v>
      </c>
      <c r="B533" s="6" t="s">
        <v>567</v>
      </c>
      <c r="C533" s="6" t="s">
        <v>568</v>
      </c>
      <c r="D533">
        <v>4909085785</v>
      </c>
      <c r="E533">
        <v>490901001</v>
      </c>
      <c r="F533" t="s">
        <v>149</v>
      </c>
      <c r="G533" t="s">
        <v>2247</v>
      </c>
      <c r="H533" s="1">
        <v>45635</v>
      </c>
      <c r="J533" s="8">
        <v>45638</v>
      </c>
      <c r="K533" s="1" t="s">
        <v>1479</v>
      </c>
      <c r="L533" t="s">
        <v>2247</v>
      </c>
      <c r="M533" t="s">
        <v>273</v>
      </c>
      <c r="N533" s="2">
        <v>889200</v>
      </c>
      <c r="O533" t="s">
        <v>273</v>
      </c>
      <c r="P533" s="6" t="s">
        <v>36</v>
      </c>
      <c r="R533" t="s">
        <v>240</v>
      </c>
      <c r="S533" s="9">
        <v>5200</v>
      </c>
      <c r="T533" s="9">
        <v>171</v>
      </c>
      <c r="U533" s="9">
        <v>889200</v>
      </c>
      <c r="V533" s="6" t="s">
        <v>39</v>
      </c>
      <c r="W533" t="s">
        <v>40</v>
      </c>
      <c r="X533">
        <v>7810687137</v>
      </c>
      <c r="Y533">
        <v>781401001</v>
      </c>
      <c r="Z533" s="3">
        <v>45666.261805555558</v>
      </c>
      <c r="AA533" s="6">
        <v>2024</v>
      </c>
      <c r="AB533" s="1">
        <v>45657</v>
      </c>
    </row>
    <row r="534" spans="1:28" x14ac:dyDescent="0.3">
      <c r="A534" t="s">
        <v>2248</v>
      </c>
      <c r="B534" s="6" t="s">
        <v>530</v>
      </c>
      <c r="C534" s="6" t="s">
        <v>453</v>
      </c>
      <c r="D534">
        <v>2221007858</v>
      </c>
      <c r="E534">
        <v>222101001</v>
      </c>
      <c r="F534" t="s">
        <v>44</v>
      </c>
      <c r="G534">
        <v>0</v>
      </c>
      <c r="J534" s="8">
        <v>45638</v>
      </c>
      <c r="K534" s="1" t="s">
        <v>1479</v>
      </c>
      <c r="L534">
        <v>41</v>
      </c>
      <c r="M534" t="s">
        <v>534</v>
      </c>
      <c r="N534" s="2">
        <v>72607600</v>
      </c>
      <c r="O534" t="s">
        <v>2249</v>
      </c>
      <c r="P534" s="6" t="s">
        <v>36</v>
      </c>
      <c r="R534" t="s">
        <v>240</v>
      </c>
      <c r="S534" s="9">
        <v>5200</v>
      </c>
      <c r="T534" s="9">
        <v>13963</v>
      </c>
      <c r="U534" s="9">
        <v>72607600</v>
      </c>
      <c r="V534" s="6" t="s">
        <v>2250</v>
      </c>
      <c r="W534" t="s">
        <v>59</v>
      </c>
      <c r="X534">
        <v>2221019606</v>
      </c>
      <c r="Y534">
        <v>222101001</v>
      </c>
      <c r="Z534" s="3">
        <v>45673.174305555556</v>
      </c>
      <c r="AA534" s="6">
        <v>2024</v>
      </c>
      <c r="AB534" s="1">
        <v>45650</v>
      </c>
    </row>
    <row r="535" spans="1:28" x14ac:dyDescent="0.3">
      <c r="A535" t="s">
        <v>2251</v>
      </c>
      <c r="B535" s="6" t="s">
        <v>1196</v>
      </c>
      <c r="C535" s="6" t="s">
        <v>1197</v>
      </c>
      <c r="D535">
        <v>411008542</v>
      </c>
      <c r="E535">
        <v>41101001</v>
      </c>
      <c r="F535" t="s">
        <v>149</v>
      </c>
      <c r="G535" t="s">
        <v>2252</v>
      </c>
      <c r="H535" s="1">
        <v>45636</v>
      </c>
      <c r="I535" t="s">
        <v>2253</v>
      </c>
      <c r="J535" s="8">
        <v>45639</v>
      </c>
      <c r="K535" s="1" t="s">
        <v>1479</v>
      </c>
      <c r="L535" t="s">
        <v>2254</v>
      </c>
      <c r="M535" t="s">
        <v>2255</v>
      </c>
      <c r="N535" s="2">
        <v>2415160</v>
      </c>
      <c r="O535" t="s">
        <v>273</v>
      </c>
      <c r="P535" s="6" t="s">
        <v>36</v>
      </c>
      <c r="Q535" t="s">
        <v>37</v>
      </c>
      <c r="R535" t="s">
        <v>240</v>
      </c>
      <c r="S535" s="9">
        <v>4830.32</v>
      </c>
      <c r="T535" s="9">
        <v>500</v>
      </c>
      <c r="U535" s="9">
        <v>2415160</v>
      </c>
      <c r="V535" s="6" t="s">
        <v>39</v>
      </c>
      <c r="W535" t="s">
        <v>40</v>
      </c>
      <c r="X535">
        <v>7810687137</v>
      </c>
      <c r="Y535">
        <v>781401001</v>
      </c>
      <c r="Z535" s="3">
        <v>45654.256249999999</v>
      </c>
      <c r="AA535" s="6">
        <v>2024</v>
      </c>
      <c r="AB535" s="1">
        <v>45708</v>
      </c>
    </row>
    <row r="536" spans="1:28" x14ac:dyDescent="0.3">
      <c r="A536" t="s">
        <v>2256</v>
      </c>
      <c r="B536" s="6" t="s">
        <v>435</v>
      </c>
      <c r="C536" s="6" t="s">
        <v>436</v>
      </c>
      <c r="D536">
        <v>7604044726</v>
      </c>
      <c r="E536">
        <v>760401001</v>
      </c>
      <c r="F536" t="s">
        <v>94</v>
      </c>
      <c r="G536" t="s">
        <v>2257</v>
      </c>
      <c r="H536" s="1">
        <v>45636</v>
      </c>
      <c r="I536" t="s">
        <v>2258</v>
      </c>
      <c r="J536" s="8">
        <v>45639</v>
      </c>
      <c r="K536" s="1" t="s">
        <v>1479</v>
      </c>
      <c r="L536" t="s">
        <v>2259</v>
      </c>
      <c r="M536" t="s">
        <v>2260</v>
      </c>
      <c r="N536" s="2">
        <v>19725800</v>
      </c>
      <c r="O536" t="s">
        <v>377</v>
      </c>
      <c r="P536" s="6" t="s">
        <v>36</v>
      </c>
      <c r="Q536" t="s">
        <v>1993</v>
      </c>
      <c r="R536" t="s">
        <v>38</v>
      </c>
      <c r="S536" s="9">
        <v>5800</v>
      </c>
      <c r="T536" s="9">
        <v>3401</v>
      </c>
      <c r="U536" s="9">
        <v>19725800</v>
      </c>
      <c r="V536" s="6" t="s">
        <v>441</v>
      </c>
      <c r="W536" t="s">
        <v>40</v>
      </c>
      <c r="X536">
        <v>7725285067</v>
      </c>
      <c r="Y536">
        <v>772501001</v>
      </c>
      <c r="Z536" s="3">
        <v>45667.395833333336</v>
      </c>
      <c r="AA536" s="6">
        <v>2024</v>
      </c>
      <c r="AB536" s="1">
        <v>45703</v>
      </c>
    </row>
    <row r="537" spans="1:28" x14ac:dyDescent="0.3">
      <c r="A537" t="s">
        <v>2261</v>
      </c>
      <c r="B537" s="6" t="s">
        <v>842</v>
      </c>
      <c r="C537" s="6" t="s">
        <v>843</v>
      </c>
      <c r="D537">
        <v>2128015420</v>
      </c>
      <c r="E537">
        <v>213001001</v>
      </c>
      <c r="F537" t="s">
        <v>94</v>
      </c>
      <c r="G537" t="s">
        <v>2262</v>
      </c>
      <c r="H537" s="1">
        <v>45636</v>
      </c>
      <c r="J537" s="8">
        <v>45639</v>
      </c>
      <c r="K537" s="1" t="s">
        <v>1479</v>
      </c>
      <c r="L537" t="s">
        <v>2263</v>
      </c>
      <c r="M537" t="s">
        <v>2264</v>
      </c>
      <c r="N537" s="2">
        <v>7355850</v>
      </c>
      <c r="O537" t="s">
        <v>2265</v>
      </c>
      <c r="P537" s="6" t="s">
        <v>36</v>
      </c>
      <c r="Q537" t="s">
        <v>1993</v>
      </c>
      <c r="R537" t="s">
        <v>66</v>
      </c>
      <c r="S537" s="9">
        <v>4350</v>
      </c>
      <c r="T537" s="9">
        <v>1691</v>
      </c>
      <c r="U537" s="9">
        <v>7355850</v>
      </c>
      <c r="V537" s="6" t="s">
        <v>58</v>
      </c>
      <c r="W537" t="s">
        <v>59</v>
      </c>
      <c r="X537">
        <v>5262222144</v>
      </c>
      <c r="Y537">
        <v>526201001</v>
      </c>
      <c r="Z537" s="3">
        <v>45653.70416666667</v>
      </c>
      <c r="AA537" s="6">
        <v>2024</v>
      </c>
      <c r="AB537" s="1">
        <v>45649</v>
      </c>
    </row>
    <row r="538" spans="1:28" x14ac:dyDescent="0.3">
      <c r="A538" t="s">
        <v>2266</v>
      </c>
      <c r="B538" s="6" t="s">
        <v>917</v>
      </c>
      <c r="C538" s="6" t="s">
        <v>918</v>
      </c>
      <c r="D538">
        <v>1325126625</v>
      </c>
      <c r="E538">
        <v>132601001</v>
      </c>
      <c r="F538" t="s">
        <v>94</v>
      </c>
      <c r="G538" t="s">
        <v>2267</v>
      </c>
      <c r="H538" s="1">
        <v>45636</v>
      </c>
      <c r="J538" s="8">
        <v>45639</v>
      </c>
      <c r="K538" s="1" t="s">
        <v>1479</v>
      </c>
      <c r="L538" t="s">
        <v>2268</v>
      </c>
      <c r="M538" t="s">
        <v>2269</v>
      </c>
      <c r="N538" s="2">
        <v>8639400</v>
      </c>
      <c r="O538" t="s">
        <v>440</v>
      </c>
      <c r="P538" s="6" t="s">
        <v>36</v>
      </c>
      <c r="Q538" t="s">
        <v>37</v>
      </c>
      <c r="R538" t="s">
        <v>240</v>
      </c>
      <c r="S538" s="9">
        <v>5100</v>
      </c>
      <c r="T538" s="9">
        <v>1694</v>
      </c>
      <c r="U538" s="9">
        <v>8639400</v>
      </c>
      <c r="V538" s="6" t="s">
        <v>58</v>
      </c>
      <c r="W538" t="s">
        <v>59</v>
      </c>
      <c r="X538">
        <v>5262222144</v>
      </c>
      <c r="Y538">
        <v>526201001</v>
      </c>
      <c r="Z538" s="3">
        <v>45674.370138888888</v>
      </c>
      <c r="AA538" s="6">
        <v>2024</v>
      </c>
      <c r="AB538" s="1">
        <v>45654</v>
      </c>
    </row>
    <row r="539" spans="1:28" x14ac:dyDescent="0.3">
      <c r="A539" t="s">
        <v>2200</v>
      </c>
      <c r="B539" s="6" t="s">
        <v>2223</v>
      </c>
      <c r="C539" s="6" t="s">
        <v>1104</v>
      </c>
      <c r="D539">
        <v>4345404435</v>
      </c>
      <c r="E539">
        <v>434501001</v>
      </c>
      <c r="F539" t="s">
        <v>149</v>
      </c>
      <c r="G539" t="s">
        <v>2201</v>
      </c>
      <c r="H539" s="1">
        <v>45636</v>
      </c>
      <c r="J539" s="8">
        <v>45639</v>
      </c>
      <c r="K539" s="1" t="s">
        <v>1479</v>
      </c>
      <c r="L539" t="s">
        <v>2201</v>
      </c>
      <c r="M539" t="s">
        <v>273</v>
      </c>
      <c r="N539" s="2">
        <v>3570000</v>
      </c>
      <c r="O539" t="s">
        <v>273</v>
      </c>
      <c r="P539" s="6" t="s">
        <v>36</v>
      </c>
      <c r="R539" t="s">
        <v>240</v>
      </c>
      <c r="S539" s="9">
        <v>5100</v>
      </c>
      <c r="T539" s="9">
        <v>700</v>
      </c>
      <c r="U539" s="9">
        <v>3570000</v>
      </c>
      <c r="V539" s="6" t="s">
        <v>58</v>
      </c>
      <c r="W539" t="s">
        <v>59</v>
      </c>
      <c r="X539">
        <v>5262222144</v>
      </c>
      <c r="Y539">
        <v>526201001</v>
      </c>
      <c r="Z539" s="3">
        <v>45666.646527777775</v>
      </c>
      <c r="AA539" s="6">
        <v>2024</v>
      </c>
      <c r="AB539" s="1">
        <v>45657</v>
      </c>
    </row>
    <row r="540" spans="1:28" x14ac:dyDescent="0.3">
      <c r="A540" t="s">
        <v>2270</v>
      </c>
      <c r="B540" s="6" t="s">
        <v>2223</v>
      </c>
      <c r="C540" s="6" t="s">
        <v>1104</v>
      </c>
      <c r="D540">
        <v>4345404435</v>
      </c>
      <c r="E540">
        <v>434501001</v>
      </c>
      <c r="F540" t="s">
        <v>149</v>
      </c>
      <c r="G540" t="s">
        <v>2271</v>
      </c>
      <c r="H540" s="1">
        <v>45636</v>
      </c>
      <c r="J540" s="8">
        <v>45639</v>
      </c>
      <c r="K540" s="1" t="s">
        <v>1479</v>
      </c>
      <c r="L540" t="s">
        <v>2271</v>
      </c>
      <c r="M540" t="s">
        <v>273</v>
      </c>
      <c r="N540" s="2">
        <v>247200</v>
      </c>
      <c r="O540" t="s">
        <v>273</v>
      </c>
      <c r="P540" s="6" t="s">
        <v>36</v>
      </c>
      <c r="R540" t="s">
        <v>240</v>
      </c>
      <c r="S540" s="9">
        <v>5150</v>
      </c>
      <c r="T540" s="9">
        <v>48</v>
      </c>
      <c r="U540" s="9">
        <v>247200</v>
      </c>
      <c r="V540" s="6" t="s">
        <v>58</v>
      </c>
      <c r="W540" t="s">
        <v>59</v>
      </c>
      <c r="X540">
        <v>5262222144</v>
      </c>
      <c r="Y540">
        <v>526201001</v>
      </c>
      <c r="Z540" s="3">
        <v>45653.664583333331</v>
      </c>
      <c r="AA540" s="6">
        <v>2024</v>
      </c>
      <c r="AB540" s="1">
        <v>45657</v>
      </c>
    </row>
    <row r="541" spans="1:28" x14ac:dyDescent="0.3">
      <c r="A541" t="s">
        <v>2272</v>
      </c>
      <c r="B541" s="6" t="s">
        <v>276</v>
      </c>
      <c r="C541" s="6" t="s">
        <v>277</v>
      </c>
      <c r="D541">
        <v>9102012869</v>
      </c>
      <c r="E541">
        <v>910201001</v>
      </c>
      <c r="F541" t="s">
        <v>94</v>
      </c>
      <c r="G541" t="s">
        <v>2273</v>
      </c>
      <c r="H541" s="1">
        <v>45636</v>
      </c>
      <c r="I541" t="s">
        <v>2274</v>
      </c>
      <c r="J541" s="8">
        <v>45639</v>
      </c>
      <c r="K541" s="1" t="s">
        <v>1479</v>
      </c>
      <c r="L541" t="s">
        <v>2275</v>
      </c>
      <c r="M541" t="s">
        <v>2276</v>
      </c>
      <c r="N541" s="2">
        <v>5798000</v>
      </c>
      <c r="O541" t="s">
        <v>377</v>
      </c>
      <c r="P541" s="6" t="s">
        <v>2277</v>
      </c>
      <c r="R541" t="s">
        <v>38</v>
      </c>
      <c r="S541" s="9">
        <v>5200</v>
      </c>
      <c r="T541" s="9">
        <v>1115</v>
      </c>
      <c r="U541" s="9">
        <v>5798000</v>
      </c>
      <c r="V541" s="6" t="s">
        <v>2278</v>
      </c>
      <c r="W541" t="s">
        <v>2279</v>
      </c>
      <c r="X541">
        <v>5027080676</v>
      </c>
      <c r="Y541">
        <v>502701001</v>
      </c>
      <c r="Z541" s="3">
        <v>45655.549305555556</v>
      </c>
      <c r="AA541" s="6">
        <v>2024</v>
      </c>
      <c r="AB541" s="1">
        <v>45656</v>
      </c>
    </row>
    <row r="542" spans="1:28" x14ac:dyDescent="0.3">
      <c r="A542" t="s">
        <v>2280</v>
      </c>
      <c r="B542" s="6" t="s">
        <v>567</v>
      </c>
      <c r="C542" s="6" t="s">
        <v>568</v>
      </c>
      <c r="D542">
        <v>4909085785</v>
      </c>
      <c r="E542">
        <v>490901001</v>
      </c>
      <c r="F542" t="s">
        <v>149</v>
      </c>
      <c r="G542" t="s">
        <v>2281</v>
      </c>
      <c r="H542" s="1">
        <v>45636</v>
      </c>
      <c r="J542" s="8">
        <v>45639</v>
      </c>
      <c r="K542" s="1" t="s">
        <v>1479</v>
      </c>
      <c r="L542" t="s">
        <v>2281</v>
      </c>
      <c r="M542" t="s">
        <v>273</v>
      </c>
      <c r="N542" s="2">
        <v>1596400</v>
      </c>
      <c r="O542" t="s">
        <v>273</v>
      </c>
      <c r="P542" s="6" t="s">
        <v>36</v>
      </c>
      <c r="R542" t="s">
        <v>240</v>
      </c>
      <c r="S542" s="9">
        <v>5200</v>
      </c>
      <c r="T542" s="9">
        <v>307</v>
      </c>
      <c r="U542" s="9">
        <v>1596400</v>
      </c>
      <c r="V542" s="6" t="s">
        <v>39</v>
      </c>
      <c r="W542" t="s">
        <v>40</v>
      </c>
      <c r="X542">
        <v>7810687137</v>
      </c>
      <c r="Y542">
        <v>781401001</v>
      </c>
      <c r="Z542" s="3">
        <v>45666.263194444444</v>
      </c>
      <c r="AA542" s="6">
        <v>2024</v>
      </c>
      <c r="AB542" s="1">
        <v>45657</v>
      </c>
    </row>
    <row r="543" spans="1:28" x14ac:dyDescent="0.3">
      <c r="A543" t="s">
        <v>2282</v>
      </c>
      <c r="B543" s="6" t="s">
        <v>2283</v>
      </c>
      <c r="C543" s="6" t="s">
        <v>69</v>
      </c>
      <c r="D543">
        <v>8903009263</v>
      </c>
      <c r="E543">
        <v>890301001</v>
      </c>
      <c r="F543" t="s">
        <v>149</v>
      </c>
      <c r="G543" t="s">
        <v>2284</v>
      </c>
      <c r="H543" s="1">
        <v>45637</v>
      </c>
      <c r="I543" t="s">
        <v>2285</v>
      </c>
      <c r="J543" s="8">
        <v>45640</v>
      </c>
      <c r="K543" s="1" t="s">
        <v>1479</v>
      </c>
      <c r="L543" t="s">
        <v>2286</v>
      </c>
      <c r="M543" t="s">
        <v>273</v>
      </c>
      <c r="N543" s="2">
        <v>588000</v>
      </c>
      <c r="O543" t="s">
        <v>273</v>
      </c>
      <c r="P543" s="6" t="s">
        <v>36</v>
      </c>
      <c r="R543" t="s">
        <v>240</v>
      </c>
      <c r="S543" s="9">
        <v>4900</v>
      </c>
      <c r="T543" s="9">
        <v>120</v>
      </c>
      <c r="U543" s="9">
        <v>588000</v>
      </c>
      <c r="V543" s="6" t="s">
        <v>58</v>
      </c>
      <c r="W543" t="s">
        <v>59</v>
      </c>
      <c r="X543">
        <v>5262222144</v>
      </c>
      <c r="Y543">
        <v>526201001</v>
      </c>
      <c r="Z543" s="3">
        <v>45651.543749999997</v>
      </c>
      <c r="AA543" s="6">
        <v>2024</v>
      </c>
      <c r="AB543" s="1">
        <v>45686</v>
      </c>
    </row>
    <row r="544" spans="1:28" x14ac:dyDescent="0.3">
      <c r="A544" t="s">
        <v>2287</v>
      </c>
      <c r="B544" s="6" t="s">
        <v>435</v>
      </c>
      <c r="C544" s="6" t="s">
        <v>436</v>
      </c>
      <c r="D544">
        <v>7604044726</v>
      </c>
      <c r="E544">
        <v>760401001</v>
      </c>
      <c r="F544" t="s">
        <v>94</v>
      </c>
      <c r="G544" t="s">
        <v>2288</v>
      </c>
      <c r="H544" s="1">
        <v>45636</v>
      </c>
      <c r="I544" t="s">
        <v>2289</v>
      </c>
      <c r="J544" s="8">
        <v>45642</v>
      </c>
      <c r="K544" s="1" t="s">
        <v>1479</v>
      </c>
      <c r="L544" t="s">
        <v>2290</v>
      </c>
      <c r="M544" t="s">
        <v>2291</v>
      </c>
      <c r="N544" s="2">
        <v>19942650</v>
      </c>
      <c r="O544" t="s">
        <v>377</v>
      </c>
      <c r="P544" s="6" t="s">
        <v>36</v>
      </c>
      <c r="Q544" t="s">
        <v>37</v>
      </c>
      <c r="R544" t="s">
        <v>38</v>
      </c>
      <c r="S544" s="9">
        <v>5850</v>
      </c>
      <c r="T544" s="9">
        <v>1719</v>
      </c>
      <c r="U544" s="9">
        <v>10056150</v>
      </c>
      <c r="V544" s="6" t="s">
        <v>39</v>
      </c>
      <c r="W544" t="s">
        <v>40</v>
      </c>
      <c r="X544">
        <v>7810687137</v>
      </c>
      <c r="Y544">
        <v>781401001</v>
      </c>
      <c r="Z544" s="3">
        <v>45667.395138888889</v>
      </c>
      <c r="AA544" s="6">
        <v>2024</v>
      </c>
      <c r="AB544" s="1">
        <v>45703</v>
      </c>
    </row>
    <row r="545" spans="1:28" x14ac:dyDescent="0.3">
      <c r="A545" t="s">
        <v>2287</v>
      </c>
      <c r="B545" s="6" t="s">
        <v>435</v>
      </c>
      <c r="C545" s="6" t="s">
        <v>436</v>
      </c>
      <c r="D545">
        <v>7604044726</v>
      </c>
      <c r="E545">
        <v>760401001</v>
      </c>
      <c r="F545" t="s">
        <v>94</v>
      </c>
      <c r="G545" t="s">
        <v>2288</v>
      </c>
      <c r="H545" s="1">
        <v>45636</v>
      </c>
      <c r="I545" t="s">
        <v>2289</v>
      </c>
      <c r="J545" s="8">
        <v>45642</v>
      </c>
      <c r="K545" s="1" t="s">
        <v>1479</v>
      </c>
      <c r="L545" t="s">
        <v>2290</v>
      </c>
      <c r="M545" t="s">
        <v>2291</v>
      </c>
      <c r="N545" s="2">
        <v>19942650</v>
      </c>
      <c r="O545" t="s">
        <v>377</v>
      </c>
      <c r="P545" s="6" t="s">
        <v>36</v>
      </c>
      <c r="Q545" t="s">
        <v>37</v>
      </c>
      <c r="R545" t="s">
        <v>38</v>
      </c>
      <c r="S545" s="9">
        <v>5850</v>
      </c>
      <c r="T545" s="9">
        <v>1690</v>
      </c>
      <c r="U545" s="9">
        <v>9886500</v>
      </c>
      <c r="V545" s="6" t="s">
        <v>39</v>
      </c>
      <c r="W545" t="s">
        <v>40</v>
      </c>
      <c r="X545">
        <v>7810687137</v>
      </c>
      <c r="Y545">
        <v>781401001</v>
      </c>
      <c r="Z545" s="3">
        <v>45667.395138888889</v>
      </c>
      <c r="AA545" s="6">
        <v>2024</v>
      </c>
      <c r="AB545" s="1">
        <v>45703</v>
      </c>
    </row>
    <row r="546" spans="1:28" x14ac:dyDescent="0.3">
      <c r="A546" t="s">
        <v>2292</v>
      </c>
      <c r="B546" s="6" t="s">
        <v>1029</v>
      </c>
      <c r="C546" s="6" t="s">
        <v>1030</v>
      </c>
      <c r="D546">
        <v>7536149975</v>
      </c>
      <c r="E546">
        <v>753601001</v>
      </c>
      <c r="F546" t="s">
        <v>94</v>
      </c>
      <c r="G546" t="s">
        <v>2293</v>
      </c>
      <c r="H546" s="1">
        <v>45637</v>
      </c>
      <c r="J546" s="8">
        <v>45642</v>
      </c>
      <c r="K546" s="1" t="s">
        <v>1479</v>
      </c>
      <c r="L546" t="s">
        <v>2294</v>
      </c>
      <c r="M546" t="s">
        <v>2295</v>
      </c>
      <c r="N546" s="2">
        <v>6406400</v>
      </c>
      <c r="O546" t="s">
        <v>2296</v>
      </c>
      <c r="P546" s="6" t="s">
        <v>1814</v>
      </c>
      <c r="R546" t="s">
        <v>38</v>
      </c>
      <c r="S546" s="9">
        <v>4400</v>
      </c>
      <c r="T546" s="9">
        <v>728</v>
      </c>
      <c r="U546" s="9">
        <v>3203200</v>
      </c>
      <c r="V546" s="6" t="s">
        <v>90</v>
      </c>
      <c r="W546" t="s">
        <v>59</v>
      </c>
      <c r="X546">
        <v>5259153331</v>
      </c>
      <c r="Y546">
        <v>525901001</v>
      </c>
      <c r="Z546" s="3">
        <v>45679.376388888886</v>
      </c>
      <c r="AA546" s="6">
        <v>2024</v>
      </c>
      <c r="AB546" s="1">
        <v>45657</v>
      </c>
    </row>
    <row r="547" spans="1:28" x14ac:dyDescent="0.3">
      <c r="A547" t="s">
        <v>2292</v>
      </c>
      <c r="B547" s="6" t="s">
        <v>1029</v>
      </c>
      <c r="C547" s="6" t="s">
        <v>1030</v>
      </c>
      <c r="D547">
        <v>7536149975</v>
      </c>
      <c r="E547">
        <v>753601001</v>
      </c>
      <c r="F547" t="s">
        <v>94</v>
      </c>
      <c r="G547" t="s">
        <v>2293</v>
      </c>
      <c r="H547" s="1">
        <v>45637</v>
      </c>
      <c r="J547" s="8">
        <v>45642</v>
      </c>
      <c r="K547" s="1" t="s">
        <v>1479</v>
      </c>
      <c r="L547" t="s">
        <v>2294</v>
      </c>
      <c r="M547" t="s">
        <v>2295</v>
      </c>
      <c r="N547" s="2">
        <v>6406400</v>
      </c>
      <c r="O547" t="s">
        <v>494</v>
      </c>
      <c r="P547" s="6" t="s">
        <v>36</v>
      </c>
      <c r="R547" t="s">
        <v>38</v>
      </c>
      <c r="S547" s="9">
        <v>4400</v>
      </c>
      <c r="T547" s="9">
        <v>728</v>
      </c>
      <c r="U547" s="9">
        <v>3203200</v>
      </c>
      <c r="V547" s="6" t="s">
        <v>90</v>
      </c>
      <c r="W547" t="s">
        <v>59</v>
      </c>
      <c r="X547">
        <v>5259153331</v>
      </c>
      <c r="Y547">
        <v>525901001</v>
      </c>
      <c r="Z547" s="3">
        <v>45679.376388888886</v>
      </c>
      <c r="AA547" s="6">
        <v>2024</v>
      </c>
      <c r="AB547" s="1">
        <v>45657</v>
      </c>
    </row>
    <row r="548" spans="1:28" x14ac:dyDescent="0.3">
      <c r="A548" t="s">
        <v>2297</v>
      </c>
      <c r="B548" s="6" t="s">
        <v>501</v>
      </c>
      <c r="C548" s="6" t="s">
        <v>502</v>
      </c>
      <c r="D548">
        <v>6318197367</v>
      </c>
      <c r="E548">
        <v>631801001</v>
      </c>
      <c r="F548" t="s">
        <v>52</v>
      </c>
      <c r="G548" t="s">
        <v>2298</v>
      </c>
      <c r="H548" s="1">
        <v>45629</v>
      </c>
      <c r="I548" t="s">
        <v>2299</v>
      </c>
      <c r="J548" s="8">
        <v>45642</v>
      </c>
      <c r="K548" s="1" t="s">
        <v>1479</v>
      </c>
      <c r="L548" t="s">
        <v>2300</v>
      </c>
      <c r="M548" t="s">
        <v>1143</v>
      </c>
      <c r="N548" s="2">
        <v>457600</v>
      </c>
      <c r="O548" t="s">
        <v>2301</v>
      </c>
      <c r="P548" s="6" t="s">
        <v>36</v>
      </c>
      <c r="R548" t="s">
        <v>240</v>
      </c>
      <c r="S548" s="9">
        <v>5200</v>
      </c>
      <c r="T548" s="9">
        <v>88</v>
      </c>
      <c r="U548" s="9">
        <v>457600</v>
      </c>
      <c r="V548" s="6" t="s">
        <v>507</v>
      </c>
      <c r="W548" t="s">
        <v>59</v>
      </c>
      <c r="X548">
        <v>6950229110</v>
      </c>
      <c r="Y548">
        <v>695001001</v>
      </c>
      <c r="Z548" s="3">
        <v>45650.29583333333</v>
      </c>
      <c r="AA548" s="6">
        <v>2024</v>
      </c>
      <c r="AB548" s="1">
        <v>45657</v>
      </c>
    </row>
    <row r="549" spans="1:28" x14ac:dyDescent="0.3">
      <c r="A549" t="s">
        <v>2302</v>
      </c>
      <c r="B549" s="6" t="s">
        <v>501</v>
      </c>
      <c r="C549" s="6" t="s">
        <v>502</v>
      </c>
      <c r="D549">
        <v>6318197367</v>
      </c>
      <c r="E549">
        <v>631801001</v>
      </c>
      <c r="F549" t="s">
        <v>52</v>
      </c>
      <c r="G549" t="s">
        <v>2303</v>
      </c>
      <c r="H549" s="1">
        <v>45629</v>
      </c>
      <c r="I549" t="s">
        <v>2299</v>
      </c>
      <c r="J549" s="8">
        <v>45642</v>
      </c>
      <c r="K549" s="1" t="s">
        <v>1479</v>
      </c>
      <c r="L549" t="s">
        <v>2304</v>
      </c>
      <c r="M549" t="s">
        <v>1143</v>
      </c>
      <c r="N549" s="2">
        <v>10998000</v>
      </c>
      <c r="O549" t="s">
        <v>1366</v>
      </c>
      <c r="P549" s="6" t="s">
        <v>36</v>
      </c>
      <c r="R549" t="s">
        <v>240</v>
      </c>
      <c r="S549" s="9">
        <v>5200</v>
      </c>
      <c r="T549" s="9">
        <v>2115</v>
      </c>
      <c r="U549" s="9">
        <v>10998000</v>
      </c>
      <c r="V549" s="6" t="s">
        <v>507</v>
      </c>
      <c r="W549" t="s">
        <v>59</v>
      </c>
      <c r="X549">
        <v>6950229110</v>
      </c>
      <c r="Y549">
        <v>695001001</v>
      </c>
      <c r="Z549" s="3">
        <v>45652.365972222222</v>
      </c>
      <c r="AA549" s="6">
        <v>2024</v>
      </c>
      <c r="AB549" s="1">
        <v>45657</v>
      </c>
    </row>
    <row r="550" spans="1:28" x14ac:dyDescent="0.3">
      <c r="A550" t="s">
        <v>2305</v>
      </c>
      <c r="B550" s="6" t="s">
        <v>501</v>
      </c>
      <c r="C550" s="6" t="s">
        <v>502</v>
      </c>
      <c r="D550">
        <v>6318197367</v>
      </c>
      <c r="E550">
        <v>631801001</v>
      </c>
      <c r="F550" t="s">
        <v>52</v>
      </c>
      <c r="G550" t="s">
        <v>2306</v>
      </c>
      <c r="H550" s="1">
        <v>45629</v>
      </c>
      <c r="I550" t="s">
        <v>2307</v>
      </c>
      <c r="J550" s="8">
        <v>45642</v>
      </c>
      <c r="K550" s="1" t="s">
        <v>1479</v>
      </c>
      <c r="L550" t="s">
        <v>2308</v>
      </c>
      <c r="M550" t="s">
        <v>2309</v>
      </c>
      <c r="N550" s="2">
        <v>43472000</v>
      </c>
      <c r="O550" t="s">
        <v>2310</v>
      </c>
      <c r="P550" s="6" t="s">
        <v>36</v>
      </c>
      <c r="R550" t="s">
        <v>240</v>
      </c>
      <c r="S550" s="9">
        <v>5200</v>
      </c>
      <c r="T550" s="9">
        <v>8360</v>
      </c>
      <c r="U550" s="9">
        <v>43472000</v>
      </c>
      <c r="V550" s="6" t="s">
        <v>507</v>
      </c>
      <c r="W550" t="s">
        <v>59</v>
      </c>
      <c r="X550">
        <v>6950229110</v>
      </c>
      <c r="Y550">
        <v>695001001</v>
      </c>
      <c r="Z550" s="3">
        <v>45652.455555555556</v>
      </c>
      <c r="AA550" s="6">
        <v>2024</v>
      </c>
      <c r="AB550" s="1">
        <v>46022</v>
      </c>
    </row>
    <row r="551" spans="1:28" x14ac:dyDescent="0.3">
      <c r="A551" t="s">
        <v>1755</v>
      </c>
      <c r="B551" s="6" t="s">
        <v>121</v>
      </c>
      <c r="C551" s="6" t="s">
        <v>122</v>
      </c>
      <c r="D551">
        <v>5402155123</v>
      </c>
      <c r="E551">
        <v>540201001</v>
      </c>
      <c r="F551" t="s">
        <v>94</v>
      </c>
      <c r="G551" t="s">
        <v>1756</v>
      </c>
      <c r="H551" s="1">
        <v>45632</v>
      </c>
      <c r="I551" t="s">
        <v>2181</v>
      </c>
      <c r="J551" s="8">
        <v>45642</v>
      </c>
      <c r="K551" s="1" t="s">
        <v>1479</v>
      </c>
      <c r="L551" t="s">
        <v>2311</v>
      </c>
      <c r="M551" t="s">
        <v>2312</v>
      </c>
      <c r="N551" s="2">
        <v>2964000</v>
      </c>
      <c r="O551" t="s">
        <v>440</v>
      </c>
      <c r="P551" s="6" t="s">
        <v>36</v>
      </c>
      <c r="R551" t="s">
        <v>240</v>
      </c>
      <c r="S551" s="9">
        <v>5200</v>
      </c>
      <c r="T551" s="9">
        <v>570</v>
      </c>
      <c r="U551" s="9">
        <v>2964000</v>
      </c>
      <c r="V551" s="6" t="s">
        <v>1594</v>
      </c>
      <c r="W551" t="s">
        <v>59</v>
      </c>
      <c r="X551">
        <v>7716871971</v>
      </c>
      <c r="Y551">
        <v>773501001</v>
      </c>
      <c r="Z551" s="3">
        <v>45673.173611111109</v>
      </c>
      <c r="AA551" s="6">
        <v>2024</v>
      </c>
      <c r="AB551" s="1">
        <v>45654</v>
      </c>
    </row>
    <row r="552" spans="1:28" x14ac:dyDescent="0.3">
      <c r="A552" t="s">
        <v>1755</v>
      </c>
      <c r="B552" s="6" t="s">
        <v>121</v>
      </c>
      <c r="C552" s="6" t="s">
        <v>122</v>
      </c>
      <c r="D552">
        <v>5402155123</v>
      </c>
      <c r="E552">
        <v>540201001</v>
      </c>
      <c r="F552" t="s">
        <v>94</v>
      </c>
      <c r="G552" t="s">
        <v>1756</v>
      </c>
      <c r="H552" s="1">
        <v>45632</v>
      </c>
      <c r="I552" t="s">
        <v>2181</v>
      </c>
      <c r="J552" s="8">
        <v>45642</v>
      </c>
      <c r="K552" s="1" t="s">
        <v>1479</v>
      </c>
      <c r="L552" t="s">
        <v>2313</v>
      </c>
      <c r="M552" t="s">
        <v>2314</v>
      </c>
      <c r="N552" s="2">
        <v>2964000</v>
      </c>
      <c r="O552" t="s">
        <v>440</v>
      </c>
      <c r="P552" s="6" t="s">
        <v>36</v>
      </c>
      <c r="R552" t="s">
        <v>240</v>
      </c>
      <c r="S552" s="9">
        <v>5200</v>
      </c>
      <c r="T552" s="9">
        <v>570</v>
      </c>
      <c r="U552" s="9">
        <v>2964000</v>
      </c>
      <c r="V552" s="6" t="s">
        <v>1594</v>
      </c>
      <c r="W552" t="s">
        <v>59</v>
      </c>
      <c r="X552">
        <v>7716871971</v>
      </c>
      <c r="Y552">
        <v>773501001</v>
      </c>
      <c r="Z552" s="3">
        <v>45673.164583333331</v>
      </c>
      <c r="AA552" s="6">
        <v>2024</v>
      </c>
      <c r="AB552" s="1">
        <v>45654</v>
      </c>
    </row>
    <row r="553" spans="1:28" x14ac:dyDescent="0.3">
      <c r="A553" t="s">
        <v>1755</v>
      </c>
      <c r="B553" s="6" t="s">
        <v>121</v>
      </c>
      <c r="C553" s="6" t="s">
        <v>122</v>
      </c>
      <c r="D553">
        <v>5402155123</v>
      </c>
      <c r="E553">
        <v>540201001</v>
      </c>
      <c r="F553" t="s">
        <v>94</v>
      </c>
      <c r="G553" t="s">
        <v>1756</v>
      </c>
      <c r="H553" s="1">
        <v>45632</v>
      </c>
      <c r="I553" t="s">
        <v>2181</v>
      </c>
      <c r="J553" s="8">
        <v>45642</v>
      </c>
      <c r="K553" s="1" t="s">
        <v>1479</v>
      </c>
      <c r="L553" t="s">
        <v>2315</v>
      </c>
      <c r="M553" t="s">
        <v>2316</v>
      </c>
      <c r="N553" s="2">
        <v>2964000</v>
      </c>
      <c r="O553" t="s">
        <v>440</v>
      </c>
      <c r="P553" s="6" t="s">
        <v>36</v>
      </c>
      <c r="R553" t="s">
        <v>240</v>
      </c>
      <c r="S553" s="9">
        <v>5200</v>
      </c>
      <c r="T553" s="9">
        <v>570</v>
      </c>
      <c r="U553" s="9">
        <v>2964000</v>
      </c>
      <c r="V553" s="6" t="s">
        <v>1594</v>
      </c>
      <c r="W553" t="s">
        <v>59</v>
      </c>
      <c r="X553">
        <v>7716871971</v>
      </c>
      <c r="Y553">
        <v>773501001</v>
      </c>
      <c r="Z553" s="3">
        <v>45673.171527777777</v>
      </c>
      <c r="AA553" s="6">
        <v>2024</v>
      </c>
      <c r="AB553" s="1">
        <v>45654</v>
      </c>
    </row>
    <row r="554" spans="1:28" x14ac:dyDescent="0.3">
      <c r="A554" t="s">
        <v>1755</v>
      </c>
      <c r="B554" s="6" t="s">
        <v>121</v>
      </c>
      <c r="C554" s="6" t="s">
        <v>122</v>
      </c>
      <c r="D554">
        <v>5402155123</v>
      </c>
      <c r="E554">
        <v>540201001</v>
      </c>
      <c r="F554" t="s">
        <v>94</v>
      </c>
      <c r="G554" t="s">
        <v>1756</v>
      </c>
      <c r="H554" s="1">
        <v>45632</v>
      </c>
      <c r="I554" t="s">
        <v>2181</v>
      </c>
      <c r="J554" s="8">
        <v>45642</v>
      </c>
      <c r="K554" s="1" t="s">
        <v>1479</v>
      </c>
      <c r="L554" t="s">
        <v>2317</v>
      </c>
      <c r="M554" t="s">
        <v>2318</v>
      </c>
      <c r="N554" s="2">
        <v>2964000</v>
      </c>
      <c r="O554" t="s">
        <v>440</v>
      </c>
      <c r="P554" s="6" t="s">
        <v>36</v>
      </c>
      <c r="R554" t="s">
        <v>240</v>
      </c>
      <c r="S554" s="9">
        <v>5200</v>
      </c>
      <c r="T554" s="9">
        <v>570</v>
      </c>
      <c r="U554" s="9">
        <v>2964000</v>
      </c>
      <c r="V554" s="6" t="s">
        <v>1594</v>
      </c>
      <c r="W554" t="s">
        <v>59</v>
      </c>
      <c r="X554">
        <v>7716871971</v>
      </c>
      <c r="Y554">
        <v>773501001</v>
      </c>
      <c r="Z554" s="3">
        <v>45673.164583333331</v>
      </c>
      <c r="AA554" s="6">
        <v>2024</v>
      </c>
      <c r="AB554" s="1">
        <v>45654</v>
      </c>
    </row>
    <row r="555" spans="1:28" x14ac:dyDescent="0.3">
      <c r="A555" t="s">
        <v>1755</v>
      </c>
      <c r="B555" s="6" t="s">
        <v>121</v>
      </c>
      <c r="C555" s="6" t="s">
        <v>122</v>
      </c>
      <c r="D555">
        <v>5402155123</v>
      </c>
      <c r="E555">
        <v>540201001</v>
      </c>
      <c r="F555" t="s">
        <v>94</v>
      </c>
      <c r="G555" t="s">
        <v>1756</v>
      </c>
      <c r="H555" s="1">
        <v>45632</v>
      </c>
      <c r="I555" t="s">
        <v>2181</v>
      </c>
      <c r="J555" s="8">
        <v>45642</v>
      </c>
      <c r="K555" s="1" t="s">
        <v>1479</v>
      </c>
      <c r="L555" t="s">
        <v>2319</v>
      </c>
      <c r="M555" t="s">
        <v>2320</v>
      </c>
      <c r="N555" s="2">
        <v>2964000</v>
      </c>
      <c r="O555" t="s">
        <v>440</v>
      </c>
      <c r="P555" s="6" t="s">
        <v>36</v>
      </c>
      <c r="R555" t="s">
        <v>240</v>
      </c>
      <c r="S555" s="9">
        <v>5200</v>
      </c>
      <c r="T555" s="9">
        <v>570</v>
      </c>
      <c r="U555" s="9">
        <v>2964000</v>
      </c>
      <c r="V555" s="6" t="s">
        <v>1594</v>
      </c>
      <c r="W555" t="s">
        <v>59</v>
      </c>
      <c r="X555">
        <v>7716871971</v>
      </c>
      <c r="Y555">
        <v>773501001</v>
      </c>
      <c r="Z555" s="3">
        <v>45673.165277777778</v>
      </c>
      <c r="AA555" s="6">
        <v>2024</v>
      </c>
      <c r="AB555" s="1">
        <v>45654</v>
      </c>
    </row>
    <row r="556" spans="1:28" x14ac:dyDescent="0.3">
      <c r="A556" t="s">
        <v>1755</v>
      </c>
      <c r="B556" s="6" t="s">
        <v>121</v>
      </c>
      <c r="C556" s="6" t="s">
        <v>122</v>
      </c>
      <c r="D556">
        <v>5402155123</v>
      </c>
      <c r="E556">
        <v>540201001</v>
      </c>
      <c r="F556" t="s">
        <v>94</v>
      </c>
      <c r="G556" t="s">
        <v>1756</v>
      </c>
      <c r="H556" s="1">
        <v>45632</v>
      </c>
      <c r="I556" t="s">
        <v>2181</v>
      </c>
      <c r="J556" s="8">
        <v>45642</v>
      </c>
      <c r="K556" s="1" t="s">
        <v>1479</v>
      </c>
      <c r="L556" t="s">
        <v>2321</v>
      </c>
      <c r="M556" t="s">
        <v>2322</v>
      </c>
      <c r="N556" s="2">
        <v>2964000</v>
      </c>
      <c r="O556" t="s">
        <v>440</v>
      </c>
      <c r="P556" s="6" t="s">
        <v>36</v>
      </c>
      <c r="R556" t="s">
        <v>240</v>
      </c>
      <c r="S556" s="9">
        <v>5200</v>
      </c>
      <c r="T556" s="9">
        <v>570</v>
      </c>
      <c r="U556" s="9">
        <v>2964000</v>
      </c>
      <c r="V556" s="6" t="s">
        <v>1594</v>
      </c>
      <c r="W556" t="s">
        <v>59</v>
      </c>
      <c r="X556">
        <v>7716871971</v>
      </c>
      <c r="Y556">
        <v>773501001</v>
      </c>
      <c r="Z556" s="3">
        <v>45673.165972222225</v>
      </c>
      <c r="AA556" s="6">
        <v>2024</v>
      </c>
      <c r="AB556" s="1">
        <v>45654</v>
      </c>
    </row>
    <row r="557" spans="1:28" x14ac:dyDescent="0.3">
      <c r="A557" t="s">
        <v>2323</v>
      </c>
      <c r="B557" s="6" t="s">
        <v>1209</v>
      </c>
      <c r="C557" s="6" t="s">
        <v>93</v>
      </c>
      <c r="D557">
        <v>4501008880</v>
      </c>
      <c r="E557">
        <v>450101001</v>
      </c>
      <c r="F557" t="s">
        <v>52</v>
      </c>
      <c r="G557" t="s">
        <v>2324</v>
      </c>
      <c r="H557" s="1">
        <v>45630</v>
      </c>
      <c r="J557" s="8">
        <v>45642</v>
      </c>
      <c r="K557" s="1" t="s">
        <v>1479</v>
      </c>
      <c r="L557" t="s">
        <v>2325</v>
      </c>
      <c r="M557" t="s">
        <v>2326</v>
      </c>
      <c r="N557" s="2">
        <v>11600</v>
      </c>
      <c r="O557" t="s">
        <v>1721</v>
      </c>
      <c r="P557" s="6" t="s">
        <v>36</v>
      </c>
      <c r="R557" t="s">
        <v>306</v>
      </c>
      <c r="S557" s="9">
        <v>5800</v>
      </c>
      <c r="T557" s="9">
        <v>2</v>
      </c>
      <c r="U557" s="9">
        <v>11600</v>
      </c>
      <c r="V557" s="6" t="s">
        <v>39</v>
      </c>
      <c r="W557" t="s">
        <v>40</v>
      </c>
      <c r="X557">
        <v>7810687137</v>
      </c>
      <c r="Y557">
        <v>781401001</v>
      </c>
      <c r="Z557" s="3">
        <v>45643.377083333333</v>
      </c>
      <c r="AA557" s="6">
        <v>2024</v>
      </c>
      <c r="AB557" s="1">
        <v>46022</v>
      </c>
    </row>
    <row r="558" spans="1:28" x14ac:dyDescent="0.3">
      <c r="A558" t="s">
        <v>2327</v>
      </c>
      <c r="B558" s="6" t="s">
        <v>1209</v>
      </c>
      <c r="C558" s="6" t="s">
        <v>93</v>
      </c>
      <c r="D558">
        <v>4501008880</v>
      </c>
      <c r="E558">
        <v>450101001</v>
      </c>
      <c r="F558" t="s">
        <v>52</v>
      </c>
      <c r="G558" t="s">
        <v>2328</v>
      </c>
      <c r="H558" s="1">
        <v>45630</v>
      </c>
      <c r="I558" t="s">
        <v>2329</v>
      </c>
      <c r="J558" s="8">
        <v>45642</v>
      </c>
      <c r="K558" s="1" t="s">
        <v>1479</v>
      </c>
      <c r="L558" t="s">
        <v>2330</v>
      </c>
      <c r="M558" t="s">
        <v>2331</v>
      </c>
      <c r="N558" s="2">
        <v>265831.5</v>
      </c>
      <c r="O558" t="s">
        <v>440</v>
      </c>
      <c r="P558" s="6" t="s">
        <v>36</v>
      </c>
      <c r="R558" t="s">
        <v>240</v>
      </c>
      <c r="S558" s="9">
        <v>5316.63</v>
      </c>
      <c r="T558" s="9">
        <v>50</v>
      </c>
      <c r="U558" s="9">
        <v>265831.5</v>
      </c>
      <c r="V558" s="6" t="s">
        <v>39</v>
      </c>
      <c r="W558" t="s">
        <v>40</v>
      </c>
      <c r="X558">
        <v>7810687137</v>
      </c>
      <c r="Y558">
        <v>781401001</v>
      </c>
      <c r="Z558" s="3">
        <v>45643.861805555556</v>
      </c>
      <c r="AA558" s="6">
        <v>2024</v>
      </c>
      <c r="AB558" s="1">
        <v>46022</v>
      </c>
    </row>
    <row r="559" spans="1:28" x14ac:dyDescent="0.3">
      <c r="A559" t="s">
        <v>2332</v>
      </c>
      <c r="B559" s="6" t="s">
        <v>842</v>
      </c>
      <c r="C559" s="6" t="s">
        <v>843</v>
      </c>
      <c r="D559">
        <v>2128015420</v>
      </c>
      <c r="E559">
        <v>213001001</v>
      </c>
      <c r="F559" t="s">
        <v>94</v>
      </c>
      <c r="G559" t="s">
        <v>2333</v>
      </c>
      <c r="H559" s="1">
        <v>45637</v>
      </c>
      <c r="J559" s="8">
        <v>45642</v>
      </c>
      <c r="K559" s="1" t="s">
        <v>1479</v>
      </c>
      <c r="L559" t="s">
        <v>2334</v>
      </c>
      <c r="M559" t="s">
        <v>1877</v>
      </c>
      <c r="N559" s="2">
        <v>5493090</v>
      </c>
      <c r="O559" t="s">
        <v>2335</v>
      </c>
      <c r="P559" s="6" t="s">
        <v>2277</v>
      </c>
      <c r="R559" t="s">
        <v>66</v>
      </c>
      <c r="S559" s="9">
        <v>4190</v>
      </c>
      <c r="T559" s="9">
        <v>1311</v>
      </c>
      <c r="U559" s="9">
        <v>5493090</v>
      </c>
      <c r="V559" s="6" t="s">
        <v>1502</v>
      </c>
      <c r="W559" t="s">
        <v>1503</v>
      </c>
      <c r="X559">
        <v>1658196026</v>
      </c>
      <c r="Y559">
        <v>168301001</v>
      </c>
      <c r="Z559" s="3">
        <v>45654.40625</v>
      </c>
      <c r="AA559" s="6">
        <v>2024</v>
      </c>
      <c r="AB559" s="1">
        <v>45653</v>
      </c>
    </row>
    <row r="560" spans="1:28" x14ac:dyDescent="0.3">
      <c r="A560" t="s">
        <v>2336</v>
      </c>
      <c r="B560" s="6" t="s">
        <v>665</v>
      </c>
      <c r="C560" s="6" t="s">
        <v>666</v>
      </c>
      <c r="D560">
        <v>5753061308</v>
      </c>
      <c r="E560">
        <v>575301001</v>
      </c>
      <c r="F560" t="s">
        <v>94</v>
      </c>
      <c r="G560" t="s">
        <v>2337</v>
      </c>
      <c r="H560" s="1">
        <v>45637</v>
      </c>
      <c r="I560" t="s">
        <v>2338</v>
      </c>
      <c r="J560" s="8">
        <v>45642</v>
      </c>
      <c r="K560" s="1" t="s">
        <v>1479</v>
      </c>
      <c r="L560" t="s">
        <v>2339</v>
      </c>
      <c r="M560" t="s">
        <v>2340</v>
      </c>
      <c r="N560" s="2">
        <v>1365000</v>
      </c>
      <c r="O560" t="s">
        <v>494</v>
      </c>
      <c r="P560" s="6" t="s">
        <v>36</v>
      </c>
      <c r="Q560" t="s">
        <v>1993</v>
      </c>
      <c r="R560" t="s">
        <v>38</v>
      </c>
      <c r="S560" s="9">
        <v>4550</v>
      </c>
      <c r="T560" s="9">
        <v>300</v>
      </c>
      <c r="U560" s="9">
        <v>1365000</v>
      </c>
      <c r="V560" s="6" t="s">
        <v>58</v>
      </c>
      <c r="W560" t="s">
        <v>59</v>
      </c>
      <c r="X560">
        <v>5262222144</v>
      </c>
      <c r="Y560">
        <v>526201001</v>
      </c>
      <c r="Z560" s="3">
        <v>45649.473611111112</v>
      </c>
      <c r="AA560" s="6">
        <v>2024</v>
      </c>
      <c r="AB560" s="1">
        <v>45651</v>
      </c>
    </row>
    <row r="561" spans="1:28" x14ac:dyDescent="0.3">
      <c r="A561" t="s">
        <v>2341</v>
      </c>
      <c r="B561" s="6" t="s">
        <v>959</v>
      </c>
      <c r="C561" s="6" t="s">
        <v>960</v>
      </c>
      <c r="D561">
        <v>105023439</v>
      </c>
      <c r="E561">
        <v>10501001</v>
      </c>
      <c r="F561" t="s">
        <v>149</v>
      </c>
      <c r="G561" t="s">
        <v>2342</v>
      </c>
      <c r="H561" s="1">
        <v>45637</v>
      </c>
      <c r="J561" s="8">
        <v>45642</v>
      </c>
      <c r="K561" s="1" t="s">
        <v>1479</v>
      </c>
      <c r="L561" t="s">
        <v>2343</v>
      </c>
      <c r="M561" t="s">
        <v>273</v>
      </c>
      <c r="N561" s="2">
        <v>4977845.2</v>
      </c>
      <c r="O561" t="s">
        <v>1366</v>
      </c>
      <c r="P561" s="6" t="s">
        <v>36</v>
      </c>
      <c r="R561" t="s">
        <v>240</v>
      </c>
      <c r="S561" s="9">
        <v>5295.58</v>
      </c>
      <c r="T561" s="9">
        <v>940</v>
      </c>
      <c r="U561" s="9">
        <v>4977845.2</v>
      </c>
      <c r="V561" s="6" t="s">
        <v>39</v>
      </c>
      <c r="W561" t="s">
        <v>40</v>
      </c>
      <c r="X561">
        <v>7810687137</v>
      </c>
      <c r="Y561">
        <v>781401001</v>
      </c>
      <c r="Z561" s="3">
        <v>45654.455555555556</v>
      </c>
      <c r="AA561" s="6">
        <v>2024</v>
      </c>
      <c r="AB561" s="1">
        <v>45657</v>
      </c>
    </row>
    <row r="562" spans="1:28" x14ac:dyDescent="0.3">
      <c r="A562" t="s">
        <v>2344</v>
      </c>
      <c r="B562" s="6" t="s">
        <v>959</v>
      </c>
      <c r="C562" s="6" t="s">
        <v>960</v>
      </c>
      <c r="D562">
        <v>105023439</v>
      </c>
      <c r="E562">
        <v>10501001</v>
      </c>
      <c r="F562" t="s">
        <v>149</v>
      </c>
      <c r="G562" t="s">
        <v>2345</v>
      </c>
      <c r="H562" s="1">
        <v>45637</v>
      </c>
      <c r="J562" s="8">
        <v>45642</v>
      </c>
      <c r="K562" s="1" t="s">
        <v>1479</v>
      </c>
      <c r="L562" t="s">
        <v>2346</v>
      </c>
      <c r="M562" t="s">
        <v>273</v>
      </c>
      <c r="N562" s="2">
        <v>947908.82</v>
      </c>
      <c r="O562" t="s">
        <v>1366</v>
      </c>
      <c r="P562" s="6" t="s">
        <v>36</v>
      </c>
      <c r="R562" t="s">
        <v>240</v>
      </c>
      <c r="S562" s="9">
        <v>5295.58</v>
      </c>
      <c r="T562" s="9">
        <v>179</v>
      </c>
      <c r="U562" s="9">
        <v>947908.82</v>
      </c>
      <c r="V562" s="6" t="s">
        <v>39</v>
      </c>
      <c r="W562" t="s">
        <v>40</v>
      </c>
      <c r="X562">
        <v>7810687137</v>
      </c>
      <c r="Y562">
        <v>781401001</v>
      </c>
      <c r="Z562" s="3">
        <v>45654.454861111109</v>
      </c>
      <c r="AA562" s="6">
        <v>2024</v>
      </c>
      <c r="AB562" s="1">
        <v>45657</v>
      </c>
    </row>
    <row r="563" spans="1:28" x14ac:dyDescent="0.3">
      <c r="A563" t="s">
        <v>2347</v>
      </c>
      <c r="B563" s="6" t="s">
        <v>418</v>
      </c>
      <c r="C563" s="6" t="s">
        <v>148</v>
      </c>
      <c r="D563">
        <v>274157821</v>
      </c>
      <c r="E563">
        <v>27401001</v>
      </c>
      <c r="F563" t="s">
        <v>94</v>
      </c>
      <c r="G563" t="s">
        <v>2348</v>
      </c>
      <c r="H563" s="1">
        <v>45637</v>
      </c>
      <c r="J563" s="8">
        <v>45642</v>
      </c>
      <c r="K563" s="1" t="s">
        <v>1479</v>
      </c>
      <c r="L563" t="s">
        <v>2348</v>
      </c>
      <c r="M563" t="s">
        <v>2349</v>
      </c>
      <c r="N563" s="2">
        <v>7000000</v>
      </c>
      <c r="O563" t="s">
        <v>2350</v>
      </c>
      <c r="P563" s="6" t="s">
        <v>36</v>
      </c>
      <c r="Q563" t="s">
        <v>1993</v>
      </c>
      <c r="R563" t="s">
        <v>240</v>
      </c>
      <c r="S563" s="9">
        <v>5000</v>
      </c>
      <c r="T563" s="9">
        <v>1400</v>
      </c>
      <c r="U563" s="9">
        <v>7000000</v>
      </c>
      <c r="V563" s="6" t="s">
        <v>2351</v>
      </c>
      <c r="W563" t="s">
        <v>59</v>
      </c>
      <c r="X563">
        <v>7106040119</v>
      </c>
      <c r="Y563">
        <v>710701001</v>
      </c>
      <c r="Z563" s="3">
        <v>45654.598611111112</v>
      </c>
      <c r="AA563" s="6">
        <v>2024</v>
      </c>
      <c r="AB563" s="1">
        <v>45657</v>
      </c>
    </row>
    <row r="564" spans="1:28" x14ac:dyDescent="0.3">
      <c r="A564" t="s">
        <v>2347</v>
      </c>
      <c r="B564" s="6" t="s">
        <v>418</v>
      </c>
      <c r="C564" s="6" t="s">
        <v>148</v>
      </c>
      <c r="D564">
        <v>274157821</v>
      </c>
      <c r="E564">
        <v>27401001</v>
      </c>
      <c r="F564" t="s">
        <v>94</v>
      </c>
      <c r="G564" t="s">
        <v>2348</v>
      </c>
      <c r="H564" s="1">
        <v>45637</v>
      </c>
      <c r="J564" s="8">
        <v>45642</v>
      </c>
      <c r="K564" s="1" t="s">
        <v>1479</v>
      </c>
      <c r="L564" t="s">
        <v>2348</v>
      </c>
      <c r="M564" t="s">
        <v>2349</v>
      </c>
      <c r="N564" s="2">
        <v>7000000</v>
      </c>
      <c r="O564" t="s">
        <v>2350</v>
      </c>
      <c r="P564" s="6" t="s">
        <v>36</v>
      </c>
      <c r="Q564" t="s">
        <v>1993</v>
      </c>
      <c r="R564" t="s">
        <v>240</v>
      </c>
      <c r="S564" s="9">
        <v>5000</v>
      </c>
      <c r="T564" s="9">
        <v>1400</v>
      </c>
      <c r="U564" s="9">
        <v>7000000</v>
      </c>
      <c r="V564" s="6" t="s">
        <v>2351</v>
      </c>
      <c r="W564" t="s">
        <v>59</v>
      </c>
      <c r="X564">
        <v>7106040119</v>
      </c>
      <c r="Y564">
        <v>710701001</v>
      </c>
      <c r="Z564" s="3">
        <v>45654.598611111112</v>
      </c>
      <c r="AA564" s="6">
        <v>2024</v>
      </c>
      <c r="AB564" s="1">
        <v>45657</v>
      </c>
    </row>
    <row r="565" spans="1:28" x14ac:dyDescent="0.3">
      <c r="A565" t="s">
        <v>2352</v>
      </c>
      <c r="B565" s="6" t="s">
        <v>2353</v>
      </c>
      <c r="C565" s="6" t="s">
        <v>2354</v>
      </c>
      <c r="D565">
        <v>2801123720</v>
      </c>
      <c r="E565">
        <v>280101001</v>
      </c>
      <c r="F565" t="s">
        <v>94</v>
      </c>
      <c r="G565" t="s">
        <v>2355</v>
      </c>
      <c r="H565" s="1">
        <v>45637</v>
      </c>
      <c r="J565" s="8">
        <v>45642</v>
      </c>
      <c r="K565" s="1" t="s">
        <v>1479</v>
      </c>
      <c r="L565">
        <v>836</v>
      </c>
      <c r="M565" t="s">
        <v>2356</v>
      </c>
      <c r="N565" s="2">
        <v>6334200</v>
      </c>
      <c r="O565" t="s">
        <v>1912</v>
      </c>
      <c r="P565" s="6" t="s">
        <v>891</v>
      </c>
      <c r="Q565" t="s">
        <v>1993</v>
      </c>
      <c r="R565" t="s">
        <v>38</v>
      </c>
      <c r="S565" s="9">
        <v>5100</v>
      </c>
      <c r="T565" s="9">
        <v>1242</v>
      </c>
      <c r="U565" s="9">
        <v>6334200</v>
      </c>
      <c r="V565" s="6" t="s">
        <v>1612</v>
      </c>
      <c r="W565" t="s">
        <v>1613</v>
      </c>
      <c r="X565">
        <v>9727026181</v>
      </c>
      <c r="Y565">
        <v>770601001</v>
      </c>
      <c r="Z565" s="3">
        <v>45671.13958333333</v>
      </c>
      <c r="AA565" s="6">
        <v>2024</v>
      </c>
      <c r="AB565" s="1">
        <v>45673</v>
      </c>
    </row>
    <row r="566" spans="1:28" x14ac:dyDescent="0.3">
      <c r="A566" t="s">
        <v>2352</v>
      </c>
      <c r="B566" s="6" t="s">
        <v>2353</v>
      </c>
      <c r="C566" s="6" t="s">
        <v>2354</v>
      </c>
      <c r="D566">
        <v>2801123720</v>
      </c>
      <c r="E566">
        <v>280101001</v>
      </c>
      <c r="F566" t="s">
        <v>94</v>
      </c>
      <c r="G566" t="s">
        <v>2355</v>
      </c>
      <c r="H566" s="1">
        <v>45637</v>
      </c>
      <c r="J566" s="8">
        <v>45642</v>
      </c>
      <c r="K566" s="1" t="s">
        <v>1479</v>
      </c>
      <c r="L566">
        <v>835</v>
      </c>
      <c r="M566" t="s">
        <v>2356</v>
      </c>
      <c r="N566" s="2">
        <v>6334200</v>
      </c>
      <c r="O566" t="s">
        <v>1912</v>
      </c>
      <c r="P566" s="6" t="s">
        <v>891</v>
      </c>
      <c r="Q566" t="s">
        <v>1993</v>
      </c>
      <c r="R566" t="s">
        <v>38</v>
      </c>
      <c r="S566" s="9">
        <v>5100</v>
      </c>
      <c r="T566" s="9">
        <v>1242</v>
      </c>
      <c r="U566" s="9">
        <v>6334200</v>
      </c>
      <c r="V566" s="6" t="s">
        <v>1612</v>
      </c>
      <c r="W566" t="s">
        <v>1613</v>
      </c>
      <c r="X566">
        <v>9727026181</v>
      </c>
      <c r="Y566">
        <v>770601001</v>
      </c>
      <c r="Z566" s="3">
        <v>45671.136805555558</v>
      </c>
      <c r="AA566" s="6">
        <v>2024</v>
      </c>
      <c r="AB566" s="1">
        <v>45673</v>
      </c>
    </row>
    <row r="567" spans="1:28" x14ac:dyDescent="0.3">
      <c r="A567" t="s">
        <v>2357</v>
      </c>
      <c r="B567" s="6" t="s">
        <v>501</v>
      </c>
      <c r="C567" s="6" t="s">
        <v>502</v>
      </c>
      <c r="D567">
        <v>6318197367</v>
      </c>
      <c r="E567">
        <v>631801001</v>
      </c>
      <c r="F567" t="s">
        <v>52</v>
      </c>
      <c r="G567" t="s">
        <v>2358</v>
      </c>
      <c r="H567" s="1">
        <v>45629</v>
      </c>
      <c r="I567" t="s">
        <v>2299</v>
      </c>
      <c r="J567" s="8">
        <v>45642</v>
      </c>
      <c r="K567" s="1" t="s">
        <v>1479</v>
      </c>
      <c r="L567" t="s">
        <v>2359</v>
      </c>
      <c r="M567" t="s">
        <v>1143</v>
      </c>
      <c r="N567" s="2">
        <v>754346.25</v>
      </c>
      <c r="O567" t="s">
        <v>377</v>
      </c>
      <c r="P567" s="6" t="s">
        <v>891</v>
      </c>
      <c r="Q567" t="s">
        <v>37</v>
      </c>
      <c r="R567" t="s">
        <v>38</v>
      </c>
      <c r="S567" s="9">
        <v>4866.75</v>
      </c>
      <c r="T567" s="9">
        <v>155</v>
      </c>
      <c r="U567" s="9">
        <v>754346.25</v>
      </c>
      <c r="V567" s="6" t="s">
        <v>2360</v>
      </c>
      <c r="W567" t="s">
        <v>1613</v>
      </c>
      <c r="X567">
        <v>6672338063</v>
      </c>
      <c r="Y567">
        <v>668501001</v>
      </c>
      <c r="Z567" s="3">
        <v>45652.456250000003</v>
      </c>
      <c r="AA567" s="6">
        <v>2024</v>
      </c>
      <c r="AB567" s="1">
        <v>45657</v>
      </c>
    </row>
    <row r="568" spans="1:28" x14ac:dyDescent="0.3">
      <c r="A568" t="s">
        <v>2361</v>
      </c>
      <c r="B568" s="6" t="s">
        <v>1399</v>
      </c>
      <c r="C568" s="6" t="s">
        <v>93</v>
      </c>
      <c r="D568">
        <v>4501025099</v>
      </c>
      <c r="E568">
        <v>450101001</v>
      </c>
      <c r="F568" t="s">
        <v>149</v>
      </c>
      <c r="G568" t="s">
        <v>2362</v>
      </c>
      <c r="H568" s="1">
        <v>45638</v>
      </c>
      <c r="J568" s="8">
        <v>45643</v>
      </c>
      <c r="K568" s="1" t="s">
        <v>1479</v>
      </c>
      <c r="L568" t="s">
        <v>2363</v>
      </c>
      <c r="M568" t="s">
        <v>273</v>
      </c>
      <c r="N568" s="2">
        <v>4895903.7</v>
      </c>
      <c r="O568" t="s">
        <v>273</v>
      </c>
      <c r="P568" s="6" t="s">
        <v>36</v>
      </c>
      <c r="R568" t="s">
        <v>240</v>
      </c>
      <c r="S568" s="9">
        <v>5197.3500000000004</v>
      </c>
      <c r="T568" s="9">
        <v>942</v>
      </c>
      <c r="U568" s="9">
        <v>4895903.7</v>
      </c>
      <c r="V568" s="6" t="s">
        <v>39</v>
      </c>
      <c r="W568" t="s">
        <v>40</v>
      </c>
      <c r="X568">
        <v>7810687137</v>
      </c>
      <c r="Y568">
        <v>781401001</v>
      </c>
      <c r="Z568" s="3">
        <v>45655.169444444444</v>
      </c>
      <c r="AA568" s="6">
        <v>2024</v>
      </c>
      <c r="AB568" s="1">
        <v>45747</v>
      </c>
    </row>
    <row r="569" spans="1:28" x14ac:dyDescent="0.3">
      <c r="A569" t="s">
        <v>2364</v>
      </c>
      <c r="B569" s="6" t="s">
        <v>121</v>
      </c>
      <c r="C569" s="6" t="s">
        <v>122</v>
      </c>
      <c r="D569">
        <v>5402155123</v>
      </c>
      <c r="E569">
        <v>540201001</v>
      </c>
      <c r="F569" t="s">
        <v>94</v>
      </c>
      <c r="G569" t="s">
        <v>2365</v>
      </c>
      <c r="H569" s="1">
        <v>45632</v>
      </c>
      <c r="I569" t="s">
        <v>2181</v>
      </c>
      <c r="J569" s="8">
        <v>45643</v>
      </c>
      <c r="K569" s="1" t="s">
        <v>1479</v>
      </c>
      <c r="L569" t="s">
        <v>2366</v>
      </c>
      <c r="M569" t="s">
        <v>2367</v>
      </c>
      <c r="N569" s="2">
        <v>124800</v>
      </c>
      <c r="O569" t="s">
        <v>440</v>
      </c>
      <c r="P569" s="6" t="s">
        <v>36</v>
      </c>
      <c r="R569" t="s">
        <v>240</v>
      </c>
      <c r="S569" s="9">
        <v>5200</v>
      </c>
      <c r="T569" s="9">
        <v>24</v>
      </c>
      <c r="U569" s="9">
        <v>124800</v>
      </c>
      <c r="V569" s="6" t="s">
        <v>1594</v>
      </c>
      <c r="W569" t="s">
        <v>59</v>
      </c>
      <c r="X569">
        <v>7716871971</v>
      </c>
      <c r="Y569">
        <v>773501001</v>
      </c>
      <c r="Z569" s="3">
        <v>45673.163888888892</v>
      </c>
      <c r="AA569" s="6">
        <v>2024</v>
      </c>
      <c r="AB569" s="1">
        <v>45654</v>
      </c>
    </row>
    <row r="570" spans="1:28" x14ac:dyDescent="0.3">
      <c r="A570" t="s">
        <v>2368</v>
      </c>
      <c r="B570" s="6" t="s">
        <v>121</v>
      </c>
      <c r="C570" s="6" t="s">
        <v>122</v>
      </c>
      <c r="D570">
        <v>5402155123</v>
      </c>
      <c r="E570">
        <v>540201001</v>
      </c>
      <c r="F570" t="s">
        <v>94</v>
      </c>
      <c r="G570" t="s">
        <v>2369</v>
      </c>
      <c r="H570" s="1">
        <v>45632</v>
      </c>
      <c r="I570" t="s">
        <v>2181</v>
      </c>
      <c r="J570" s="8">
        <v>45643</v>
      </c>
      <c r="K570" s="1" t="s">
        <v>1479</v>
      </c>
      <c r="L570" t="s">
        <v>2370</v>
      </c>
      <c r="M570" t="s">
        <v>2371</v>
      </c>
      <c r="N570" s="2">
        <v>2860000</v>
      </c>
      <c r="O570" t="s">
        <v>440</v>
      </c>
      <c r="P570" s="6" t="s">
        <v>36</v>
      </c>
      <c r="R570" t="s">
        <v>240</v>
      </c>
      <c r="S570" s="9">
        <v>5200</v>
      </c>
      <c r="T570" s="9">
        <v>550</v>
      </c>
      <c r="U570" s="9">
        <v>2860000</v>
      </c>
      <c r="V570" s="6" t="s">
        <v>1594</v>
      </c>
      <c r="W570" t="s">
        <v>59</v>
      </c>
      <c r="X570">
        <v>7716871971</v>
      </c>
      <c r="Y570">
        <v>773501001</v>
      </c>
      <c r="Z570" s="3">
        <v>45673.168749999997</v>
      </c>
      <c r="AA570" s="6">
        <v>2024</v>
      </c>
      <c r="AB570" s="1">
        <v>45654</v>
      </c>
    </row>
    <row r="571" spans="1:28" x14ac:dyDescent="0.3">
      <c r="A571" t="s">
        <v>2368</v>
      </c>
      <c r="B571" s="6" t="s">
        <v>121</v>
      </c>
      <c r="C571" s="6" t="s">
        <v>122</v>
      </c>
      <c r="D571">
        <v>5402155123</v>
      </c>
      <c r="E571">
        <v>540201001</v>
      </c>
      <c r="F571" t="s">
        <v>94</v>
      </c>
      <c r="G571" t="s">
        <v>2369</v>
      </c>
      <c r="H571" s="1">
        <v>45632</v>
      </c>
      <c r="I571" t="s">
        <v>2181</v>
      </c>
      <c r="J571" s="8">
        <v>45643</v>
      </c>
      <c r="K571" s="1" t="s">
        <v>1479</v>
      </c>
      <c r="L571" t="s">
        <v>2372</v>
      </c>
      <c r="M571" t="s">
        <v>2373</v>
      </c>
      <c r="N571" s="2">
        <v>2860000</v>
      </c>
      <c r="O571" t="s">
        <v>440</v>
      </c>
      <c r="P571" s="6" t="s">
        <v>36</v>
      </c>
      <c r="R571" t="s">
        <v>240</v>
      </c>
      <c r="S571" s="9">
        <v>5200</v>
      </c>
      <c r="T571" s="9">
        <v>550</v>
      </c>
      <c r="U571" s="9">
        <v>2860000</v>
      </c>
      <c r="V571" s="6" t="s">
        <v>1594</v>
      </c>
      <c r="W571" t="s">
        <v>59</v>
      </c>
      <c r="X571">
        <v>7716871971</v>
      </c>
      <c r="Y571">
        <v>773501001</v>
      </c>
      <c r="Z571" s="3">
        <v>45673.17083333333</v>
      </c>
      <c r="AA571" s="6">
        <v>2024</v>
      </c>
      <c r="AB571" s="1">
        <v>45654</v>
      </c>
    </row>
    <row r="572" spans="1:28" x14ac:dyDescent="0.3">
      <c r="A572" t="s">
        <v>1755</v>
      </c>
      <c r="B572" s="6" t="s">
        <v>121</v>
      </c>
      <c r="C572" s="6" t="s">
        <v>122</v>
      </c>
      <c r="D572">
        <v>5402155123</v>
      </c>
      <c r="E572">
        <v>540201001</v>
      </c>
      <c r="F572" t="s">
        <v>94</v>
      </c>
      <c r="G572" t="s">
        <v>1756</v>
      </c>
      <c r="H572" s="1">
        <v>45632</v>
      </c>
      <c r="I572" t="s">
        <v>2181</v>
      </c>
      <c r="J572" s="8">
        <v>45643</v>
      </c>
      <c r="K572" s="1" t="s">
        <v>1479</v>
      </c>
      <c r="L572" t="s">
        <v>2374</v>
      </c>
      <c r="M572" t="s">
        <v>2375</v>
      </c>
      <c r="N572" s="2">
        <v>2964000</v>
      </c>
      <c r="O572" t="s">
        <v>440</v>
      </c>
      <c r="P572" s="6" t="s">
        <v>36</v>
      </c>
      <c r="R572" t="s">
        <v>240</v>
      </c>
      <c r="S572" s="9">
        <v>5200</v>
      </c>
      <c r="T572" s="9">
        <v>570</v>
      </c>
      <c r="U572" s="9">
        <v>2964000</v>
      </c>
      <c r="V572" s="6" t="s">
        <v>1594</v>
      </c>
      <c r="W572" t="s">
        <v>59</v>
      </c>
      <c r="X572">
        <v>7716871971</v>
      </c>
      <c r="Y572">
        <v>773501001</v>
      </c>
      <c r="Z572" s="3">
        <v>45673.17083333333</v>
      </c>
      <c r="AA572" s="6">
        <v>2024</v>
      </c>
      <c r="AB572" s="1">
        <v>45654</v>
      </c>
    </row>
    <row r="573" spans="1:28" x14ac:dyDescent="0.3">
      <c r="A573" t="s">
        <v>1755</v>
      </c>
      <c r="B573" s="6" t="s">
        <v>121</v>
      </c>
      <c r="C573" s="6" t="s">
        <v>122</v>
      </c>
      <c r="D573">
        <v>5402155123</v>
      </c>
      <c r="E573">
        <v>540201001</v>
      </c>
      <c r="F573" t="s">
        <v>94</v>
      </c>
      <c r="G573" t="s">
        <v>1756</v>
      </c>
      <c r="H573" s="1">
        <v>45632</v>
      </c>
      <c r="I573" t="s">
        <v>2181</v>
      </c>
      <c r="J573" s="8">
        <v>45643</v>
      </c>
      <c r="K573" s="1" t="s">
        <v>1479</v>
      </c>
      <c r="L573" t="s">
        <v>2376</v>
      </c>
      <c r="M573" t="s">
        <v>2377</v>
      </c>
      <c r="N573" s="2">
        <v>2964000</v>
      </c>
      <c r="O573" t="s">
        <v>440</v>
      </c>
      <c r="P573" s="6" t="s">
        <v>36</v>
      </c>
      <c r="R573" t="s">
        <v>240</v>
      </c>
      <c r="S573" s="9">
        <v>5200</v>
      </c>
      <c r="T573" s="9">
        <v>570</v>
      </c>
      <c r="U573" s="9">
        <v>2964000</v>
      </c>
      <c r="V573" s="6" t="s">
        <v>1594</v>
      </c>
      <c r="W573" t="s">
        <v>59</v>
      </c>
      <c r="X573">
        <v>7716871971</v>
      </c>
      <c r="Y573">
        <v>773501001</v>
      </c>
      <c r="Z573" s="3">
        <v>45673.175000000003</v>
      </c>
      <c r="AA573" s="6">
        <v>2024</v>
      </c>
      <c r="AB573" s="1">
        <v>45654</v>
      </c>
    </row>
    <row r="574" spans="1:28" x14ac:dyDescent="0.3">
      <c r="A574" t="s">
        <v>1755</v>
      </c>
      <c r="B574" s="6" t="s">
        <v>121</v>
      </c>
      <c r="C574" s="6" t="s">
        <v>122</v>
      </c>
      <c r="D574">
        <v>5402155123</v>
      </c>
      <c r="E574">
        <v>540201001</v>
      </c>
      <c r="F574" t="s">
        <v>94</v>
      </c>
      <c r="G574" t="s">
        <v>1756</v>
      </c>
      <c r="H574" s="1">
        <v>45632</v>
      </c>
      <c r="I574" t="s">
        <v>2181</v>
      </c>
      <c r="J574" s="8">
        <v>45643</v>
      </c>
      <c r="K574" s="1" t="s">
        <v>1479</v>
      </c>
      <c r="L574" t="s">
        <v>2378</v>
      </c>
      <c r="M574" t="s">
        <v>2379</v>
      </c>
      <c r="N574" s="2">
        <v>2964000</v>
      </c>
      <c r="O574" t="s">
        <v>440</v>
      </c>
      <c r="P574" s="6" t="s">
        <v>36</v>
      </c>
      <c r="R574" t="s">
        <v>240</v>
      </c>
      <c r="S574" s="9">
        <v>5200</v>
      </c>
      <c r="T574" s="9">
        <v>570</v>
      </c>
      <c r="U574" s="9">
        <v>2964000</v>
      </c>
      <c r="V574" s="6" t="s">
        <v>1594</v>
      </c>
      <c r="W574" t="s">
        <v>59</v>
      </c>
      <c r="X574">
        <v>7716871971</v>
      </c>
      <c r="Y574">
        <v>773501001</v>
      </c>
      <c r="Z574" s="3">
        <v>45672.594444444447</v>
      </c>
      <c r="AA574" s="6">
        <v>2024</v>
      </c>
      <c r="AB574" s="1">
        <v>45654</v>
      </c>
    </row>
    <row r="575" spans="1:28" x14ac:dyDescent="0.3">
      <c r="A575" t="s">
        <v>1755</v>
      </c>
      <c r="B575" s="6" t="s">
        <v>121</v>
      </c>
      <c r="C575" s="6" t="s">
        <v>122</v>
      </c>
      <c r="D575">
        <v>5402155123</v>
      </c>
      <c r="E575">
        <v>540201001</v>
      </c>
      <c r="F575" t="s">
        <v>94</v>
      </c>
      <c r="G575" t="s">
        <v>1756</v>
      </c>
      <c r="H575" s="1">
        <v>45632</v>
      </c>
      <c r="I575" t="s">
        <v>2181</v>
      </c>
      <c r="J575" s="8">
        <v>45643</v>
      </c>
      <c r="K575" s="1" t="s">
        <v>1479</v>
      </c>
      <c r="L575" t="s">
        <v>2380</v>
      </c>
      <c r="M575" t="s">
        <v>2381</v>
      </c>
      <c r="N575" s="2">
        <v>2964000</v>
      </c>
      <c r="O575" t="s">
        <v>440</v>
      </c>
      <c r="P575" s="6" t="s">
        <v>36</v>
      </c>
      <c r="R575" t="s">
        <v>240</v>
      </c>
      <c r="S575" s="9">
        <v>5200</v>
      </c>
      <c r="T575" s="9">
        <v>570</v>
      </c>
      <c r="U575" s="9">
        <v>2964000</v>
      </c>
      <c r="V575" s="6" t="s">
        <v>1594</v>
      </c>
      <c r="W575" t="s">
        <v>59</v>
      </c>
      <c r="X575">
        <v>7716871971</v>
      </c>
      <c r="Y575">
        <v>773501001</v>
      </c>
      <c r="Z575" s="3">
        <v>45673.171527777777</v>
      </c>
      <c r="AA575" s="6">
        <v>2024</v>
      </c>
      <c r="AB575" s="1">
        <v>45654</v>
      </c>
    </row>
    <row r="576" spans="1:28" x14ac:dyDescent="0.3">
      <c r="A576" t="s">
        <v>1755</v>
      </c>
      <c r="B576" s="6" t="s">
        <v>121</v>
      </c>
      <c r="C576" s="6" t="s">
        <v>122</v>
      </c>
      <c r="D576">
        <v>5402155123</v>
      </c>
      <c r="E576">
        <v>540201001</v>
      </c>
      <c r="F576" t="s">
        <v>94</v>
      </c>
      <c r="G576" t="s">
        <v>1756</v>
      </c>
      <c r="H576" s="1">
        <v>45632</v>
      </c>
      <c r="I576" t="s">
        <v>2181</v>
      </c>
      <c r="J576" s="8">
        <v>45643</v>
      </c>
      <c r="K576" s="1" t="s">
        <v>1479</v>
      </c>
      <c r="L576" t="s">
        <v>2382</v>
      </c>
      <c r="M576" t="s">
        <v>2383</v>
      </c>
      <c r="N576" s="2">
        <v>2964000</v>
      </c>
      <c r="O576" t="s">
        <v>440</v>
      </c>
      <c r="P576" s="6" t="s">
        <v>36</v>
      </c>
      <c r="R576" t="s">
        <v>240</v>
      </c>
      <c r="S576" s="9">
        <v>5200</v>
      </c>
      <c r="T576" s="9">
        <v>570</v>
      </c>
      <c r="U576" s="9">
        <v>2964000</v>
      </c>
      <c r="V576" s="6" t="s">
        <v>1594</v>
      </c>
      <c r="W576" t="s">
        <v>59</v>
      </c>
      <c r="X576">
        <v>7716871971</v>
      </c>
      <c r="Y576">
        <v>773501001</v>
      </c>
      <c r="Z576" s="3">
        <v>45673.174305555556</v>
      </c>
      <c r="AA576" s="6">
        <v>2024</v>
      </c>
      <c r="AB576" s="1">
        <v>45654</v>
      </c>
    </row>
    <row r="577" spans="1:28" x14ac:dyDescent="0.3">
      <c r="A577" t="s">
        <v>1755</v>
      </c>
      <c r="B577" s="6" t="s">
        <v>121</v>
      </c>
      <c r="C577" s="6" t="s">
        <v>122</v>
      </c>
      <c r="D577">
        <v>5402155123</v>
      </c>
      <c r="E577">
        <v>540201001</v>
      </c>
      <c r="F577" t="s">
        <v>94</v>
      </c>
      <c r="G577" t="s">
        <v>1756</v>
      </c>
      <c r="H577" s="1">
        <v>45632</v>
      </c>
      <c r="I577" t="s">
        <v>2181</v>
      </c>
      <c r="J577" s="8">
        <v>45643</v>
      </c>
      <c r="K577" s="1" t="s">
        <v>1479</v>
      </c>
      <c r="L577" t="s">
        <v>2384</v>
      </c>
      <c r="M577" t="s">
        <v>2385</v>
      </c>
      <c r="N577" s="2">
        <v>2964000</v>
      </c>
      <c r="O577" t="s">
        <v>440</v>
      </c>
      <c r="P577" s="6" t="s">
        <v>36</v>
      </c>
      <c r="R577" t="s">
        <v>240</v>
      </c>
      <c r="S577" s="9">
        <v>5200</v>
      </c>
      <c r="T577" s="9">
        <v>570</v>
      </c>
      <c r="U577" s="9">
        <v>2964000</v>
      </c>
      <c r="V577" s="6" t="s">
        <v>1594</v>
      </c>
      <c r="W577" t="s">
        <v>59</v>
      </c>
      <c r="X577">
        <v>7716871971</v>
      </c>
      <c r="Y577">
        <v>773501001</v>
      </c>
      <c r="Z577" s="3">
        <v>45673.173611111109</v>
      </c>
      <c r="AA577" s="6">
        <v>2024</v>
      </c>
      <c r="AB577" s="1">
        <v>45654</v>
      </c>
    </row>
    <row r="578" spans="1:28" x14ac:dyDescent="0.3">
      <c r="A578" t="s">
        <v>1755</v>
      </c>
      <c r="B578" s="6" t="s">
        <v>121</v>
      </c>
      <c r="C578" s="6" t="s">
        <v>122</v>
      </c>
      <c r="D578">
        <v>5402155123</v>
      </c>
      <c r="E578">
        <v>540201001</v>
      </c>
      <c r="F578" t="s">
        <v>94</v>
      </c>
      <c r="G578" t="s">
        <v>1756</v>
      </c>
      <c r="H578" s="1">
        <v>45632</v>
      </c>
      <c r="I578" t="s">
        <v>2181</v>
      </c>
      <c r="J578" s="8">
        <v>45643</v>
      </c>
      <c r="K578" s="1" t="s">
        <v>1479</v>
      </c>
      <c r="L578" t="s">
        <v>2386</v>
      </c>
      <c r="M578" t="s">
        <v>2387</v>
      </c>
      <c r="N578" s="2">
        <v>2964000</v>
      </c>
      <c r="O578" t="s">
        <v>440</v>
      </c>
      <c r="P578" s="6" t="s">
        <v>36</v>
      </c>
      <c r="R578" t="s">
        <v>240</v>
      </c>
      <c r="S578" s="9">
        <v>5200</v>
      </c>
      <c r="T578" s="9">
        <v>570</v>
      </c>
      <c r="U578" s="9">
        <v>2964000</v>
      </c>
      <c r="V578" s="6" t="s">
        <v>1594</v>
      </c>
      <c r="W578" t="s">
        <v>59</v>
      </c>
      <c r="X578">
        <v>7716871971</v>
      </c>
      <c r="Y578">
        <v>773501001</v>
      </c>
      <c r="Z578" s="3">
        <v>45673.165972222225</v>
      </c>
      <c r="AA578" s="6">
        <v>2024</v>
      </c>
      <c r="AB578" s="1">
        <v>45654</v>
      </c>
    </row>
    <row r="579" spans="1:28" x14ac:dyDescent="0.3">
      <c r="A579" t="s">
        <v>1755</v>
      </c>
      <c r="B579" s="6" t="s">
        <v>121</v>
      </c>
      <c r="C579" s="6" t="s">
        <v>122</v>
      </c>
      <c r="D579">
        <v>5402155123</v>
      </c>
      <c r="E579">
        <v>540201001</v>
      </c>
      <c r="F579" t="s">
        <v>94</v>
      </c>
      <c r="G579" t="s">
        <v>1756</v>
      </c>
      <c r="H579" s="1">
        <v>45632</v>
      </c>
      <c r="I579" t="s">
        <v>2181</v>
      </c>
      <c r="J579" s="8">
        <v>45643</v>
      </c>
      <c r="K579" s="1" t="s">
        <v>1479</v>
      </c>
      <c r="L579" t="s">
        <v>2388</v>
      </c>
      <c r="M579" t="s">
        <v>2389</v>
      </c>
      <c r="N579" s="2">
        <v>2964000</v>
      </c>
      <c r="O579" t="s">
        <v>440</v>
      </c>
      <c r="P579" s="6" t="s">
        <v>36</v>
      </c>
      <c r="R579" t="s">
        <v>240</v>
      </c>
      <c r="S579" s="9">
        <v>5200</v>
      </c>
      <c r="T579" s="9">
        <v>570</v>
      </c>
      <c r="U579" s="9">
        <v>2964000</v>
      </c>
      <c r="V579" s="6" t="s">
        <v>1594</v>
      </c>
      <c r="W579" t="s">
        <v>59</v>
      </c>
      <c r="X579">
        <v>7716871971</v>
      </c>
      <c r="Y579">
        <v>773501001</v>
      </c>
      <c r="Z579" s="3">
        <v>45673.165277777778</v>
      </c>
      <c r="AA579" s="6">
        <v>2024</v>
      </c>
      <c r="AB579" s="1">
        <v>45654</v>
      </c>
    </row>
    <row r="580" spans="1:28" x14ac:dyDescent="0.3">
      <c r="A580" t="s">
        <v>1755</v>
      </c>
      <c r="B580" s="6" t="s">
        <v>121</v>
      </c>
      <c r="C580" s="6" t="s">
        <v>122</v>
      </c>
      <c r="D580">
        <v>5402155123</v>
      </c>
      <c r="E580">
        <v>540201001</v>
      </c>
      <c r="F580" t="s">
        <v>94</v>
      </c>
      <c r="G580" t="s">
        <v>1756</v>
      </c>
      <c r="H580" s="1">
        <v>45632</v>
      </c>
      <c r="I580" t="s">
        <v>2181</v>
      </c>
      <c r="J580" s="8">
        <v>45643</v>
      </c>
      <c r="K580" s="1" t="s">
        <v>1479</v>
      </c>
      <c r="L580" t="s">
        <v>2390</v>
      </c>
      <c r="M580" t="s">
        <v>2391</v>
      </c>
      <c r="N580" s="2">
        <v>2964000</v>
      </c>
      <c r="O580" t="s">
        <v>440</v>
      </c>
      <c r="P580" s="6" t="s">
        <v>36</v>
      </c>
      <c r="R580" t="s">
        <v>240</v>
      </c>
      <c r="S580" s="9">
        <v>5200</v>
      </c>
      <c r="T580" s="9">
        <v>570</v>
      </c>
      <c r="U580" s="9">
        <v>2964000</v>
      </c>
      <c r="V580" s="6" t="s">
        <v>1594</v>
      </c>
      <c r="W580" t="s">
        <v>59</v>
      </c>
      <c r="X580">
        <v>7716871971</v>
      </c>
      <c r="Y580">
        <v>773501001</v>
      </c>
      <c r="Z580" s="3">
        <v>45673.17291666667</v>
      </c>
      <c r="AA580" s="6">
        <v>2024</v>
      </c>
      <c r="AB580" s="1">
        <v>45654</v>
      </c>
    </row>
    <row r="581" spans="1:28" x14ac:dyDescent="0.3">
      <c r="A581" t="s">
        <v>2368</v>
      </c>
      <c r="B581" s="6" t="s">
        <v>121</v>
      </c>
      <c r="C581" s="6" t="s">
        <v>122</v>
      </c>
      <c r="D581">
        <v>5402155123</v>
      </c>
      <c r="E581">
        <v>540201001</v>
      </c>
      <c r="F581" t="s">
        <v>94</v>
      </c>
      <c r="G581" t="s">
        <v>2369</v>
      </c>
      <c r="H581" s="1">
        <v>45632</v>
      </c>
      <c r="I581" t="s">
        <v>2181</v>
      </c>
      <c r="J581" s="8">
        <v>45643</v>
      </c>
      <c r="K581" s="1" t="s">
        <v>1479</v>
      </c>
      <c r="L581" t="s">
        <v>2392</v>
      </c>
      <c r="M581" t="s">
        <v>2393</v>
      </c>
      <c r="N581" s="2">
        <v>2860000</v>
      </c>
      <c r="O581" t="s">
        <v>440</v>
      </c>
      <c r="P581" s="6" t="s">
        <v>36</v>
      </c>
      <c r="R581" t="s">
        <v>240</v>
      </c>
      <c r="S581" s="9">
        <v>5200</v>
      </c>
      <c r="T581" s="9">
        <v>550</v>
      </c>
      <c r="U581" s="9">
        <v>2860000</v>
      </c>
      <c r="V581" s="6" t="s">
        <v>1594</v>
      </c>
      <c r="W581" t="s">
        <v>59</v>
      </c>
      <c r="X581">
        <v>7716871971</v>
      </c>
      <c r="Y581">
        <v>773501001</v>
      </c>
      <c r="Z581" s="3">
        <v>45673.165972222225</v>
      </c>
      <c r="AA581" s="6">
        <v>2024</v>
      </c>
      <c r="AB581" s="1">
        <v>45654</v>
      </c>
    </row>
    <row r="582" spans="1:28" x14ac:dyDescent="0.3">
      <c r="A582" t="s">
        <v>2368</v>
      </c>
      <c r="B582" s="6" t="s">
        <v>121</v>
      </c>
      <c r="C582" s="6" t="s">
        <v>122</v>
      </c>
      <c r="D582">
        <v>5402155123</v>
      </c>
      <c r="E582">
        <v>540201001</v>
      </c>
      <c r="F582" t="s">
        <v>94</v>
      </c>
      <c r="G582" t="s">
        <v>2369</v>
      </c>
      <c r="H582" s="1">
        <v>45632</v>
      </c>
      <c r="I582" t="s">
        <v>2181</v>
      </c>
      <c r="J582" s="8">
        <v>45643</v>
      </c>
      <c r="K582" s="1" t="s">
        <v>1479</v>
      </c>
      <c r="L582" t="s">
        <v>2394</v>
      </c>
      <c r="M582" t="s">
        <v>2395</v>
      </c>
      <c r="N582" s="2">
        <v>2860000</v>
      </c>
      <c r="O582" t="s">
        <v>440</v>
      </c>
      <c r="P582" s="6" t="s">
        <v>36</v>
      </c>
      <c r="R582" t="s">
        <v>240</v>
      </c>
      <c r="S582" s="9">
        <v>5200</v>
      </c>
      <c r="T582" s="9">
        <v>550</v>
      </c>
      <c r="U582" s="9">
        <v>2860000</v>
      </c>
      <c r="V582" s="6" t="s">
        <v>1594</v>
      </c>
      <c r="W582" t="s">
        <v>59</v>
      </c>
      <c r="X582">
        <v>7716871971</v>
      </c>
      <c r="Y582">
        <v>773501001</v>
      </c>
      <c r="Z582" s="3">
        <v>45673.17291666667</v>
      </c>
      <c r="AA582" s="6">
        <v>2024</v>
      </c>
      <c r="AB582" s="1">
        <v>45654</v>
      </c>
    </row>
    <row r="583" spans="1:28" x14ac:dyDescent="0.3">
      <c r="A583" t="s">
        <v>1755</v>
      </c>
      <c r="B583" s="6" t="s">
        <v>121</v>
      </c>
      <c r="C583" s="6" t="s">
        <v>122</v>
      </c>
      <c r="D583">
        <v>5402155123</v>
      </c>
      <c r="E583">
        <v>540201001</v>
      </c>
      <c r="F583" t="s">
        <v>94</v>
      </c>
      <c r="G583" t="s">
        <v>1756</v>
      </c>
      <c r="H583" s="1">
        <v>45632</v>
      </c>
      <c r="I583" t="s">
        <v>2181</v>
      </c>
      <c r="J583" s="8">
        <v>45643</v>
      </c>
      <c r="K583" s="1" t="s">
        <v>1479</v>
      </c>
      <c r="L583" t="s">
        <v>2396</v>
      </c>
      <c r="M583" t="s">
        <v>2397</v>
      </c>
      <c r="N583" s="2">
        <v>2964000</v>
      </c>
      <c r="O583" t="s">
        <v>440</v>
      </c>
      <c r="P583" s="6" t="s">
        <v>36</v>
      </c>
      <c r="R583" t="s">
        <v>240</v>
      </c>
      <c r="S583" s="9">
        <v>5200</v>
      </c>
      <c r="T583" s="9">
        <v>570</v>
      </c>
      <c r="U583" s="9">
        <v>2964000</v>
      </c>
      <c r="V583" s="6" t="s">
        <v>1594</v>
      </c>
      <c r="W583" t="s">
        <v>59</v>
      </c>
      <c r="X583">
        <v>7716871971</v>
      </c>
      <c r="Y583">
        <v>773501001</v>
      </c>
      <c r="Z583" s="3">
        <v>45673.168749999997</v>
      </c>
      <c r="AA583" s="6">
        <v>2024</v>
      </c>
      <c r="AB583" s="1">
        <v>45654</v>
      </c>
    </row>
    <row r="584" spans="1:28" x14ac:dyDescent="0.3">
      <c r="A584" t="s">
        <v>2368</v>
      </c>
      <c r="B584" s="6" t="s">
        <v>121</v>
      </c>
      <c r="C584" s="6" t="s">
        <v>122</v>
      </c>
      <c r="D584">
        <v>5402155123</v>
      </c>
      <c r="E584">
        <v>540201001</v>
      </c>
      <c r="F584" t="s">
        <v>94</v>
      </c>
      <c r="G584" t="s">
        <v>2369</v>
      </c>
      <c r="H584" s="1">
        <v>45632</v>
      </c>
      <c r="I584" t="s">
        <v>2181</v>
      </c>
      <c r="J584" s="8">
        <v>45643</v>
      </c>
      <c r="K584" s="1" t="s">
        <v>1479</v>
      </c>
      <c r="L584" t="s">
        <v>2398</v>
      </c>
      <c r="M584" t="s">
        <v>2399</v>
      </c>
      <c r="N584" s="2">
        <v>2860000</v>
      </c>
      <c r="O584" t="s">
        <v>440</v>
      </c>
      <c r="P584" s="6" t="s">
        <v>36</v>
      </c>
      <c r="R584" t="s">
        <v>240</v>
      </c>
      <c r="S584" s="9">
        <v>5200</v>
      </c>
      <c r="T584" s="9">
        <v>550</v>
      </c>
      <c r="U584" s="9">
        <v>2860000</v>
      </c>
      <c r="V584" s="6" t="s">
        <v>1594</v>
      </c>
      <c r="W584" t="s">
        <v>59</v>
      </c>
      <c r="X584">
        <v>7716871971</v>
      </c>
      <c r="Y584">
        <v>773501001</v>
      </c>
      <c r="Z584" s="3">
        <v>45673.173611111109</v>
      </c>
      <c r="AA584" s="6">
        <v>2024</v>
      </c>
      <c r="AB584" s="1">
        <v>45654</v>
      </c>
    </row>
    <row r="585" spans="1:28" x14ac:dyDescent="0.3">
      <c r="A585" t="s">
        <v>2400</v>
      </c>
      <c r="B585" s="6" t="s">
        <v>121</v>
      </c>
      <c r="C585" s="6" t="s">
        <v>122</v>
      </c>
      <c r="D585">
        <v>5402155123</v>
      </c>
      <c r="E585">
        <v>540201001</v>
      </c>
      <c r="F585" t="s">
        <v>94</v>
      </c>
      <c r="G585" t="s">
        <v>2401</v>
      </c>
      <c r="H585" s="1">
        <v>45632</v>
      </c>
      <c r="I585" t="s">
        <v>2181</v>
      </c>
      <c r="J585" s="8">
        <v>45643</v>
      </c>
      <c r="K585" s="1" t="s">
        <v>1479</v>
      </c>
      <c r="L585" t="s">
        <v>2402</v>
      </c>
      <c r="M585" t="s">
        <v>2403</v>
      </c>
      <c r="N585" s="2">
        <v>2449200</v>
      </c>
      <c r="O585" t="s">
        <v>440</v>
      </c>
      <c r="P585" s="6" t="s">
        <v>36</v>
      </c>
      <c r="R585" t="s">
        <v>240</v>
      </c>
      <c r="S585" s="9">
        <v>5200</v>
      </c>
      <c r="T585" s="9">
        <v>471</v>
      </c>
      <c r="U585" s="9">
        <v>2449200</v>
      </c>
      <c r="V585" s="6" t="s">
        <v>1594</v>
      </c>
      <c r="W585" t="s">
        <v>59</v>
      </c>
      <c r="X585">
        <v>7716871971</v>
      </c>
      <c r="Y585">
        <v>773501001</v>
      </c>
      <c r="Z585" s="3">
        <v>45673.168055555558</v>
      </c>
      <c r="AA585" s="6">
        <v>2024</v>
      </c>
      <c r="AB585" s="1">
        <v>45654</v>
      </c>
    </row>
    <row r="586" spans="1:28" x14ac:dyDescent="0.3">
      <c r="A586" t="s">
        <v>2404</v>
      </c>
      <c r="B586" s="6" t="s">
        <v>394</v>
      </c>
      <c r="C586" s="6" t="s">
        <v>395</v>
      </c>
      <c r="D586">
        <v>7203000249</v>
      </c>
      <c r="E586">
        <v>720301001</v>
      </c>
      <c r="F586" t="s">
        <v>94</v>
      </c>
      <c r="G586" t="s">
        <v>2405</v>
      </c>
      <c r="H586" s="1">
        <v>45638</v>
      </c>
      <c r="J586" s="8">
        <v>45643</v>
      </c>
      <c r="K586" s="1" t="s">
        <v>1479</v>
      </c>
      <c r="L586" t="s">
        <v>2406</v>
      </c>
      <c r="M586" t="s">
        <v>2407</v>
      </c>
      <c r="N586" s="2">
        <v>7935000</v>
      </c>
      <c r="O586" t="s">
        <v>273</v>
      </c>
      <c r="P586" s="6" t="s">
        <v>36</v>
      </c>
      <c r="R586" t="s">
        <v>240</v>
      </c>
      <c r="S586" s="9">
        <v>5290</v>
      </c>
      <c r="T586" s="9">
        <v>1500</v>
      </c>
      <c r="U586" s="9">
        <v>7935000</v>
      </c>
      <c r="V586" s="6" t="s">
        <v>1954</v>
      </c>
      <c r="W586" t="s">
        <v>402</v>
      </c>
      <c r="X586">
        <v>7203346783</v>
      </c>
      <c r="Y586">
        <v>720301001</v>
      </c>
      <c r="Z586" s="3">
        <v>45652.488194444442</v>
      </c>
      <c r="AA586" s="6">
        <v>2024</v>
      </c>
      <c r="AB586" s="1">
        <v>45688</v>
      </c>
    </row>
    <row r="587" spans="1:28" x14ac:dyDescent="0.3">
      <c r="A587" t="s">
        <v>2408</v>
      </c>
      <c r="B587" s="6" t="s">
        <v>92</v>
      </c>
      <c r="C587" s="6" t="s">
        <v>93</v>
      </c>
      <c r="D587">
        <v>4501024659</v>
      </c>
      <c r="E587">
        <v>450101001</v>
      </c>
      <c r="F587" t="s">
        <v>94</v>
      </c>
      <c r="G587" t="s">
        <v>2409</v>
      </c>
      <c r="H587" s="1">
        <v>45638</v>
      </c>
      <c r="I587" t="s">
        <v>2410</v>
      </c>
      <c r="J587" s="8">
        <v>45643</v>
      </c>
      <c r="K587" s="1" t="s">
        <v>1479</v>
      </c>
      <c r="L587" t="s">
        <v>2409</v>
      </c>
      <c r="M587" t="s">
        <v>2411</v>
      </c>
      <c r="N587" s="2">
        <v>9254500</v>
      </c>
      <c r="O587" t="s">
        <v>494</v>
      </c>
      <c r="P587" s="6" t="s">
        <v>36</v>
      </c>
      <c r="R587" t="s">
        <v>38</v>
      </c>
      <c r="S587" s="9">
        <v>4150</v>
      </c>
      <c r="T587" s="9">
        <v>2230</v>
      </c>
      <c r="U587" s="9">
        <v>9254500</v>
      </c>
      <c r="V587" s="6" t="s">
        <v>39</v>
      </c>
      <c r="W587" t="s">
        <v>40</v>
      </c>
      <c r="X587">
        <v>7810687137</v>
      </c>
      <c r="Y587">
        <v>781401001</v>
      </c>
      <c r="Z587" s="3">
        <v>45654.388888888891</v>
      </c>
      <c r="AA587" s="6">
        <v>2024</v>
      </c>
      <c r="AB587" s="1">
        <v>45716</v>
      </c>
    </row>
    <row r="588" spans="1:28" x14ac:dyDescent="0.3">
      <c r="A588" t="s">
        <v>2412</v>
      </c>
      <c r="B588" s="6" t="s">
        <v>2413</v>
      </c>
      <c r="C588" s="6" t="s">
        <v>731</v>
      </c>
      <c r="D588">
        <v>5803015684</v>
      </c>
      <c r="E588">
        <v>580301001</v>
      </c>
      <c r="F588" t="s">
        <v>149</v>
      </c>
      <c r="G588" t="s">
        <v>2414</v>
      </c>
      <c r="H588" s="1">
        <v>45638</v>
      </c>
      <c r="J588" s="8">
        <v>45643</v>
      </c>
      <c r="K588" s="1" t="s">
        <v>1479</v>
      </c>
      <c r="L588" t="s">
        <v>2414</v>
      </c>
      <c r="M588" t="s">
        <v>273</v>
      </c>
      <c r="N588" s="2">
        <v>2070600</v>
      </c>
      <c r="O588" t="s">
        <v>273</v>
      </c>
      <c r="P588" s="6" t="s">
        <v>36</v>
      </c>
      <c r="R588" t="s">
        <v>240</v>
      </c>
      <c r="S588" s="9">
        <v>5100</v>
      </c>
      <c r="T588" s="9">
        <v>406</v>
      </c>
      <c r="U588" s="9">
        <v>2070600</v>
      </c>
      <c r="V588" s="6" t="s">
        <v>58</v>
      </c>
      <c r="W588" t="s">
        <v>59</v>
      </c>
      <c r="X588">
        <v>5262222144</v>
      </c>
      <c r="Y588">
        <v>526201001</v>
      </c>
      <c r="Z588" s="3">
        <v>45653.40625</v>
      </c>
      <c r="AA588" s="6">
        <v>2024</v>
      </c>
      <c r="AB588" s="1">
        <v>45657</v>
      </c>
    </row>
    <row r="589" spans="1:28" x14ac:dyDescent="0.3">
      <c r="A589" t="s">
        <v>2415</v>
      </c>
      <c r="B589" s="6" t="s">
        <v>220</v>
      </c>
      <c r="C589" s="6" t="s">
        <v>221</v>
      </c>
      <c r="D589">
        <v>5024068656</v>
      </c>
      <c r="E589">
        <v>502401001</v>
      </c>
      <c r="F589" t="s">
        <v>94</v>
      </c>
      <c r="G589" t="s">
        <v>2416</v>
      </c>
      <c r="H589" s="1">
        <v>45638</v>
      </c>
      <c r="J589" s="8">
        <v>45643</v>
      </c>
      <c r="K589" s="1" t="s">
        <v>1479</v>
      </c>
      <c r="L589" t="s">
        <v>2416</v>
      </c>
      <c r="M589" t="s">
        <v>2417</v>
      </c>
      <c r="N589" s="2">
        <v>410000</v>
      </c>
      <c r="O589" t="s">
        <v>494</v>
      </c>
      <c r="P589" s="6" t="s">
        <v>36</v>
      </c>
      <c r="R589" t="s">
        <v>38</v>
      </c>
      <c r="S589" s="9">
        <v>5000</v>
      </c>
      <c r="T589" s="9">
        <v>82</v>
      </c>
      <c r="U589" s="9">
        <v>410000</v>
      </c>
      <c r="V589" s="6" t="s">
        <v>128</v>
      </c>
      <c r="W589" t="s">
        <v>129</v>
      </c>
      <c r="X589">
        <v>274110679</v>
      </c>
      <c r="Y589">
        <v>500801001</v>
      </c>
      <c r="Z589" s="3">
        <v>45644.443055555559</v>
      </c>
      <c r="AA589" s="6">
        <v>2024</v>
      </c>
      <c r="AB589" s="1">
        <v>45705</v>
      </c>
    </row>
    <row r="590" spans="1:28" x14ac:dyDescent="0.3">
      <c r="A590" t="s">
        <v>2418</v>
      </c>
      <c r="B590" s="6" t="s">
        <v>516</v>
      </c>
      <c r="C590" s="6" t="s">
        <v>517</v>
      </c>
      <c r="D590">
        <v>9204023281</v>
      </c>
      <c r="E590">
        <v>920401001</v>
      </c>
      <c r="F590" t="s">
        <v>94</v>
      </c>
      <c r="G590" t="s">
        <v>2419</v>
      </c>
      <c r="H590" s="1">
        <v>45638</v>
      </c>
      <c r="I590" t="s">
        <v>2420</v>
      </c>
      <c r="J590" s="8">
        <v>45643</v>
      </c>
      <c r="K590" s="1" t="s">
        <v>1479</v>
      </c>
      <c r="L590" t="s">
        <v>2419</v>
      </c>
      <c r="M590" t="s">
        <v>2421</v>
      </c>
      <c r="N590" s="2">
        <v>6385500</v>
      </c>
      <c r="O590" t="s">
        <v>377</v>
      </c>
      <c r="P590" s="6" t="s">
        <v>1814</v>
      </c>
      <c r="Q590" t="s">
        <v>1993</v>
      </c>
      <c r="R590" t="s">
        <v>240</v>
      </c>
      <c r="S590" s="9">
        <v>4300</v>
      </c>
      <c r="T590" s="9">
        <v>1485</v>
      </c>
      <c r="U590" s="9">
        <v>6385500</v>
      </c>
      <c r="V590" s="6" t="s">
        <v>39</v>
      </c>
      <c r="W590" t="s">
        <v>40</v>
      </c>
      <c r="X590">
        <v>7810687137</v>
      </c>
      <c r="Y590">
        <v>781401001</v>
      </c>
      <c r="Z590" s="3">
        <v>45667.511805555558</v>
      </c>
      <c r="AA590" s="6">
        <v>2024</v>
      </c>
      <c r="AB590" s="1">
        <v>45646</v>
      </c>
    </row>
    <row r="591" spans="1:28" x14ac:dyDescent="0.3">
      <c r="A591" t="s">
        <v>2422</v>
      </c>
      <c r="B591" s="6" t="s">
        <v>472</v>
      </c>
      <c r="C591" s="6" t="s">
        <v>473</v>
      </c>
      <c r="D591">
        <v>3729010595</v>
      </c>
      <c r="E591">
        <v>370201001</v>
      </c>
      <c r="F591" t="s">
        <v>94</v>
      </c>
      <c r="G591" t="s">
        <v>2423</v>
      </c>
      <c r="H591" s="1">
        <v>45638</v>
      </c>
      <c r="I591" t="s">
        <v>2420</v>
      </c>
      <c r="J591" s="8">
        <v>45643</v>
      </c>
      <c r="K591" s="1" t="s">
        <v>1479</v>
      </c>
      <c r="L591" t="s">
        <v>2423</v>
      </c>
      <c r="M591" t="s">
        <v>2424</v>
      </c>
      <c r="N591" s="2">
        <v>4792450</v>
      </c>
      <c r="O591" t="s">
        <v>494</v>
      </c>
      <c r="P591" s="6" t="s">
        <v>36</v>
      </c>
      <c r="R591" t="s">
        <v>38</v>
      </c>
      <c r="S591" s="9">
        <v>5050</v>
      </c>
      <c r="T591" s="9">
        <v>949</v>
      </c>
      <c r="U591" s="9">
        <v>4792450</v>
      </c>
      <c r="V591" s="6" t="s">
        <v>58</v>
      </c>
      <c r="W591" t="s">
        <v>59</v>
      </c>
      <c r="X591">
        <v>5262222144</v>
      </c>
      <c r="Y591">
        <v>526201001</v>
      </c>
      <c r="Z591" s="3">
        <v>45652.722916666666</v>
      </c>
      <c r="AA591" s="6">
        <v>2024</v>
      </c>
      <c r="AB591" s="1">
        <v>45654</v>
      </c>
    </row>
    <row r="592" spans="1:28" x14ac:dyDescent="0.3">
      <c r="A592" t="s">
        <v>2425</v>
      </c>
      <c r="B592" s="6" t="s">
        <v>2353</v>
      </c>
      <c r="C592" s="6" t="s">
        <v>2354</v>
      </c>
      <c r="D592">
        <v>2801123720</v>
      </c>
      <c r="E592">
        <v>280101001</v>
      </c>
      <c r="F592" t="s">
        <v>94</v>
      </c>
      <c r="G592" t="s">
        <v>2426</v>
      </c>
      <c r="H592" s="1">
        <v>45638</v>
      </c>
      <c r="J592" s="8">
        <v>45643</v>
      </c>
      <c r="K592" s="1" t="s">
        <v>1479</v>
      </c>
      <c r="L592">
        <v>837</v>
      </c>
      <c r="M592" t="s">
        <v>2427</v>
      </c>
      <c r="N592" s="2">
        <v>7717140</v>
      </c>
      <c r="O592" t="s">
        <v>1881</v>
      </c>
      <c r="P592" s="6" t="s">
        <v>36</v>
      </c>
      <c r="Q592" t="s">
        <v>37</v>
      </c>
      <c r="R592" t="s">
        <v>38</v>
      </c>
      <c r="S592" s="9">
        <v>4149</v>
      </c>
      <c r="T592" s="9">
        <v>930</v>
      </c>
      <c r="U592" s="9">
        <v>3858570</v>
      </c>
      <c r="V592" s="6" t="s">
        <v>90</v>
      </c>
      <c r="W592" t="s">
        <v>59</v>
      </c>
      <c r="X592">
        <v>5259153331</v>
      </c>
      <c r="Y592">
        <v>525901001</v>
      </c>
      <c r="Z592" s="3">
        <v>45671.140277777777</v>
      </c>
      <c r="AA592" s="6">
        <v>2024</v>
      </c>
      <c r="AB592" s="1">
        <v>45673</v>
      </c>
    </row>
    <row r="593" spans="1:28" x14ac:dyDescent="0.3">
      <c r="A593" t="s">
        <v>2425</v>
      </c>
      <c r="B593" s="6" t="s">
        <v>2353</v>
      </c>
      <c r="C593" s="6" t="s">
        <v>2354</v>
      </c>
      <c r="D593">
        <v>2801123720</v>
      </c>
      <c r="E593">
        <v>280101001</v>
      </c>
      <c r="F593" t="s">
        <v>94</v>
      </c>
      <c r="G593" t="s">
        <v>2426</v>
      </c>
      <c r="H593" s="1">
        <v>45638</v>
      </c>
      <c r="J593" s="8">
        <v>45643</v>
      </c>
      <c r="K593" s="1" t="s">
        <v>1479</v>
      </c>
      <c r="L593">
        <v>837</v>
      </c>
      <c r="M593" t="s">
        <v>2427</v>
      </c>
      <c r="N593" s="2">
        <v>7717140</v>
      </c>
      <c r="O593" t="s">
        <v>494</v>
      </c>
      <c r="P593" s="6" t="s">
        <v>36</v>
      </c>
      <c r="Q593" t="s">
        <v>37</v>
      </c>
      <c r="R593" t="s">
        <v>38</v>
      </c>
      <c r="S593" s="9">
        <v>4149</v>
      </c>
      <c r="T593" s="9">
        <v>930</v>
      </c>
      <c r="U593" s="9">
        <v>3858570</v>
      </c>
      <c r="V593" s="6" t="s">
        <v>90</v>
      </c>
      <c r="W593" t="s">
        <v>59</v>
      </c>
      <c r="X593">
        <v>5259153331</v>
      </c>
      <c r="Y593">
        <v>525901001</v>
      </c>
      <c r="Z593" s="3">
        <v>45671.140277777777</v>
      </c>
      <c r="AA593" s="6">
        <v>2024</v>
      </c>
      <c r="AB593" s="1">
        <v>45673</v>
      </c>
    </row>
    <row r="594" spans="1:28" x14ac:dyDescent="0.3">
      <c r="A594" s="4" t="s">
        <v>2428</v>
      </c>
      <c r="B594" s="6" t="s">
        <v>997</v>
      </c>
      <c r="C594" s="6" t="s">
        <v>336</v>
      </c>
      <c r="D594">
        <v>5905061070</v>
      </c>
      <c r="E594">
        <v>590501001</v>
      </c>
      <c r="F594" t="s">
        <v>149</v>
      </c>
      <c r="G594" t="s">
        <v>2429</v>
      </c>
      <c r="H594" s="1">
        <v>45638</v>
      </c>
      <c r="J594" s="8">
        <v>45643</v>
      </c>
      <c r="K594" s="1" t="s">
        <v>1479</v>
      </c>
      <c r="L594" t="s">
        <v>2430</v>
      </c>
      <c r="M594" t="s">
        <v>377</v>
      </c>
      <c r="N594" s="2">
        <v>2998800</v>
      </c>
      <c r="O594" t="s">
        <v>1912</v>
      </c>
      <c r="P594" s="6" t="s">
        <v>891</v>
      </c>
      <c r="Q594" t="s">
        <v>37</v>
      </c>
      <c r="R594" t="s">
        <v>38</v>
      </c>
      <c r="S594" s="9">
        <v>5880</v>
      </c>
      <c r="T594" s="9">
        <v>510</v>
      </c>
      <c r="U594" s="9">
        <v>2998800</v>
      </c>
      <c r="V594" s="6" t="s">
        <v>1456</v>
      </c>
      <c r="W594" t="s">
        <v>59</v>
      </c>
      <c r="X594">
        <v>6658399963</v>
      </c>
      <c r="Y594">
        <v>665801001</v>
      </c>
      <c r="Z594" s="3">
        <v>45653.357638888891</v>
      </c>
      <c r="AA594" s="6">
        <v>2024</v>
      </c>
      <c r="AB594" s="1">
        <v>45673</v>
      </c>
    </row>
    <row r="595" spans="1:28" x14ac:dyDescent="0.3">
      <c r="A595" t="s">
        <v>2431</v>
      </c>
      <c r="B595" s="6" t="s">
        <v>2432</v>
      </c>
      <c r="C595" s="6" t="s">
        <v>479</v>
      </c>
      <c r="D595">
        <v>5505013642</v>
      </c>
      <c r="E595">
        <v>550501001</v>
      </c>
      <c r="F595" t="s">
        <v>149</v>
      </c>
      <c r="G595" t="s">
        <v>2433</v>
      </c>
      <c r="H595" s="1">
        <v>45639</v>
      </c>
      <c r="J595" s="8">
        <v>45644</v>
      </c>
      <c r="K595" s="1" t="s">
        <v>1479</v>
      </c>
      <c r="L595" t="s">
        <v>2434</v>
      </c>
      <c r="M595" t="s">
        <v>273</v>
      </c>
      <c r="N595" s="2">
        <v>4304400</v>
      </c>
      <c r="O595" t="s">
        <v>273</v>
      </c>
      <c r="P595" s="6" t="s">
        <v>36</v>
      </c>
      <c r="R595" t="s">
        <v>240</v>
      </c>
      <c r="S595" s="9">
        <v>5100</v>
      </c>
      <c r="T595" s="9">
        <v>844</v>
      </c>
      <c r="U595" s="9">
        <v>4304400</v>
      </c>
      <c r="V595" s="6" t="s">
        <v>2435</v>
      </c>
      <c r="W595" t="s">
        <v>59</v>
      </c>
      <c r="X595">
        <v>5501217490</v>
      </c>
      <c r="Y595">
        <v>550101001</v>
      </c>
      <c r="Z595" s="3">
        <v>45667.482638888891</v>
      </c>
      <c r="AA595" s="6">
        <v>2024</v>
      </c>
      <c r="AB595" s="1">
        <v>45657</v>
      </c>
    </row>
    <row r="596" spans="1:28" x14ac:dyDescent="0.3">
      <c r="A596" t="s">
        <v>2436</v>
      </c>
      <c r="B596" s="6" t="s">
        <v>2432</v>
      </c>
      <c r="C596" s="6" t="s">
        <v>479</v>
      </c>
      <c r="D596">
        <v>5505013642</v>
      </c>
      <c r="E596">
        <v>550501001</v>
      </c>
      <c r="F596" t="s">
        <v>149</v>
      </c>
      <c r="G596" t="s">
        <v>2437</v>
      </c>
      <c r="H596" s="1">
        <v>45639</v>
      </c>
      <c r="J596" s="8">
        <v>45644</v>
      </c>
      <c r="K596" s="1" t="s">
        <v>1479</v>
      </c>
      <c r="L596" t="s">
        <v>2438</v>
      </c>
      <c r="M596" t="s">
        <v>273</v>
      </c>
      <c r="N596" s="2">
        <v>4080000</v>
      </c>
      <c r="O596" t="s">
        <v>273</v>
      </c>
      <c r="P596" s="6" t="s">
        <v>36</v>
      </c>
      <c r="R596" t="s">
        <v>240</v>
      </c>
      <c r="S596" s="9">
        <v>5100</v>
      </c>
      <c r="T596" s="9">
        <v>800</v>
      </c>
      <c r="U596" s="9">
        <v>4080000</v>
      </c>
      <c r="V596" s="6" t="s">
        <v>2435</v>
      </c>
      <c r="W596" t="s">
        <v>59</v>
      </c>
      <c r="X596">
        <v>5501217490</v>
      </c>
      <c r="Y596">
        <v>550101001</v>
      </c>
      <c r="Z596" s="3">
        <v>45667.479166666664</v>
      </c>
      <c r="AA596" s="6">
        <v>2024</v>
      </c>
      <c r="AB596" s="1">
        <v>45657</v>
      </c>
    </row>
    <row r="597" spans="1:28" x14ac:dyDescent="0.3">
      <c r="A597" t="s">
        <v>2439</v>
      </c>
      <c r="B597" s="6" t="s">
        <v>2440</v>
      </c>
      <c r="C597" s="6" t="s">
        <v>1030</v>
      </c>
      <c r="D597">
        <v>7536120581</v>
      </c>
      <c r="E597">
        <v>753601001</v>
      </c>
      <c r="F597" t="s">
        <v>94</v>
      </c>
      <c r="G597" t="s">
        <v>2441</v>
      </c>
      <c r="H597" s="1">
        <v>45639</v>
      </c>
      <c r="I597" t="s">
        <v>2442</v>
      </c>
      <c r="J597" s="8">
        <v>45644</v>
      </c>
      <c r="K597" s="1" t="s">
        <v>1479</v>
      </c>
      <c r="L597" t="s">
        <v>2443</v>
      </c>
      <c r="M597" t="s">
        <v>2444</v>
      </c>
      <c r="N597" s="2">
        <v>5278000</v>
      </c>
      <c r="O597" t="s">
        <v>440</v>
      </c>
      <c r="P597" s="6" t="s">
        <v>36</v>
      </c>
      <c r="R597" t="s">
        <v>240</v>
      </c>
      <c r="S597" s="9">
        <v>5200</v>
      </c>
      <c r="T597" s="9">
        <v>1015</v>
      </c>
      <c r="U597" s="9">
        <v>5278000</v>
      </c>
      <c r="V597" s="6" t="s">
        <v>111</v>
      </c>
      <c r="W597" t="s">
        <v>59</v>
      </c>
      <c r="X597">
        <v>5262258091</v>
      </c>
      <c r="Y597">
        <v>526201001</v>
      </c>
      <c r="Z597" s="3">
        <v>45653.385416666664</v>
      </c>
      <c r="AA597" s="6">
        <v>2024</v>
      </c>
      <c r="AB597" s="1">
        <v>45657</v>
      </c>
    </row>
    <row r="598" spans="1:28" x14ac:dyDescent="0.3">
      <c r="A598" t="s">
        <v>2445</v>
      </c>
      <c r="B598" s="6" t="s">
        <v>2446</v>
      </c>
      <c r="C598" s="6" t="s">
        <v>479</v>
      </c>
      <c r="D598">
        <v>5503031300</v>
      </c>
      <c r="E598">
        <v>550301001</v>
      </c>
      <c r="F598" t="s">
        <v>149</v>
      </c>
      <c r="G598" t="s">
        <v>2447</v>
      </c>
      <c r="H598" s="1">
        <v>45639</v>
      </c>
      <c r="I598" t="s">
        <v>2448</v>
      </c>
      <c r="J598" s="8">
        <v>45644</v>
      </c>
      <c r="K598" s="1" t="s">
        <v>1479</v>
      </c>
      <c r="L598" t="s">
        <v>2449</v>
      </c>
      <c r="M598" t="s">
        <v>2450</v>
      </c>
      <c r="N598" s="2">
        <v>4901100</v>
      </c>
      <c r="O598" t="s">
        <v>273</v>
      </c>
      <c r="P598" s="6" t="s">
        <v>36</v>
      </c>
      <c r="Q598" t="s">
        <v>1993</v>
      </c>
      <c r="R598" t="s">
        <v>240</v>
      </c>
      <c r="S598" s="9">
        <v>5100</v>
      </c>
      <c r="T598" s="9">
        <v>961</v>
      </c>
      <c r="U598" s="9">
        <v>4901100</v>
      </c>
      <c r="V598" s="6" t="s">
        <v>2435</v>
      </c>
      <c r="W598" t="s">
        <v>59</v>
      </c>
      <c r="X598">
        <v>5501217490</v>
      </c>
      <c r="Y598">
        <v>550101001</v>
      </c>
      <c r="Z598" s="3">
        <v>45653.197222222225</v>
      </c>
      <c r="AA598" s="6">
        <v>2024</v>
      </c>
      <c r="AB598" s="1">
        <v>45657</v>
      </c>
    </row>
    <row r="599" spans="1:28" x14ac:dyDescent="0.3">
      <c r="A599" t="s">
        <v>2192</v>
      </c>
      <c r="B599" s="6" t="s">
        <v>2446</v>
      </c>
      <c r="C599" s="6" t="s">
        <v>479</v>
      </c>
      <c r="D599">
        <v>5503031300</v>
      </c>
      <c r="E599">
        <v>550301001</v>
      </c>
      <c r="F599" t="s">
        <v>149</v>
      </c>
      <c r="G599" t="s">
        <v>2193</v>
      </c>
      <c r="H599" s="1">
        <v>45639</v>
      </c>
      <c r="I599" t="s">
        <v>2451</v>
      </c>
      <c r="J599" s="8">
        <v>45644</v>
      </c>
      <c r="K599" s="1" t="s">
        <v>1479</v>
      </c>
      <c r="L599" t="s">
        <v>2452</v>
      </c>
      <c r="M599" t="s">
        <v>2453</v>
      </c>
      <c r="N599" s="2">
        <v>4998000</v>
      </c>
      <c r="O599" t="s">
        <v>273</v>
      </c>
      <c r="P599" s="6" t="s">
        <v>36</v>
      </c>
      <c r="Q599" t="s">
        <v>1993</v>
      </c>
      <c r="R599" t="s">
        <v>240</v>
      </c>
      <c r="S599" s="9">
        <v>5100</v>
      </c>
      <c r="T599" s="9">
        <v>980</v>
      </c>
      <c r="U599" s="9">
        <v>4998000</v>
      </c>
      <c r="V599" s="6" t="s">
        <v>2435</v>
      </c>
      <c r="W599" t="s">
        <v>59</v>
      </c>
      <c r="X599">
        <v>5501217490</v>
      </c>
      <c r="Y599">
        <v>550101001</v>
      </c>
      <c r="Z599" s="3">
        <v>45653.195833333331</v>
      </c>
      <c r="AA599" s="6">
        <v>2024</v>
      </c>
      <c r="AB599" s="1">
        <v>45657</v>
      </c>
    </row>
    <row r="600" spans="1:28" x14ac:dyDescent="0.3">
      <c r="A600" t="s">
        <v>2361</v>
      </c>
      <c r="B600" s="6" t="s">
        <v>1399</v>
      </c>
      <c r="C600" s="6" t="s">
        <v>93</v>
      </c>
      <c r="D600">
        <v>4501025099</v>
      </c>
      <c r="E600">
        <v>450101001</v>
      </c>
      <c r="F600" t="s">
        <v>149</v>
      </c>
      <c r="G600" t="s">
        <v>2362</v>
      </c>
      <c r="H600" s="1">
        <v>45639</v>
      </c>
      <c r="J600" s="8">
        <v>45644</v>
      </c>
      <c r="K600" s="1" t="s">
        <v>1479</v>
      </c>
      <c r="L600" t="s">
        <v>2454</v>
      </c>
      <c r="M600" t="s">
        <v>273</v>
      </c>
      <c r="N600" s="2">
        <v>4895903.7</v>
      </c>
      <c r="O600" t="s">
        <v>273</v>
      </c>
      <c r="P600" s="6" t="s">
        <v>36</v>
      </c>
      <c r="R600" t="s">
        <v>240</v>
      </c>
      <c r="S600" s="9">
        <v>5197.3500000000004</v>
      </c>
      <c r="T600" s="9">
        <v>942</v>
      </c>
      <c r="U600" s="9">
        <v>4895903.7</v>
      </c>
      <c r="V600" s="6" t="s">
        <v>39</v>
      </c>
      <c r="W600" t="s">
        <v>40</v>
      </c>
      <c r="X600">
        <v>7810687137</v>
      </c>
      <c r="Y600">
        <v>781401001</v>
      </c>
      <c r="Z600" s="3">
        <v>45655.168749999997</v>
      </c>
      <c r="AA600" s="6">
        <v>2024</v>
      </c>
      <c r="AB600" s="1">
        <v>45747</v>
      </c>
    </row>
    <row r="601" spans="1:28" x14ac:dyDescent="0.3">
      <c r="A601" t="s">
        <v>2455</v>
      </c>
      <c r="B601" s="6" t="s">
        <v>657</v>
      </c>
      <c r="C601" s="6" t="s">
        <v>658</v>
      </c>
      <c r="D601">
        <v>3015068159</v>
      </c>
      <c r="E601">
        <v>301601001</v>
      </c>
      <c r="F601" t="s">
        <v>94</v>
      </c>
      <c r="G601" t="s">
        <v>2456</v>
      </c>
      <c r="H601" s="1">
        <v>45639</v>
      </c>
      <c r="I601" t="s">
        <v>2442</v>
      </c>
      <c r="J601" s="8">
        <v>45644</v>
      </c>
      <c r="K601" s="1" t="s">
        <v>1479</v>
      </c>
      <c r="L601" t="s">
        <v>2457</v>
      </c>
      <c r="M601" t="s">
        <v>416</v>
      </c>
      <c r="N601" s="2">
        <v>6600000</v>
      </c>
      <c r="O601" t="s">
        <v>2458</v>
      </c>
      <c r="P601" s="6" t="s">
        <v>2277</v>
      </c>
      <c r="R601" t="s">
        <v>38</v>
      </c>
      <c r="S601" s="9">
        <v>4400</v>
      </c>
      <c r="T601" s="9">
        <v>1500</v>
      </c>
      <c r="U601" s="9">
        <v>6600000</v>
      </c>
      <c r="V601" s="6" t="s">
        <v>2459</v>
      </c>
      <c r="W601" t="s">
        <v>2460</v>
      </c>
      <c r="X601">
        <v>4003032047</v>
      </c>
      <c r="Y601">
        <v>772201001</v>
      </c>
      <c r="Z601" s="3">
        <v>45656.445138888892</v>
      </c>
      <c r="AA601" s="6">
        <v>2024</v>
      </c>
      <c r="AB601" s="1">
        <v>45688</v>
      </c>
    </row>
    <row r="602" spans="1:28" x14ac:dyDescent="0.3">
      <c r="A602" t="s">
        <v>2461</v>
      </c>
      <c r="B602" s="6" t="s">
        <v>1088</v>
      </c>
      <c r="C602" s="6" t="s">
        <v>355</v>
      </c>
      <c r="D602">
        <v>2466212607</v>
      </c>
      <c r="E602">
        <v>246601001</v>
      </c>
      <c r="F602" t="s">
        <v>94</v>
      </c>
      <c r="G602" t="s">
        <v>2462</v>
      </c>
      <c r="H602" s="1">
        <v>45639</v>
      </c>
      <c r="I602" t="s">
        <v>2442</v>
      </c>
      <c r="J602" s="8">
        <v>45644</v>
      </c>
      <c r="K602" s="1" t="s">
        <v>1479</v>
      </c>
      <c r="L602" t="s">
        <v>2463</v>
      </c>
      <c r="M602" t="s">
        <v>2464</v>
      </c>
      <c r="N602" s="2">
        <v>6633900</v>
      </c>
      <c r="O602" t="s">
        <v>377</v>
      </c>
      <c r="P602" s="6" t="s">
        <v>36</v>
      </c>
      <c r="R602" t="s">
        <v>38</v>
      </c>
      <c r="S602" s="9">
        <v>4725</v>
      </c>
      <c r="T602" s="9">
        <v>1404</v>
      </c>
      <c r="U602" s="9">
        <v>6633900</v>
      </c>
      <c r="V602" s="6" t="s">
        <v>2465</v>
      </c>
      <c r="W602" t="s">
        <v>59</v>
      </c>
      <c r="X602">
        <v>2466189073</v>
      </c>
      <c r="Y602">
        <v>246601001</v>
      </c>
      <c r="Z602" s="3">
        <v>45666.331250000003</v>
      </c>
      <c r="AA602" s="6">
        <v>2024</v>
      </c>
      <c r="AB602" s="1">
        <v>45656</v>
      </c>
    </row>
    <row r="603" spans="1:28" x14ac:dyDescent="0.3">
      <c r="A603" t="s">
        <v>2466</v>
      </c>
      <c r="B603" s="6" t="s">
        <v>2467</v>
      </c>
      <c r="C603" s="6" t="s">
        <v>904</v>
      </c>
      <c r="D603">
        <v>3525010519</v>
      </c>
      <c r="E603">
        <v>352501001</v>
      </c>
      <c r="F603" t="s">
        <v>94</v>
      </c>
      <c r="G603" t="s">
        <v>2468</v>
      </c>
      <c r="H603" s="1">
        <v>45639</v>
      </c>
      <c r="J603" s="8">
        <v>45644</v>
      </c>
      <c r="K603" s="1" t="s">
        <v>1479</v>
      </c>
      <c r="L603" t="s">
        <v>2469</v>
      </c>
      <c r="M603" t="s">
        <v>2470</v>
      </c>
      <c r="N603" s="2">
        <v>4925250</v>
      </c>
      <c r="O603" t="s">
        <v>440</v>
      </c>
      <c r="P603" s="6" t="s">
        <v>36</v>
      </c>
      <c r="Q603" t="s">
        <v>1993</v>
      </c>
      <c r="R603" t="s">
        <v>66</v>
      </c>
      <c r="S603" s="9">
        <v>4950</v>
      </c>
      <c r="T603" s="9">
        <v>995</v>
      </c>
      <c r="U603" s="9">
        <v>4925250</v>
      </c>
      <c r="V603" s="6" t="s">
        <v>39</v>
      </c>
      <c r="W603" t="s">
        <v>40</v>
      </c>
      <c r="X603">
        <v>7810687137</v>
      </c>
      <c r="Y603">
        <v>781401001</v>
      </c>
      <c r="Z603" s="3">
        <v>45654.570833333331</v>
      </c>
      <c r="AA603" s="6">
        <v>2024</v>
      </c>
      <c r="AB603" s="1">
        <v>45666</v>
      </c>
    </row>
    <row r="604" spans="1:28" x14ac:dyDescent="0.3">
      <c r="A604" t="s">
        <v>2471</v>
      </c>
      <c r="B604" s="6" t="s">
        <v>2467</v>
      </c>
      <c r="C604" s="6" t="s">
        <v>904</v>
      </c>
      <c r="D604">
        <v>3525010519</v>
      </c>
      <c r="E604">
        <v>352501001</v>
      </c>
      <c r="F604" t="s">
        <v>94</v>
      </c>
      <c r="G604" t="s">
        <v>2472</v>
      </c>
      <c r="H604" s="1">
        <v>45639</v>
      </c>
      <c r="J604" s="8">
        <v>45644</v>
      </c>
      <c r="K604" s="1" t="s">
        <v>1479</v>
      </c>
      <c r="L604" t="s">
        <v>2473</v>
      </c>
      <c r="M604" t="s">
        <v>2474</v>
      </c>
      <c r="N604" s="2">
        <v>9405000</v>
      </c>
      <c r="O604" t="s">
        <v>273</v>
      </c>
      <c r="P604" s="6" t="s">
        <v>36</v>
      </c>
      <c r="Q604" t="s">
        <v>1993</v>
      </c>
      <c r="R604" t="s">
        <v>66</v>
      </c>
      <c r="S604" s="9">
        <v>4950</v>
      </c>
      <c r="T604" s="9">
        <v>1900</v>
      </c>
      <c r="U604" s="9">
        <v>9405000</v>
      </c>
      <c r="V604" s="6" t="s">
        <v>39</v>
      </c>
      <c r="W604" t="s">
        <v>40</v>
      </c>
      <c r="X604">
        <v>7810687137</v>
      </c>
      <c r="Y604">
        <v>781401001</v>
      </c>
      <c r="Z604" s="3">
        <v>45654.570138888892</v>
      </c>
      <c r="AA604" s="6">
        <v>2024</v>
      </c>
      <c r="AB604" s="1">
        <v>45666</v>
      </c>
    </row>
    <row r="605" spans="1:28" x14ac:dyDescent="0.3">
      <c r="A605" t="s">
        <v>2475</v>
      </c>
      <c r="B605" s="6" t="s">
        <v>1003</v>
      </c>
      <c r="C605" s="6" t="s">
        <v>1004</v>
      </c>
      <c r="D605">
        <v>816025842</v>
      </c>
      <c r="E605">
        <v>81601001</v>
      </c>
      <c r="F605" t="s">
        <v>94</v>
      </c>
      <c r="G605" t="s">
        <v>2476</v>
      </c>
      <c r="H605" s="1">
        <v>45637</v>
      </c>
      <c r="J605" s="8">
        <v>45644</v>
      </c>
      <c r="K605" s="1" t="s">
        <v>1479</v>
      </c>
      <c r="L605" t="s">
        <v>2477</v>
      </c>
      <c r="M605" t="s">
        <v>2478</v>
      </c>
      <c r="N605" s="2">
        <v>6619800</v>
      </c>
      <c r="O605" t="s">
        <v>2479</v>
      </c>
      <c r="P605" s="6" t="s">
        <v>36</v>
      </c>
      <c r="Q605" t="s">
        <v>1993</v>
      </c>
      <c r="R605" t="s">
        <v>240</v>
      </c>
      <c r="S605" s="9">
        <v>5100</v>
      </c>
      <c r="T605" s="9">
        <v>1298</v>
      </c>
      <c r="U605" s="9">
        <v>6619800</v>
      </c>
      <c r="V605" s="6" t="s">
        <v>1009</v>
      </c>
      <c r="W605" t="s">
        <v>40</v>
      </c>
      <c r="X605">
        <v>3443142095</v>
      </c>
      <c r="Y605">
        <v>344301001</v>
      </c>
      <c r="Z605" s="3">
        <v>45666.529861111114</v>
      </c>
      <c r="AA605" s="6">
        <v>2024</v>
      </c>
      <c r="AB605" s="1">
        <v>45657</v>
      </c>
    </row>
    <row r="606" spans="1:28" x14ac:dyDescent="0.3">
      <c r="A606" t="s">
        <v>2480</v>
      </c>
      <c r="B606" s="6" t="s">
        <v>1003</v>
      </c>
      <c r="C606" s="6" t="s">
        <v>1004</v>
      </c>
      <c r="D606">
        <v>816025842</v>
      </c>
      <c r="E606">
        <v>81601001</v>
      </c>
      <c r="F606" t="s">
        <v>94</v>
      </c>
      <c r="G606" t="s">
        <v>2481</v>
      </c>
      <c r="H606" s="1">
        <v>45637</v>
      </c>
      <c r="I606" t="s">
        <v>2338</v>
      </c>
      <c r="J606" s="8">
        <v>45644</v>
      </c>
      <c r="K606" s="1" t="s">
        <v>1479</v>
      </c>
      <c r="L606" t="s">
        <v>2482</v>
      </c>
      <c r="M606" t="s">
        <v>2483</v>
      </c>
      <c r="N606" s="2">
        <v>1728900</v>
      </c>
      <c r="O606" t="s">
        <v>2479</v>
      </c>
      <c r="P606" s="6" t="s">
        <v>36</v>
      </c>
      <c r="Q606" t="s">
        <v>37</v>
      </c>
      <c r="R606" t="s">
        <v>240</v>
      </c>
      <c r="S606" s="9">
        <v>5100</v>
      </c>
      <c r="T606" s="9">
        <v>339</v>
      </c>
      <c r="U606" s="9">
        <v>1728900</v>
      </c>
      <c r="V606" s="6" t="s">
        <v>1009</v>
      </c>
      <c r="W606" t="s">
        <v>40</v>
      </c>
      <c r="X606">
        <v>3443142095</v>
      </c>
      <c r="Y606">
        <v>344301001</v>
      </c>
      <c r="Z606" s="3">
        <v>45666.52847222222</v>
      </c>
      <c r="AA606" s="6">
        <v>2024</v>
      </c>
      <c r="AB606" s="1">
        <v>45657</v>
      </c>
    </row>
    <row r="607" spans="1:28" x14ac:dyDescent="0.3">
      <c r="A607" t="s">
        <v>2484</v>
      </c>
      <c r="B607" s="6" t="s">
        <v>924</v>
      </c>
      <c r="C607" s="6" t="s">
        <v>925</v>
      </c>
      <c r="D607">
        <v>4205349664</v>
      </c>
      <c r="E607">
        <v>420501001</v>
      </c>
      <c r="F607" t="s">
        <v>94</v>
      </c>
      <c r="G607" t="s">
        <v>2485</v>
      </c>
      <c r="H607" s="1">
        <v>45639</v>
      </c>
      <c r="I607" t="s">
        <v>2442</v>
      </c>
      <c r="J607" s="8">
        <v>45644</v>
      </c>
      <c r="K607" s="1" t="s">
        <v>1479</v>
      </c>
      <c r="L607" t="s">
        <v>2486</v>
      </c>
      <c r="M607" t="s">
        <v>179</v>
      </c>
      <c r="N607" s="2">
        <v>34599760</v>
      </c>
      <c r="O607" t="s">
        <v>494</v>
      </c>
      <c r="P607" s="6" t="s">
        <v>36</v>
      </c>
      <c r="R607" t="s">
        <v>38</v>
      </c>
      <c r="S607" s="9">
        <v>4120</v>
      </c>
      <c r="T607" s="9">
        <v>5590</v>
      </c>
      <c r="U607" s="9">
        <v>23030800</v>
      </c>
      <c r="V607" s="6" t="s">
        <v>90</v>
      </c>
      <c r="W607" t="s">
        <v>59</v>
      </c>
      <c r="X607">
        <v>5259153331</v>
      </c>
      <c r="Y607">
        <v>525901001</v>
      </c>
      <c r="Z607" s="3">
        <v>45679.447916666664</v>
      </c>
      <c r="AA607" s="6">
        <v>2024</v>
      </c>
      <c r="AB607" s="1">
        <v>45657</v>
      </c>
    </row>
    <row r="608" spans="1:28" x14ac:dyDescent="0.3">
      <c r="A608" t="s">
        <v>2484</v>
      </c>
      <c r="B608" s="6" t="s">
        <v>924</v>
      </c>
      <c r="C608" s="6" t="s">
        <v>925</v>
      </c>
      <c r="D608">
        <v>4205349664</v>
      </c>
      <c r="E608">
        <v>420501001</v>
      </c>
      <c r="F608" t="s">
        <v>94</v>
      </c>
      <c r="G608" t="s">
        <v>2485</v>
      </c>
      <c r="H608" s="1">
        <v>45639</v>
      </c>
      <c r="I608" t="s">
        <v>2442</v>
      </c>
      <c r="J608" s="8">
        <v>45644</v>
      </c>
      <c r="K608" s="1" t="s">
        <v>1479</v>
      </c>
      <c r="L608" t="s">
        <v>2486</v>
      </c>
      <c r="M608" t="s">
        <v>179</v>
      </c>
      <c r="N608" s="2">
        <v>34599760</v>
      </c>
      <c r="O608" t="s">
        <v>2296</v>
      </c>
      <c r="P608" s="6" t="s">
        <v>464</v>
      </c>
      <c r="Q608" t="s">
        <v>37</v>
      </c>
      <c r="R608" t="s">
        <v>38</v>
      </c>
      <c r="S608" s="9">
        <v>4120</v>
      </c>
      <c r="T608" s="9">
        <v>2808</v>
      </c>
      <c r="U608" s="9">
        <v>11568960</v>
      </c>
      <c r="V608" s="6" t="s">
        <v>90</v>
      </c>
      <c r="W608" t="s">
        <v>59</v>
      </c>
      <c r="X608">
        <v>5259153331</v>
      </c>
      <c r="Y608">
        <v>525901001</v>
      </c>
      <c r="Z608" s="3">
        <v>45679.447916666664</v>
      </c>
      <c r="AA608" s="6">
        <v>2024</v>
      </c>
      <c r="AB608" s="1">
        <v>45657</v>
      </c>
    </row>
    <row r="609" spans="1:28" x14ac:dyDescent="0.3">
      <c r="A609" t="s">
        <v>2487</v>
      </c>
      <c r="B609" s="6" t="s">
        <v>924</v>
      </c>
      <c r="C609" s="6" t="s">
        <v>925</v>
      </c>
      <c r="D609">
        <v>4205349664</v>
      </c>
      <c r="E609">
        <v>420501001</v>
      </c>
      <c r="F609" t="s">
        <v>94</v>
      </c>
      <c r="G609" t="s">
        <v>2488</v>
      </c>
      <c r="H609" s="1">
        <v>45639</v>
      </c>
      <c r="I609" t="s">
        <v>2442</v>
      </c>
      <c r="J609" s="8">
        <v>45644</v>
      </c>
      <c r="K609" s="1" t="s">
        <v>1479</v>
      </c>
      <c r="L609" t="s">
        <v>2489</v>
      </c>
      <c r="M609" t="s">
        <v>179</v>
      </c>
      <c r="N609" s="2">
        <v>28605160</v>
      </c>
      <c r="O609" t="s">
        <v>494</v>
      </c>
      <c r="P609" s="6" t="s">
        <v>36</v>
      </c>
      <c r="R609" t="s">
        <v>38</v>
      </c>
      <c r="S609" s="9">
        <v>4120</v>
      </c>
      <c r="T609" s="9">
        <v>6943</v>
      </c>
      <c r="U609" s="9">
        <v>28605160</v>
      </c>
      <c r="V609" s="6" t="s">
        <v>58</v>
      </c>
      <c r="W609" t="s">
        <v>59</v>
      </c>
      <c r="X609">
        <v>5262222144</v>
      </c>
      <c r="Y609">
        <v>526201001</v>
      </c>
      <c r="Z609" s="3">
        <v>45666.481944444444</v>
      </c>
      <c r="AA609" s="6">
        <v>2024</v>
      </c>
      <c r="AB609" s="1">
        <v>45657</v>
      </c>
    </row>
    <row r="610" spans="1:28" x14ac:dyDescent="0.3">
      <c r="A610" t="s">
        <v>2490</v>
      </c>
      <c r="B610" s="6" t="s">
        <v>857</v>
      </c>
      <c r="C610" s="6" t="s">
        <v>388</v>
      </c>
      <c r="D610">
        <v>3808172327</v>
      </c>
      <c r="E610">
        <v>380801001</v>
      </c>
      <c r="F610" t="s">
        <v>94</v>
      </c>
      <c r="G610" t="s">
        <v>2491</v>
      </c>
      <c r="H610" s="1">
        <v>45639</v>
      </c>
      <c r="I610" t="s">
        <v>2442</v>
      </c>
      <c r="J610" s="8">
        <v>45644</v>
      </c>
      <c r="K610" s="1" t="s">
        <v>1479</v>
      </c>
      <c r="L610" t="s">
        <v>2492</v>
      </c>
      <c r="M610" t="s">
        <v>2493</v>
      </c>
      <c r="N610" s="2">
        <v>8380000</v>
      </c>
      <c r="O610" t="s">
        <v>2494</v>
      </c>
      <c r="P610" s="6" t="s">
        <v>464</v>
      </c>
      <c r="Q610" t="s">
        <v>37</v>
      </c>
      <c r="R610" t="s">
        <v>48</v>
      </c>
      <c r="S610" s="9">
        <v>4190</v>
      </c>
      <c r="T610" s="9">
        <v>2000</v>
      </c>
      <c r="U610" s="9">
        <v>8380000</v>
      </c>
      <c r="V610" s="6" t="s">
        <v>1068</v>
      </c>
      <c r="W610" t="s">
        <v>1069</v>
      </c>
      <c r="X610">
        <v>7731241639</v>
      </c>
      <c r="Y610">
        <v>500301001</v>
      </c>
      <c r="Z610" s="3">
        <v>45644.487500000003</v>
      </c>
      <c r="AA610" s="6">
        <v>2024</v>
      </c>
      <c r="AB610" s="1">
        <v>45657</v>
      </c>
    </row>
    <row r="611" spans="1:28" x14ac:dyDescent="0.3">
      <c r="A611" t="s">
        <v>2495</v>
      </c>
      <c r="B611" s="6" t="s">
        <v>857</v>
      </c>
      <c r="C611" s="6" t="s">
        <v>388</v>
      </c>
      <c r="D611">
        <v>3808172327</v>
      </c>
      <c r="E611">
        <v>380801001</v>
      </c>
      <c r="F611" t="s">
        <v>94</v>
      </c>
      <c r="G611" t="s">
        <v>2496</v>
      </c>
      <c r="H611" s="1">
        <v>45639</v>
      </c>
      <c r="I611" t="s">
        <v>2442</v>
      </c>
      <c r="J611" s="8">
        <v>45644</v>
      </c>
      <c r="K611" s="1" t="s">
        <v>1479</v>
      </c>
      <c r="L611" t="s">
        <v>2497</v>
      </c>
      <c r="M611" t="s">
        <v>2493</v>
      </c>
      <c r="N611" s="2">
        <v>8240000</v>
      </c>
      <c r="O611" t="s">
        <v>494</v>
      </c>
      <c r="P611" s="6" t="s">
        <v>36</v>
      </c>
      <c r="R611" t="s">
        <v>48</v>
      </c>
      <c r="S611" s="9">
        <v>4120</v>
      </c>
      <c r="T611" s="9">
        <v>2000</v>
      </c>
      <c r="U611" s="9">
        <v>8240000</v>
      </c>
      <c r="V611" s="6" t="s">
        <v>58</v>
      </c>
      <c r="W611" t="s">
        <v>59</v>
      </c>
      <c r="X611">
        <v>5262222144</v>
      </c>
      <c r="Y611">
        <v>526201001</v>
      </c>
      <c r="Z611" s="3">
        <v>45667.501388888886</v>
      </c>
      <c r="AA611" s="6">
        <v>2024</v>
      </c>
      <c r="AB611" s="1">
        <v>45657</v>
      </c>
    </row>
    <row r="612" spans="1:28" x14ac:dyDescent="0.3">
      <c r="A612" t="s">
        <v>2498</v>
      </c>
      <c r="B612" s="6" t="s">
        <v>857</v>
      </c>
      <c r="C612" s="6" t="s">
        <v>388</v>
      </c>
      <c r="D612">
        <v>3808172327</v>
      </c>
      <c r="E612">
        <v>380801001</v>
      </c>
      <c r="F612" t="s">
        <v>94</v>
      </c>
      <c r="G612" t="s">
        <v>2499</v>
      </c>
      <c r="H612" s="1">
        <v>45639</v>
      </c>
      <c r="I612" t="s">
        <v>2442</v>
      </c>
      <c r="J612" s="8">
        <v>45644</v>
      </c>
      <c r="K612" s="1" t="s">
        <v>1479</v>
      </c>
      <c r="L612" t="s">
        <v>2500</v>
      </c>
      <c r="M612" t="s">
        <v>2493</v>
      </c>
      <c r="N612" s="2">
        <v>8200000</v>
      </c>
      <c r="O612" t="s">
        <v>2501</v>
      </c>
      <c r="P612" s="6" t="s">
        <v>2277</v>
      </c>
      <c r="R612" t="s">
        <v>48</v>
      </c>
      <c r="S612" s="9">
        <v>4100</v>
      </c>
      <c r="T612" s="9">
        <v>2000</v>
      </c>
      <c r="U612" s="9">
        <v>8200000</v>
      </c>
      <c r="V612" s="6" t="s">
        <v>2502</v>
      </c>
      <c r="W612" t="s">
        <v>2503</v>
      </c>
      <c r="X612">
        <v>381110688655</v>
      </c>
      <c r="Z612" s="3">
        <v>45655.743055555555</v>
      </c>
      <c r="AA612" s="6">
        <v>2024</v>
      </c>
      <c r="AB612" s="1">
        <v>45657</v>
      </c>
    </row>
    <row r="613" spans="1:28" x14ac:dyDescent="0.3">
      <c r="A613" t="s">
        <v>2504</v>
      </c>
      <c r="B613" s="6" t="s">
        <v>1317</v>
      </c>
      <c r="C613" s="6" t="s">
        <v>380</v>
      </c>
      <c r="D613">
        <v>4700001180</v>
      </c>
      <c r="E613">
        <v>784201001</v>
      </c>
      <c r="F613" t="s">
        <v>94</v>
      </c>
      <c r="G613" t="s">
        <v>2505</v>
      </c>
      <c r="H613" s="1">
        <v>45637</v>
      </c>
      <c r="J613" s="8">
        <v>45644</v>
      </c>
      <c r="K613" s="1" t="s">
        <v>1479</v>
      </c>
      <c r="L613" t="s">
        <v>2506</v>
      </c>
      <c r="M613" t="s">
        <v>2507</v>
      </c>
      <c r="N613" s="2">
        <v>9216000</v>
      </c>
      <c r="O613" t="s">
        <v>440</v>
      </c>
      <c r="P613" s="6" t="s">
        <v>36</v>
      </c>
      <c r="R613" t="s">
        <v>240</v>
      </c>
      <c r="S613" s="9">
        <v>4800</v>
      </c>
      <c r="T613" s="9">
        <v>1920</v>
      </c>
      <c r="U613" s="9">
        <v>9216000</v>
      </c>
      <c r="V613" s="6" t="s">
        <v>39</v>
      </c>
      <c r="W613" t="s">
        <v>40</v>
      </c>
      <c r="X613">
        <v>7810687137</v>
      </c>
      <c r="Y613">
        <v>781401001</v>
      </c>
      <c r="Z613" s="3">
        <v>45670.530555555553</v>
      </c>
      <c r="AA613" s="6">
        <v>2024</v>
      </c>
      <c r="AB613" s="1">
        <v>45657</v>
      </c>
    </row>
    <row r="614" spans="1:28" x14ac:dyDescent="0.3">
      <c r="A614" t="s">
        <v>2508</v>
      </c>
      <c r="B614" s="6" t="s">
        <v>1317</v>
      </c>
      <c r="C614" s="6" t="s">
        <v>380</v>
      </c>
      <c r="D614">
        <v>4700001180</v>
      </c>
      <c r="E614">
        <v>784201001</v>
      </c>
      <c r="F614" t="s">
        <v>94</v>
      </c>
      <c r="G614" t="s">
        <v>2509</v>
      </c>
      <c r="H614" s="1">
        <v>45637</v>
      </c>
      <c r="I614" t="s">
        <v>2510</v>
      </c>
      <c r="J614" s="8">
        <v>45644</v>
      </c>
      <c r="K614" s="1" t="s">
        <v>1479</v>
      </c>
      <c r="L614" t="s">
        <v>2511</v>
      </c>
      <c r="M614" t="s">
        <v>2512</v>
      </c>
      <c r="N614" s="2">
        <v>8284800</v>
      </c>
      <c r="O614" t="s">
        <v>440</v>
      </c>
      <c r="P614" s="6" t="s">
        <v>36</v>
      </c>
      <c r="R614" t="s">
        <v>240</v>
      </c>
      <c r="S614" s="9">
        <v>4800</v>
      </c>
      <c r="T614" s="9">
        <v>1726</v>
      </c>
      <c r="U614" s="9">
        <v>8284800</v>
      </c>
      <c r="V614" s="6" t="s">
        <v>39</v>
      </c>
      <c r="W614" t="s">
        <v>40</v>
      </c>
      <c r="X614">
        <v>7810687137</v>
      </c>
      <c r="Y614">
        <v>781401001</v>
      </c>
      <c r="Z614" s="3">
        <v>45670.53125</v>
      </c>
      <c r="AA614" s="6">
        <v>2024</v>
      </c>
      <c r="AB614" s="1">
        <v>45657</v>
      </c>
    </row>
    <row r="615" spans="1:28" x14ac:dyDescent="0.3">
      <c r="A615" t="s">
        <v>2513</v>
      </c>
      <c r="B615" s="6" t="s">
        <v>220</v>
      </c>
      <c r="C615" s="6" t="s">
        <v>221</v>
      </c>
      <c r="D615">
        <v>5024068656</v>
      </c>
      <c r="E615">
        <v>502401001</v>
      </c>
      <c r="F615" t="s">
        <v>94</v>
      </c>
      <c r="G615" t="s">
        <v>2514</v>
      </c>
      <c r="H615" s="1">
        <v>45639</v>
      </c>
      <c r="J615" s="8">
        <v>45644</v>
      </c>
      <c r="K615" s="1" t="s">
        <v>1479</v>
      </c>
      <c r="L615" t="s">
        <v>2514</v>
      </c>
      <c r="M615" t="s">
        <v>2515</v>
      </c>
      <c r="N615" s="2">
        <v>7459200</v>
      </c>
      <c r="O615" t="s">
        <v>494</v>
      </c>
      <c r="P615" s="6" t="s">
        <v>36</v>
      </c>
      <c r="R615" t="s">
        <v>38</v>
      </c>
      <c r="S615" s="9">
        <v>4440</v>
      </c>
      <c r="T615" s="9">
        <v>1680</v>
      </c>
      <c r="U615" s="9">
        <v>7459200</v>
      </c>
      <c r="V615" s="6" t="s">
        <v>128</v>
      </c>
      <c r="W615" t="s">
        <v>129</v>
      </c>
      <c r="X615">
        <v>274110679</v>
      </c>
      <c r="Y615">
        <v>500801001</v>
      </c>
      <c r="Z615" s="3">
        <v>45666.500694444447</v>
      </c>
      <c r="AA615" s="6">
        <v>2024</v>
      </c>
      <c r="AB615" s="1">
        <v>45652</v>
      </c>
    </row>
    <row r="616" spans="1:28" x14ac:dyDescent="0.3">
      <c r="A616" t="s">
        <v>2516</v>
      </c>
      <c r="B616" s="6" t="s">
        <v>220</v>
      </c>
      <c r="C616" s="6" t="s">
        <v>221</v>
      </c>
      <c r="D616">
        <v>5024068656</v>
      </c>
      <c r="E616">
        <v>502401001</v>
      </c>
      <c r="F616" t="s">
        <v>94</v>
      </c>
      <c r="G616" t="s">
        <v>2517</v>
      </c>
      <c r="H616" s="1">
        <v>45639</v>
      </c>
      <c r="J616" s="8">
        <v>45644</v>
      </c>
      <c r="K616" s="1" t="s">
        <v>1479</v>
      </c>
      <c r="L616" t="s">
        <v>2517</v>
      </c>
      <c r="M616" t="s">
        <v>2518</v>
      </c>
      <c r="N616" s="2">
        <v>1576200</v>
      </c>
      <c r="O616" t="s">
        <v>494</v>
      </c>
      <c r="P616" s="6" t="s">
        <v>36</v>
      </c>
      <c r="R616" t="s">
        <v>38</v>
      </c>
      <c r="S616" s="9">
        <v>4440</v>
      </c>
      <c r="T616" s="9">
        <v>355</v>
      </c>
      <c r="U616" s="9">
        <v>1576200</v>
      </c>
      <c r="V616" s="6" t="s">
        <v>128</v>
      </c>
      <c r="W616" t="s">
        <v>129</v>
      </c>
      <c r="X616">
        <v>274110679</v>
      </c>
      <c r="Y616">
        <v>500801001</v>
      </c>
      <c r="Z616" s="3">
        <v>45666.498611111114</v>
      </c>
      <c r="AA616" s="6">
        <v>2024</v>
      </c>
      <c r="AB616" s="1">
        <v>45652</v>
      </c>
    </row>
    <row r="617" spans="1:28" x14ac:dyDescent="0.3">
      <c r="A617" t="s">
        <v>2519</v>
      </c>
      <c r="B617" s="6" t="s">
        <v>220</v>
      </c>
      <c r="C617" s="6" t="s">
        <v>221</v>
      </c>
      <c r="D617">
        <v>5024068656</v>
      </c>
      <c r="E617">
        <v>502401001</v>
      </c>
      <c r="F617" t="s">
        <v>94</v>
      </c>
      <c r="G617" t="s">
        <v>2520</v>
      </c>
      <c r="H617" s="1">
        <v>45639</v>
      </c>
      <c r="J617" s="8">
        <v>45644</v>
      </c>
      <c r="K617" s="1" t="s">
        <v>1479</v>
      </c>
      <c r="L617" t="s">
        <v>2520</v>
      </c>
      <c r="M617" t="s">
        <v>2521</v>
      </c>
      <c r="N617" s="2">
        <v>8791200</v>
      </c>
      <c r="O617" t="s">
        <v>494</v>
      </c>
      <c r="P617" s="6" t="s">
        <v>36</v>
      </c>
      <c r="R617" t="s">
        <v>38</v>
      </c>
      <c r="S617" s="9">
        <v>4440</v>
      </c>
      <c r="T617" s="9">
        <v>1980</v>
      </c>
      <c r="U617" s="9">
        <v>8791200</v>
      </c>
      <c r="V617" s="6" t="s">
        <v>128</v>
      </c>
      <c r="W617" t="s">
        <v>129</v>
      </c>
      <c r="X617">
        <v>274110679</v>
      </c>
      <c r="Y617">
        <v>500801001</v>
      </c>
      <c r="Z617" s="3">
        <v>45673.375694444447</v>
      </c>
      <c r="AA617" s="6">
        <v>2024</v>
      </c>
      <c r="AB617" s="1">
        <v>45652</v>
      </c>
    </row>
    <row r="618" spans="1:28" x14ac:dyDescent="0.3">
      <c r="A618" t="s">
        <v>2519</v>
      </c>
      <c r="B618" s="6" t="s">
        <v>220</v>
      </c>
      <c r="C618" s="6" t="s">
        <v>221</v>
      </c>
      <c r="D618">
        <v>5024068656</v>
      </c>
      <c r="E618">
        <v>502401001</v>
      </c>
      <c r="F618" t="s">
        <v>94</v>
      </c>
      <c r="G618" t="s">
        <v>2520</v>
      </c>
      <c r="H618" s="1">
        <v>45639</v>
      </c>
      <c r="J618" s="8">
        <v>45644</v>
      </c>
      <c r="K618" s="1" t="s">
        <v>1479</v>
      </c>
      <c r="L618" t="s">
        <v>2520</v>
      </c>
      <c r="M618" t="s">
        <v>2522</v>
      </c>
      <c r="N618" s="2">
        <v>8791200</v>
      </c>
      <c r="O618" t="s">
        <v>494</v>
      </c>
      <c r="P618" s="6" t="s">
        <v>36</v>
      </c>
      <c r="R618" t="s">
        <v>38</v>
      </c>
      <c r="S618" s="9">
        <v>4440</v>
      </c>
      <c r="T618" s="9">
        <v>1980</v>
      </c>
      <c r="U618" s="9">
        <v>8791200</v>
      </c>
      <c r="V618" s="6" t="s">
        <v>128</v>
      </c>
      <c r="W618" t="s">
        <v>129</v>
      </c>
      <c r="X618">
        <v>274110679</v>
      </c>
      <c r="Y618">
        <v>500801001</v>
      </c>
      <c r="Z618" s="3">
        <v>45673.374305555553</v>
      </c>
      <c r="AA618" s="6">
        <v>2024</v>
      </c>
      <c r="AB618" s="1">
        <v>45652</v>
      </c>
    </row>
    <row r="619" spans="1:28" x14ac:dyDescent="0.3">
      <c r="A619" t="s">
        <v>2519</v>
      </c>
      <c r="B619" s="6" t="s">
        <v>220</v>
      </c>
      <c r="C619" s="6" t="s">
        <v>221</v>
      </c>
      <c r="D619">
        <v>5024068656</v>
      </c>
      <c r="E619">
        <v>502401001</v>
      </c>
      <c r="F619" t="s">
        <v>94</v>
      </c>
      <c r="G619" t="s">
        <v>2520</v>
      </c>
      <c r="H619" s="1">
        <v>45639</v>
      </c>
      <c r="J619" s="8">
        <v>45644</v>
      </c>
      <c r="K619" s="1" t="s">
        <v>1479</v>
      </c>
      <c r="L619" t="s">
        <v>2520</v>
      </c>
      <c r="M619" t="s">
        <v>2523</v>
      </c>
      <c r="N619" s="2">
        <v>8791200</v>
      </c>
      <c r="O619" t="s">
        <v>494</v>
      </c>
      <c r="P619" s="6" t="s">
        <v>36</v>
      </c>
      <c r="R619" t="s">
        <v>38</v>
      </c>
      <c r="S619" s="9">
        <v>4440</v>
      </c>
      <c r="T619" s="9">
        <v>1980</v>
      </c>
      <c r="U619" s="9">
        <v>8791200</v>
      </c>
      <c r="V619" s="6" t="s">
        <v>128</v>
      </c>
      <c r="W619" t="s">
        <v>129</v>
      </c>
      <c r="X619">
        <v>274110679</v>
      </c>
      <c r="Y619">
        <v>500801001</v>
      </c>
      <c r="Z619" s="3">
        <v>45673.373611111114</v>
      </c>
      <c r="AA619" s="6">
        <v>2024</v>
      </c>
      <c r="AB619" s="1">
        <v>45652</v>
      </c>
    </row>
    <row r="620" spans="1:28" x14ac:dyDescent="0.3">
      <c r="A620" t="s">
        <v>2519</v>
      </c>
      <c r="B620" s="6" t="s">
        <v>220</v>
      </c>
      <c r="C620" s="6" t="s">
        <v>221</v>
      </c>
      <c r="D620">
        <v>5024068656</v>
      </c>
      <c r="E620">
        <v>502401001</v>
      </c>
      <c r="F620" t="s">
        <v>94</v>
      </c>
      <c r="G620" t="s">
        <v>2520</v>
      </c>
      <c r="H620" s="1">
        <v>45639</v>
      </c>
      <c r="J620" s="8">
        <v>45644</v>
      </c>
      <c r="K620" s="1" t="s">
        <v>1479</v>
      </c>
      <c r="L620" t="s">
        <v>2520</v>
      </c>
      <c r="M620" t="s">
        <v>2524</v>
      </c>
      <c r="N620" s="2">
        <v>8791200</v>
      </c>
      <c r="O620" t="s">
        <v>494</v>
      </c>
      <c r="P620" s="6" t="s">
        <v>36</v>
      </c>
      <c r="R620" t="s">
        <v>38</v>
      </c>
      <c r="S620" s="9">
        <v>4440</v>
      </c>
      <c r="T620" s="9">
        <v>1980</v>
      </c>
      <c r="U620" s="9">
        <v>8791200</v>
      </c>
      <c r="V620" s="6" t="s">
        <v>128</v>
      </c>
      <c r="W620" t="s">
        <v>129</v>
      </c>
      <c r="X620">
        <v>274110679</v>
      </c>
      <c r="Y620">
        <v>500801001</v>
      </c>
      <c r="Z620" s="3">
        <v>45666.508333333331</v>
      </c>
      <c r="AA620" s="6">
        <v>2024</v>
      </c>
      <c r="AB620" s="1">
        <v>45652</v>
      </c>
    </row>
    <row r="621" spans="1:28" x14ac:dyDescent="0.3">
      <c r="A621" t="s">
        <v>2519</v>
      </c>
      <c r="B621" s="6" t="s">
        <v>220</v>
      </c>
      <c r="C621" s="6" t="s">
        <v>221</v>
      </c>
      <c r="D621">
        <v>5024068656</v>
      </c>
      <c r="E621">
        <v>502401001</v>
      </c>
      <c r="F621" t="s">
        <v>94</v>
      </c>
      <c r="G621" t="s">
        <v>2520</v>
      </c>
      <c r="H621" s="1">
        <v>45639</v>
      </c>
      <c r="J621" s="8">
        <v>45644</v>
      </c>
      <c r="K621" s="1" t="s">
        <v>1479</v>
      </c>
      <c r="L621" t="s">
        <v>2520</v>
      </c>
      <c r="M621" t="s">
        <v>2525</v>
      </c>
      <c r="N621" s="2">
        <v>8791200</v>
      </c>
      <c r="O621" t="s">
        <v>494</v>
      </c>
      <c r="P621" s="6" t="s">
        <v>36</v>
      </c>
      <c r="R621" t="s">
        <v>38</v>
      </c>
      <c r="S621" s="9">
        <v>4440</v>
      </c>
      <c r="T621" s="9">
        <v>1980</v>
      </c>
      <c r="U621" s="9">
        <v>8791200</v>
      </c>
      <c r="V621" s="6" t="s">
        <v>128</v>
      </c>
      <c r="W621" t="s">
        <v>129</v>
      </c>
      <c r="X621">
        <v>274110679</v>
      </c>
      <c r="Y621">
        <v>500801001</v>
      </c>
      <c r="Z621" s="3">
        <v>45666.503472222219</v>
      </c>
      <c r="AA621" s="6">
        <v>2024</v>
      </c>
      <c r="AB621" s="1">
        <v>45652</v>
      </c>
    </row>
    <row r="622" spans="1:28" x14ac:dyDescent="0.3">
      <c r="A622" t="s">
        <v>2519</v>
      </c>
      <c r="B622" s="6" t="s">
        <v>220</v>
      </c>
      <c r="C622" s="6" t="s">
        <v>221</v>
      </c>
      <c r="D622">
        <v>5024068656</v>
      </c>
      <c r="E622">
        <v>502401001</v>
      </c>
      <c r="F622" t="s">
        <v>94</v>
      </c>
      <c r="G622" t="s">
        <v>2520</v>
      </c>
      <c r="H622" s="1">
        <v>45639</v>
      </c>
      <c r="J622" s="8">
        <v>45644</v>
      </c>
      <c r="K622" s="1" t="s">
        <v>1479</v>
      </c>
      <c r="L622" t="s">
        <v>2520</v>
      </c>
      <c r="M622" t="s">
        <v>2526</v>
      </c>
      <c r="N622" s="2">
        <v>8791200</v>
      </c>
      <c r="O622" t="s">
        <v>494</v>
      </c>
      <c r="P622" s="6" t="s">
        <v>36</v>
      </c>
      <c r="R622" t="s">
        <v>38</v>
      </c>
      <c r="S622" s="9">
        <v>4440</v>
      </c>
      <c r="T622" s="9">
        <v>1980</v>
      </c>
      <c r="U622" s="9">
        <v>8791200</v>
      </c>
      <c r="V622" s="6" t="s">
        <v>128</v>
      </c>
      <c r="W622" t="s">
        <v>129</v>
      </c>
      <c r="X622">
        <v>274110679</v>
      </c>
      <c r="Y622">
        <v>500801001</v>
      </c>
      <c r="Z622" s="3">
        <v>45666.50277777778</v>
      </c>
      <c r="AA622" s="6">
        <v>2024</v>
      </c>
      <c r="AB622" s="1">
        <v>45652</v>
      </c>
    </row>
    <row r="623" spans="1:28" x14ac:dyDescent="0.3">
      <c r="A623" t="s">
        <v>2519</v>
      </c>
      <c r="B623" s="6" t="s">
        <v>220</v>
      </c>
      <c r="C623" s="6" t="s">
        <v>221</v>
      </c>
      <c r="D623">
        <v>5024068656</v>
      </c>
      <c r="E623">
        <v>502401001</v>
      </c>
      <c r="F623" t="s">
        <v>94</v>
      </c>
      <c r="G623" t="s">
        <v>2520</v>
      </c>
      <c r="H623" s="1">
        <v>45639</v>
      </c>
      <c r="J623" s="8">
        <v>45644</v>
      </c>
      <c r="K623" s="1" t="s">
        <v>1479</v>
      </c>
      <c r="L623" t="s">
        <v>2520</v>
      </c>
      <c r="M623" t="s">
        <v>2527</v>
      </c>
      <c r="N623" s="2">
        <v>8791200</v>
      </c>
      <c r="O623" t="s">
        <v>494</v>
      </c>
      <c r="P623" s="6" t="s">
        <v>36</v>
      </c>
      <c r="R623" t="s">
        <v>38</v>
      </c>
      <c r="S623" s="9">
        <v>4440</v>
      </c>
      <c r="T623" s="9">
        <v>1980</v>
      </c>
      <c r="U623" s="9">
        <v>8791200</v>
      </c>
      <c r="V623" s="6" t="s">
        <v>128</v>
      </c>
      <c r="W623" t="s">
        <v>129</v>
      </c>
      <c r="X623">
        <v>274110679</v>
      </c>
      <c r="Y623">
        <v>500801001</v>
      </c>
      <c r="Z623" s="3">
        <v>45666.502083333333</v>
      </c>
      <c r="AA623" s="6">
        <v>2024</v>
      </c>
      <c r="AB623" s="1">
        <v>45652</v>
      </c>
    </row>
    <row r="624" spans="1:28" x14ac:dyDescent="0.3">
      <c r="A624" t="s">
        <v>2528</v>
      </c>
      <c r="B624" s="6" t="s">
        <v>573</v>
      </c>
      <c r="C624" s="6" t="s">
        <v>405</v>
      </c>
      <c r="D624">
        <v>562044550</v>
      </c>
      <c r="E624">
        <v>57201001</v>
      </c>
      <c r="F624" t="s">
        <v>149</v>
      </c>
      <c r="G624" t="s">
        <v>2529</v>
      </c>
      <c r="H624" s="1">
        <v>45640</v>
      </c>
      <c r="I624" t="s">
        <v>2530</v>
      </c>
      <c r="J624" s="8">
        <v>45644</v>
      </c>
      <c r="K624" s="1" t="s">
        <v>1479</v>
      </c>
      <c r="L624" t="s">
        <v>2529</v>
      </c>
      <c r="M624" t="s">
        <v>377</v>
      </c>
      <c r="N624" s="2">
        <v>3510000</v>
      </c>
      <c r="O624" t="s">
        <v>377</v>
      </c>
      <c r="P624" s="6" t="s">
        <v>2277</v>
      </c>
      <c r="R624" t="s">
        <v>38</v>
      </c>
      <c r="S624" s="9">
        <v>5200</v>
      </c>
      <c r="T624" s="9">
        <v>675</v>
      </c>
      <c r="U624" s="9">
        <v>3510000</v>
      </c>
      <c r="V624" s="6" t="s">
        <v>2531</v>
      </c>
      <c r="W624" t="s">
        <v>2532</v>
      </c>
      <c r="X624">
        <v>5408018275</v>
      </c>
      <c r="Y624">
        <v>540801001</v>
      </c>
      <c r="Z624" s="3">
        <v>45656.582638888889</v>
      </c>
      <c r="AA624" s="6">
        <v>2024</v>
      </c>
      <c r="AB624" s="1">
        <v>45657</v>
      </c>
    </row>
    <row r="625" spans="1:28" x14ac:dyDescent="0.3">
      <c r="A625" t="s">
        <v>2533</v>
      </c>
      <c r="B625" s="6" t="s">
        <v>1022</v>
      </c>
      <c r="C625" s="6" t="s">
        <v>1023</v>
      </c>
      <c r="D625">
        <v>901024085</v>
      </c>
      <c r="E625">
        <v>90101001</v>
      </c>
      <c r="F625" t="s">
        <v>94</v>
      </c>
      <c r="G625" t="s">
        <v>2534</v>
      </c>
      <c r="H625" s="1">
        <v>45639</v>
      </c>
      <c r="J625" s="8">
        <v>45644</v>
      </c>
      <c r="K625" s="1" t="s">
        <v>1479</v>
      </c>
      <c r="L625" t="s">
        <v>2534</v>
      </c>
      <c r="M625" t="s">
        <v>552</v>
      </c>
      <c r="N625" s="2">
        <v>3834869.4</v>
      </c>
      <c r="O625" t="s">
        <v>440</v>
      </c>
      <c r="P625" s="6" t="s">
        <v>36</v>
      </c>
      <c r="R625" t="s">
        <v>240</v>
      </c>
      <c r="S625" s="9">
        <v>5196.3</v>
      </c>
      <c r="T625" s="9">
        <v>738</v>
      </c>
      <c r="U625" s="9">
        <v>3834869.4</v>
      </c>
      <c r="V625" s="6" t="s">
        <v>58</v>
      </c>
      <c r="W625" t="s">
        <v>59</v>
      </c>
      <c r="X625">
        <v>5262222144</v>
      </c>
      <c r="Y625">
        <v>526201001</v>
      </c>
      <c r="Z625" s="3">
        <v>45652.668055555558</v>
      </c>
      <c r="AA625" s="6">
        <v>2024</v>
      </c>
      <c r="AB625" s="1">
        <v>45657</v>
      </c>
    </row>
    <row r="626" spans="1:28" x14ac:dyDescent="0.3">
      <c r="A626" t="s">
        <v>2535</v>
      </c>
      <c r="B626" s="6" t="s">
        <v>1145</v>
      </c>
      <c r="C626" s="6" t="s">
        <v>1146</v>
      </c>
      <c r="D626">
        <v>6501024966</v>
      </c>
      <c r="E626">
        <v>650101001</v>
      </c>
      <c r="F626" t="s">
        <v>149</v>
      </c>
      <c r="G626" t="s">
        <v>2536</v>
      </c>
      <c r="H626" s="1">
        <v>45639</v>
      </c>
      <c r="J626" s="8">
        <v>45644</v>
      </c>
      <c r="K626" s="1" t="s">
        <v>1479</v>
      </c>
      <c r="L626" t="s">
        <v>2536</v>
      </c>
      <c r="M626" t="s">
        <v>377</v>
      </c>
      <c r="N626" s="2">
        <v>498750</v>
      </c>
      <c r="O626" t="s">
        <v>377</v>
      </c>
      <c r="P626" s="6" t="s">
        <v>36</v>
      </c>
      <c r="R626" t="s">
        <v>38</v>
      </c>
      <c r="S626" s="9">
        <v>4750</v>
      </c>
      <c r="T626" s="9">
        <v>105</v>
      </c>
      <c r="U626" s="9">
        <v>498750</v>
      </c>
      <c r="V626" s="6" t="s">
        <v>58</v>
      </c>
      <c r="W626" t="s">
        <v>59</v>
      </c>
      <c r="X626">
        <v>5262222144</v>
      </c>
      <c r="Y626">
        <v>526201001</v>
      </c>
      <c r="Z626" s="3">
        <v>45653.340277777781</v>
      </c>
      <c r="AA626" s="6">
        <v>2024</v>
      </c>
      <c r="AB626" s="1">
        <v>45654</v>
      </c>
    </row>
    <row r="627" spans="1:28" x14ac:dyDescent="0.3">
      <c r="A627" t="s">
        <v>2537</v>
      </c>
      <c r="B627" s="6" t="s">
        <v>830</v>
      </c>
      <c r="C627" s="6" t="s">
        <v>831</v>
      </c>
      <c r="D627">
        <v>6163049814</v>
      </c>
      <c r="E627">
        <v>616601001</v>
      </c>
      <c r="F627" t="s">
        <v>94</v>
      </c>
      <c r="G627" t="s">
        <v>2538</v>
      </c>
      <c r="H627" s="1">
        <v>45639</v>
      </c>
      <c r="J627" s="8">
        <v>45644</v>
      </c>
      <c r="K627" s="1" t="s">
        <v>1479</v>
      </c>
      <c r="L627">
        <v>24001527</v>
      </c>
      <c r="M627" t="s">
        <v>2539</v>
      </c>
      <c r="N627" s="2">
        <v>44676854.899999999</v>
      </c>
      <c r="O627" t="s">
        <v>494</v>
      </c>
      <c r="P627" s="6" t="s">
        <v>36</v>
      </c>
      <c r="Q627" t="s">
        <v>1993</v>
      </c>
      <c r="R627" t="s">
        <v>38</v>
      </c>
      <c r="S627" s="9">
        <v>5049.8999999999996</v>
      </c>
      <c r="T627" s="9">
        <v>8847</v>
      </c>
      <c r="U627" s="9">
        <v>44676465.299999997</v>
      </c>
      <c r="V627" s="6" t="s">
        <v>58</v>
      </c>
      <c r="W627" t="s">
        <v>59</v>
      </c>
      <c r="X627">
        <v>5262222144</v>
      </c>
      <c r="Y627">
        <v>526201001</v>
      </c>
      <c r="Z627" s="3">
        <v>45666.60833333333</v>
      </c>
      <c r="AA627" s="6">
        <v>2024</v>
      </c>
      <c r="AB627" s="1">
        <v>45657</v>
      </c>
    </row>
    <row r="628" spans="1:28" x14ac:dyDescent="0.3">
      <c r="A628" t="s">
        <v>2537</v>
      </c>
      <c r="B628" s="6" t="s">
        <v>830</v>
      </c>
      <c r="C628" s="6" t="s">
        <v>831</v>
      </c>
      <c r="D628">
        <v>6163049814</v>
      </c>
      <c r="E628">
        <v>616601001</v>
      </c>
      <c r="F628" t="s">
        <v>94</v>
      </c>
      <c r="G628" t="s">
        <v>2538</v>
      </c>
      <c r="H628" s="1">
        <v>45639</v>
      </c>
      <c r="J628" s="8">
        <v>45644</v>
      </c>
      <c r="K628" s="1" t="s">
        <v>1479</v>
      </c>
      <c r="L628">
        <v>24001527</v>
      </c>
      <c r="M628" t="s">
        <v>2539</v>
      </c>
      <c r="N628" s="2">
        <v>44676854.899999999</v>
      </c>
      <c r="O628" t="s">
        <v>1873</v>
      </c>
      <c r="P628" s="6" t="s">
        <v>36</v>
      </c>
      <c r="Q628" t="s">
        <v>1993</v>
      </c>
      <c r="R628" t="s">
        <v>38</v>
      </c>
      <c r="S628" s="9">
        <v>0.8</v>
      </c>
      <c r="T628" s="9">
        <v>487</v>
      </c>
      <c r="U628" s="9">
        <v>389.6</v>
      </c>
      <c r="V628" s="6" t="s">
        <v>58</v>
      </c>
      <c r="W628" t="s">
        <v>59</v>
      </c>
      <c r="X628">
        <v>5262222144</v>
      </c>
      <c r="Y628">
        <v>526201001</v>
      </c>
      <c r="Z628" s="3">
        <v>45666.60833333333</v>
      </c>
      <c r="AA628" s="6">
        <v>2024</v>
      </c>
      <c r="AB628" s="1">
        <v>45657</v>
      </c>
    </row>
    <row r="629" spans="1:28" x14ac:dyDescent="0.3">
      <c r="A629" t="s">
        <v>2540</v>
      </c>
      <c r="B629" s="6" t="s">
        <v>1011</v>
      </c>
      <c r="C629" s="6" t="s">
        <v>427</v>
      </c>
      <c r="D629">
        <v>5190109972</v>
      </c>
      <c r="E629">
        <v>519001001</v>
      </c>
      <c r="F629" t="s">
        <v>94</v>
      </c>
      <c r="G629" t="s">
        <v>2541</v>
      </c>
      <c r="H629" s="1">
        <v>45639</v>
      </c>
      <c r="I629" t="s">
        <v>2442</v>
      </c>
      <c r="J629" s="8">
        <v>45644</v>
      </c>
      <c r="K629" s="1" t="s">
        <v>1479</v>
      </c>
      <c r="L629" t="s">
        <v>2542</v>
      </c>
      <c r="M629" t="s">
        <v>2543</v>
      </c>
      <c r="N629" s="2">
        <v>2351250</v>
      </c>
      <c r="O629" t="s">
        <v>1251</v>
      </c>
      <c r="P629" s="6" t="s">
        <v>891</v>
      </c>
      <c r="Q629" t="s">
        <v>37</v>
      </c>
      <c r="R629" t="s">
        <v>38</v>
      </c>
      <c r="S629" s="9">
        <v>4950</v>
      </c>
      <c r="T629" s="9">
        <v>436</v>
      </c>
      <c r="U629" s="9">
        <v>2158200</v>
      </c>
      <c r="V629" s="6" t="s">
        <v>2544</v>
      </c>
      <c r="W629" t="s">
        <v>2545</v>
      </c>
      <c r="X629">
        <v>7806005744</v>
      </c>
      <c r="Y629">
        <v>780201001</v>
      </c>
      <c r="Z629" s="3">
        <v>45653.589583333334</v>
      </c>
      <c r="AA629" s="6">
        <v>2024</v>
      </c>
      <c r="AB629" s="1">
        <v>45657</v>
      </c>
    </row>
    <row r="630" spans="1:28" x14ac:dyDescent="0.3">
      <c r="A630" t="s">
        <v>2540</v>
      </c>
      <c r="B630" s="6" t="s">
        <v>1011</v>
      </c>
      <c r="C630" s="6" t="s">
        <v>427</v>
      </c>
      <c r="D630">
        <v>5190109972</v>
      </c>
      <c r="E630">
        <v>519001001</v>
      </c>
      <c r="F630" t="s">
        <v>94</v>
      </c>
      <c r="G630" t="s">
        <v>2541</v>
      </c>
      <c r="H630" s="1">
        <v>45639</v>
      </c>
      <c r="I630" t="s">
        <v>2442</v>
      </c>
      <c r="J630" s="8">
        <v>45644</v>
      </c>
      <c r="K630" s="1" t="s">
        <v>1479</v>
      </c>
      <c r="L630" t="s">
        <v>2542</v>
      </c>
      <c r="M630" t="s">
        <v>2543</v>
      </c>
      <c r="N630" s="2">
        <v>2351250</v>
      </c>
      <c r="O630" t="s">
        <v>1251</v>
      </c>
      <c r="P630" s="6" t="s">
        <v>891</v>
      </c>
      <c r="Q630" t="s">
        <v>37</v>
      </c>
      <c r="R630" t="s">
        <v>38</v>
      </c>
      <c r="S630" s="9">
        <v>4950</v>
      </c>
      <c r="T630" s="9">
        <v>39</v>
      </c>
      <c r="U630" s="9">
        <v>193050</v>
      </c>
      <c r="V630" s="6" t="s">
        <v>2544</v>
      </c>
      <c r="W630" t="s">
        <v>2545</v>
      </c>
      <c r="X630">
        <v>7806005744</v>
      </c>
      <c r="Y630">
        <v>780201001</v>
      </c>
      <c r="Z630" s="3">
        <v>45653.589583333334</v>
      </c>
      <c r="AA630" s="6">
        <v>2024</v>
      </c>
      <c r="AB630" s="1">
        <v>45657</v>
      </c>
    </row>
    <row r="631" spans="1:28" x14ac:dyDescent="0.3">
      <c r="A631" t="s">
        <v>2546</v>
      </c>
      <c r="B631" s="6" t="s">
        <v>2547</v>
      </c>
      <c r="C631" s="6" t="s">
        <v>2548</v>
      </c>
      <c r="D631">
        <v>4401004514</v>
      </c>
      <c r="E631">
        <v>440101001</v>
      </c>
      <c r="F631" t="s">
        <v>149</v>
      </c>
      <c r="G631" t="s">
        <v>2549</v>
      </c>
      <c r="H631" s="1">
        <v>45642</v>
      </c>
      <c r="I631" t="s">
        <v>2550</v>
      </c>
      <c r="J631" s="8">
        <v>45645</v>
      </c>
      <c r="K631" s="1" t="s">
        <v>1479</v>
      </c>
      <c r="L631" t="s">
        <v>2551</v>
      </c>
      <c r="M631" t="s">
        <v>2552</v>
      </c>
      <c r="N631" s="2">
        <v>4360000</v>
      </c>
      <c r="O631" t="s">
        <v>273</v>
      </c>
      <c r="P631" s="6" t="s">
        <v>36</v>
      </c>
      <c r="Q631" t="s">
        <v>1993</v>
      </c>
      <c r="R631" t="s">
        <v>240</v>
      </c>
      <c r="S631" s="9">
        <v>5450</v>
      </c>
      <c r="T631" s="9">
        <v>800</v>
      </c>
      <c r="U631" s="9">
        <v>4360000</v>
      </c>
      <c r="V631" s="6" t="s">
        <v>39</v>
      </c>
      <c r="W631" t="s">
        <v>40</v>
      </c>
      <c r="X631">
        <v>7810687137</v>
      </c>
      <c r="Y631">
        <v>781401001</v>
      </c>
      <c r="Z631" s="3">
        <v>45652.776388888888</v>
      </c>
      <c r="AA631" s="6">
        <v>2024</v>
      </c>
      <c r="AB631" s="1">
        <v>45657</v>
      </c>
    </row>
    <row r="632" spans="1:28" x14ac:dyDescent="0.3">
      <c r="A632" t="s">
        <v>2546</v>
      </c>
      <c r="B632" s="6" t="s">
        <v>2547</v>
      </c>
      <c r="C632" s="6" t="s">
        <v>2548</v>
      </c>
      <c r="D632">
        <v>4401004514</v>
      </c>
      <c r="E632">
        <v>440101001</v>
      </c>
      <c r="F632" t="s">
        <v>149</v>
      </c>
      <c r="G632" t="s">
        <v>2549</v>
      </c>
      <c r="H632" s="1">
        <v>45642</v>
      </c>
      <c r="I632" t="s">
        <v>2550</v>
      </c>
      <c r="J632" s="8">
        <v>45645</v>
      </c>
      <c r="K632" s="1" t="s">
        <v>1479</v>
      </c>
      <c r="L632" t="s">
        <v>2553</v>
      </c>
      <c r="M632" t="s">
        <v>2552</v>
      </c>
      <c r="N632" s="2">
        <v>4360000</v>
      </c>
      <c r="O632" t="s">
        <v>273</v>
      </c>
      <c r="P632" s="6" t="s">
        <v>36</v>
      </c>
      <c r="Q632" t="s">
        <v>1993</v>
      </c>
      <c r="R632" t="s">
        <v>240</v>
      </c>
      <c r="S632" s="9">
        <v>5450</v>
      </c>
      <c r="T632" s="9">
        <v>800</v>
      </c>
      <c r="U632" s="9">
        <v>4360000</v>
      </c>
      <c r="V632" s="6" t="s">
        <v>39</v>
      </c>
      <c r="W632" t="s">
        <v>40</v>
      </c>
      <c r="X632">
        <v>7810687137</v>
      </c>
      <c r="Y632">
        <v>781401001</v>
      </c>
      <c r="Z632" s="3">
        <v>45652.777777777781</v>
      </c>
      <c r="AA632" s="6">
        <v>2024</v>
      </c>
      <c r="AB632" s="1">
        <v>45657</v>
      </c>
    </row>
    <row r="633" spans="1:28" x14ac:dyDescent="0.3">
      <c r="A633" t="s">
        <v>2554</v>
      </c>
      <c r="B633" s="6" t="s">
        <v>1399</v>
      </c>
      <c r="C633" s="6" t="s">
        <v>93</v>
      </c>
      <c r="D633">
        <v>4501025099</v>
      </c>
      <c r="E633">
        <v>450101001</v>
      </c>
      <c r="F633" t="s">
        <v>149</v>
      </c>
      <c r="G633" t="s">
        <v>2429</v>
      </c>
      <c r="H633" s="1">
        <v>45642</v>
      </c>
      <c r="J633" s="8">
        <v>45645</v>
      </c>
      <c r="K633" s="1" t="s">
        <v>1479</v>
      </c>
      <c r="L633" t="s">
        <v>2555</v>
      </c>
      <c r="M633" t="s">
        <v>273</v>
      </c>
      <c r="N633" s="2">
        <v>2998800</v>
      </c>
      <c r="O633" t="s">
        <v>2556</v>
      </c>
      <c r="P633" s="6" t="s">
        <v>1814</v>
      </c>
      <c r="R633" t="s">
        <v>240</v>
      </c>
      <c r="S633" s="9">
        <v>5100</v>
      </c>
      <c r="T633" s="9">
        <v>588</v>
      </c>
      <c r="U633" s="9">
        <v>2998800</v>
      </c>
      <c r="V633" s="6" t="s">
        <v>90</v>
      </c>
      <c r="W633" t="s">
        <v>59</v>
      </c>
      <c r="X633">
        <v>5259153331</v>
      </c>
      <c r="Y633">
        <v>525901001</v>
      </c>
      <c r="Z633" s="3">
        <v>45654.620138888888</v>
      </c>
      <c r="AA633" s="6">
        <v>2024</v>
      </c>
      <c r="AB633" s="1">
        <v>45747</v>
      </c>
    </row>
    <row r="634" spans="1:28" x14ac:dyDescent="0.3">
      <c r="A634" t="s">
        <v>2557</v>
      </c>
      <c r="B634" s="6" t="s">
        <v>2558</v>
      </c>
      <c r="C634" s="6" t="s">
        <v>479</v>
      </c>
      <c r="D634">
        <v>5507045262</v>
      </c>
      <c r="E634">
        <v>550701001</v>
      </c>
      <c r="F634" t="s">
        <v>149</v>
      </c>
      <c r="G634" t="s">
        <v>2559</v>
      </c>
      <c r="H634" s="1">
        <v>45642</v>
      </c>
      <c r="I634" t="s">
        <v>2560</v>
      </c>
      <c r="J634" s="8">
        <v>45645</v>
      </c>
      <c r="K634" s="1" t="s">
        <v>1479</v>
      </c>
      <c r="L634" t="s">
        <v>2561</v>
      </c>
      <c r="M634" t="s">
        <v>2562</v>
      </c>
      <c r="N634" s="2">
        <v>3876000</v>
      </c>
      <c r="O634" t="s">
        <v>273</v>
      </c>
      <c r="P634" s="6" t="s">
        <v>36</v>
      </c>
      <c r="R634" t="s">
        <v>240</v>
      </c>
      <c r="S634" s="9">
        <v>5100</v>
      </c>
      <c r="T634" s="9">
        <v>760</v>
      </c>
      <c r="U634" s="9">
        <v>3876000</v>
      </c>
      <c r="V634" s="6" t="s">
        <v>2435</v>
      </c>
      <c r="W634" t="s">
        <v>59</v>
      </c>
      <c r="X634">
        <v>5501217490</v>
      </c>
      <c r="Y634">
        <v>550101001</v>
      </c>
      <c r="Z634" s="3">
        <v>45654.458333333336</v>
      </c>
      <c r="AA634" s="6">
        <v>2024</v>
      </c>
      <c r="AB634" s="1">
        <v>45657</v>
      </c>
    </row>
    <row r="635" spans="1:28" x14ac:dyDescent="0.3">
      <c r="A635" t="s">
        <v>2557</v>
      </c>
      <c r="B635" s="6" t="s">
        <v>2558</v>
      </c>
      <c r="C635" s="6" t="s">
        <v>479</v>
      </c>
      <c r="D635">
        <v>5507045262</v>
      </c>
      <c r="E635">
        <v>550701001</v>
      </c>
      <c r="F635" t="s">
        <v>149</v>
      </c>
      <c r="G635" t="s">
        <v>2559</v>
      </c>
      <c r="H635" s="1">
        <v>45642</v>
      </c>
      <c r="I635" t="s">
        <v>2560</v>
      </c>
      <c r="J635" s="8">
        <v>45645</v>
      </c>
      <c r="K635" s="1" t="s">
        <v>1479</v>
      </c>
      <c r="L635" t="s">
        <v>2563</v>
      </c>
      <c r="M635" t="s">
        <v>2564</v>
      </c>
      <c r="N635" s="2">
        <v>3876000</v>
      </c>
      <c r="O635" t="s">
        <v>273</v>
      </c>
      <c r="P635" s="6" t="s">
        <v>36</v>
      </c>
      <c r="R635" t="s">
        <v>240</v>
      </c>
      <c r="S635" s="9">
        <v>5100</v>
      </c>
      <c r="T635" s="9">
        <v>760</v>
      </c>
      <c r="U635" s="9">
        <v>3876000</v>
      </c>
      <c r="V635" s="6" t="s">
        <v>2435</v>
      </c>
      <c r="W635" t="s">
        <v>59</v>
      </c>
      <c r="X635">
        <v>5501217490</v>
      </c>
      <c r="Y635">
        <v>550101001</v>
      </c>
      <c r="Z635" s="3">
        <v>45654.459027777775</v>
      </c>
      <c r="AA635" s="6">
        <v>2024</v>
      </c>
      <c r="AB635" s="1">
        <v>45657</v>
      </c>
    </row>
    <row r="636" spans="1:28" x14ac:dyDescent="0.3">
      <c r="A636" t="s">
        <v>2565</v>
      </c>
      <c r="B636" s="6" t="s">
        <v>139</v>
      </c>
      <c r="C636" s="6" t="s">
        <v>140</v>
      </c>
      <c r="D636">
        <v>3444198220</v>
      </c>
      <c r="E636">
        <v>346001001</v>
      </c>
      <c r="F636" t="s">
        <v>149</v>
      </c>
      <c r="G636" t="s">
        <v>2566</v>
      </c>
      <c r="H636" s="1">
        <v>45642</v>
      </c>
      <c r="J636" s="8">
        <v>45645</v>
      </c>
      <c r="K636" s="1" t="s">
        <v>1479</v>
      </c>
      <c r="L636" t="s">
        <v>2567</v>
      </c>
      <c r="M636" t="s">
        <v>377</v>
      </c>
      <c r="N636" s="2">
        <v>4967620</v>
      </c>
      <c r="O636" t="s">
        <v>2568</v>
      </c>
      <c r="P636" s="6" t="s">
        <v>36</v>
      </c>
      <c r="R636" t="s">
        <v>38</v>
      </c>
      <c r="S636" s="9">
        <v>5180</v>
      </c>
      <c r="T636" s="9">
        <v>959</v>
      </c>
      <c r="U636" s="9">
        <v>4967620</v>
      </c>
      <c r="V636" s="6" t="s">
        <v>145</v>
      </c>
      <c r="W636" t="s">
        <v>40</v>
      </c>
      <c r="X636">
        <v>5321132777</v>
      </c>
      <c r="Y636">
        <v>532101001</v>
      </c>
      <c r="Z636" s="3">
        <v>45653.52847222222</v>
      </c>
      <c r="AA636" s="6">
        <v>2024</v>
      </c>
      <c r="AB636" s="1">
        <v>45657</v>
      </c>
    </row>
    <row r="637" spans="1:28" x14ac:dyDescent="0.3">
      <c r="A637" t="s">
        <v>2569</v>
      </c>
      <c r="B637" s="6" t="s">
        <v>139</v>
      </c>
      <c r="C637" s="6" t="s">
        <v>140</v>
      </c>
      <c r="D637">
        <v>3444198220</v>
      </c>
      <c r="E637">
        <v>346001001</v>
      </c>
      <c r="F637" t="s">
        <v>149</v>
      </c>
      <c r="G637" t="s">
        <v>2570</v>
      </c>
      <c r="H637" s="1">
        <v>45642</v>
      </c>
      <c r="J637" s="8">
        <v>45645</v>
      </c>
      <c r="K637" s="1" t="s">
        <v>1479</v>
      </c>
      <c r="L637" t="s">
        <v>2571</v>
      </c>
      <c r="M637" t="s">
        <v>377</v>
      </c>
      <c r="N637" s="2">
        <v>4941720</v>
      </c>
      <c r="O637" t="s">
        <v>2568</v>
      </c>
      <c r="P637" s="6" t="s">
        <v>36</v>
      </c>
      <c r="R637" t="s">
        <v>38</v>
      </c>
      <c r="S637" s="9">
        <v>5180</v>
      </c>
      <c r="T637" s="9">
        <v>954</v>
      </c>
      <c r="U637" s="9">
        <v>4941720</v>
      </c>
      <c r="V637" s="6" t="s">
        <v>145</v>
      </c>
      <c r="W637" t="s">
        <v>40</v>
      </c>
      <c r="X637">
        <v>5321132777</v>
      </c>
      <c r="Y637">
        <v>532101001</v>
      </c>
      <c r="Z637" s="3">
        <v>45672.661805555559</v>
      </c>
      <c r="AA637" s="6">
        <v>2024</v>
      </c>
      <c r="AB637" s="1">
        <v>45657</v>
      </c>
    </row>
    <row r="638" spans="1:28" x14ac:dyDescent="0.3">
      <c r="A638" t="s">
        <v>2572</v>
      </c>
      <c r="B638" s="6" t="s">
        <v>139</v>
      </c>
      <c r="C638" s="6" t="s">
        <v>140</v>
      </c>
      <c r="D638">
        <v>3444198220</v>
      </c>
      <c r="E638">
        <v>346001001</v>
      </c>
      <c r="F638" t="s">
        <v>149</v>
      </c>
      <c r="G638" t="s">
        <v>2573</v>
      </c>
      <c r="H638" s="1">
        <v>45642</v>
      </c>
      <c r="J638" s="8">
        <v>45645</v>
      </c>
      <c r="K638" s="1" t="s">
        <v>1479</v>
      </c>
      <c r="L638" t="s">
        <v>2574</v>
      </c>
      <c r="M638" t="s">
        <v>377</v>
      </c>
      <c r="N638" s="2">
        <v>4936540</v>
      </c>
      <c r="O638" t="s">
        <v>2568</v>
      </c>
      <c r="P638" s="6" t="s">
        <v>36</v>
      </c>
      <c r="R638" t="s">
        <v>38</v>
      </c>
      <c r="S638" s="9">
        <v>5180</v>
      </c>
      <c r="T638" s="9">
        <v>953</v>
      </c>
      <c r="U638" s="9">
        <v>4936540</v>
      </c>
      <c r="V638" s="6" t="s">
        <v>145</v>
      </c>
      <c r="W638" t="s">
        <v>40</v>
      </c>
      <c r="X638">
        <v>5321132777</v>
      </c>
      <c r="Y638">
        <v>532101001</v>
      </c>
      <c r="Z638" s="3">
        <v>45672.662499999999</v>
      </c>
      <c r="AA638" s="6">
        <v>2024</v>
      </c>
      <c r="AB638" s="1">
        <v>45657</v>
      </c>
    </row>
    <row r="639" spans="1:28" x14ac:dyDescent="0.3">
      <c r="A639" t="s">
        <v>2572</v>
      </c>
      <c r="B639" s="6" t="s">
        <v>139</v>
      </c>
      <c r="C639" s="6" t="s">
        <v>140</v>
      </c>
      <c r="D639">
        <v>3444198220</v>
      </c>
      <c r="E639">
        <v>346001001</v>
      </c>
      <c r="F639" t="s">
        <v>149</v>
      </c>
      <c r="G639" t="s">
        <v>2573</v>
      </c>
      <c r="H639" s="1">
        <v>45642</v>
      </c>
      <c r="J639" s="8">
        <v>45645</v>
      </c>
      <c r="K639" s="1" t="s">
        <v>1479</v>
      </c>
      <c r="L639" t="s">
        <v>2575</v>
      </c>
      <c r="M639" t="s">
        <v>377</v>
      </c>
      <c r="N639" s="2">
        <v>4936540</v>
      </c>
      <c r="O639" t="s">
        <v>2568</v>
      </c>
      <c r="P639" s="6" t="s">
        <v>36</v>
      </c>
      <c r="R639" t="s">
        <v>38</v>
      </c>
      <c r="S639" s="9">
        <v>5180</v>
      </c>
      <c r="T639" s="9">
        <v>953</v>
      </c>
      <c r="U639" s="9">
        <v>4936540</v>
      </c>
      <c r="V639" s="6" t="s">
        <v>145</v>
      </c>
      <c r="W639" t="s">
        <v>40</v>
      </c>
      <c r="X639">
        <v>5321132777</v>
      </c>
      <c r="Y639">
        <v>532101001</v>
      </c>
      <c r="Z639" s="3">
        <v>45672.662499999999</v>
      </c>
      <c r="AA639" s="6">
        <v>2024</v>
      </c>
      <c r="AB639" s="1">
        <v>45657</v>
      </c>
    </row>
    <row r="640" spans="1:28" x14ac:dyDescent="0.3">
      <c r="A640" t="s">
        <v>2572</v>
      </c>
      <c r="B640" s="6" t="s">
        <v>139</v>
      </c>
      <c r="C640" s="6" t="s">
        <v>140</v>
      </c>
      <c r="D640">
        <v>3444198220</v>
      </c>
      <c r="E640">
        <v>346001001</v>
      </c>
      <c r="F640" t="s">
        <v>149</v>
      </c>
      <c r="G640" t="s">
        <v>2573</v>
      </c>
      <c r="H640" s="1">
        <v>45642</v>
      </c>
      <c r="J640" s="8">
        <v>45645</v>
      </c>
      <c r="K640" s="1" t="s">
        <v>1479</v>
      </c>
      <c r="L640" t="s">
        <v>2576</v>
      </c>
      <c r="M640" t="s">
        <v>377</v>
      </c>
      <c r="N640" s="2">
        <v>4936540</v>
      </c>
      <c r="O640" t="s">
        <v>2568</v>
      </c>
      <c r="P640" s="6" t="s">
        <v>36</v>
      </c>
      <c r="R640" t="s">
        <v>38</v>
      </c>
      <c r="S640" s="9">
        <v>5180</v>
      </c>
      <c r="T640" s="9">
        <v>953</v>
      </c>
      <c r="U640" s="9">
        <v>4936540</v>
      </c>
      <c r="V640" s="6" t="s">
        <v>145</v>
      </c>
      <c r="W640" t="s">
        <v>40</v>
      </c>
      <c r="X640">
        <v>5321132777</v>
      </c>
      <c r="Y640">
        <v>532101001</v>
      </c>
      <c r="Z640" s="3">
        <v>45672.663194444445</v>
      </c>
      <c r="AA640" s="6">
        <v>2024</v>
      </c>
      <c r="AB640" s="1">
        <v>45657</v>
      </c>
    </row>
    <row r="641" spans="1:28" x14ac:dyDescent="0.3">
      <c r="A641" t="s">
        <v>2572</v>
      </c>
      <c r="B641" s="6" t="s">
        <v>139</v>
      </c>
      <c r="C641" s="6" t="s">
        <v>140</v>
      </c>
      <c r="D641">
        <v>3444198220</v>
      </c>
      <c r="E641">
        <v>346001001</v>
      </c>
      <c r="F641" t="s">
        <v>149</v>
      </c>
      <c r="G641" t="s">
        <v>2573</v>
      </c>
      <c r="H641" s="1">
        <v>45642</v>
      </c>
      <c r="J641" s="8">
        <v>45645</v>
      </c>
      <c r="K641" s="1" t="s">
        <v>1479</v>
      </c>
      <c r="L641" t="s">
        <v>2577</v>
      </c>
      <c r="M641" t="s">
        <v>377</v>
      </c>
      <c r="N641" s="2">
        <v>4936540</v>
      </c>
      <c r="O641" t="s">
        <v>2568</v>
      </c>
      <c r="P641" s="6" t="s">
        <v>36</v>
      </c>
      <c r="R641" t="s">
        <v>38</v>
      </c>
      <c r="S641" s="9">
        <v>5180</v>
      </c>
      <c r="T641" s="9">
        <v>953</v>
      </c>
      <c r="U641" s="9">
        <v>4936540</v>
      </c>
      <c r="V641" s="6" t="s">
        <v>145</v>
      </c>
      <c r="W641" t="s">
        <v>40</v>
      </c>
      <c r="X641">
        <v>5321132777</v>
      </c>
      <c r="Y641">
        <v>532101001</v>
      </c>
      <c r="Z641" s="3">
        <v>45672.663888888892</v>
      </c>
      <c r="AA641" s="6">
        <v>2024</v>
      </c>
      <c r="AB641" s="1">
        <v>45657</v>
      </c>
    </row>
    <row r="642" spans="1:28" x14ac:dyDescent="0.3">
      <c r="A642" t="s">
        <v>2572</v>
      </c>
      <c r="B642" s="6" t="s">
        <v>139</v>
      </c>
      <c r="C642" s="6" t="s">
        <v>140</v>
      </c>
      <c r="D642">
        <v>3444198220</v>
      </c>
      <c r="E642">
        <v>346001001</v>
      </c>
      <c r="F642" t="s">
        <v>149</v>
      </c>
      <c r="G642" t="s">
        <v>2573</v>
      </c>
      <c r="H642" s="1">
        <v>45642</v>
      </c>
      <c r="J642" s="8">
        <v>45645</v>
      </c>
      <c r="K642" s="1" t="s">
        <v>1479</v>
      </c>
      <c r="L642" t="s">
        <v>2578</v>
      </c>
      <c r="M642" t="s">
        <v>377</v>
      </c>
      <c r="N642" s="2">
        <v>4936540</v>
      </c>
      <c r="O642" t="s">
        <v>2568</v>
      </c>
      <c r="P642" s="6" t="s">
        <v>36</v>
      </c>
      <c r="R642" t="s">
        <v>38</v>
      </c>
      <c r="S642" s="9">
        <v>5180</v>
      </c>
      <c r="T642" s="9">
        <v>953</v>
      </c>
      <c r="U642" s="9">
        <v>4936540</v>
      </c>
      <c r="V642" s="6" t="s">
        <v>145</v>
      </c>
      <c r="W642" t="s">
        <v>40</v>
      </c>
      <c r="X642">
        <v>5321132777</v>
      </c>
      <c r="Y642">
        <v>532101001</v>
      </c>
      <c r="Z642" s="3">
        <v>45672.666666666664</v>
      </c>
      <c r="AA642" s="6">
        <v>2024</v>
      </c>
      <c r="AB642" s="1">
        <v>45657</v>
      </c>
    </row>
    <row r="643" spans="1:28" x14ac:dyDescent="0.3">
      <c r="A643" t="s">
        <v>2572</v>
      </c>
      <c r="B643" s="6" t="s">
        <v>139</v>
      </c>
      <c r="C643" s="6" t="s">
        <v>140</v>
      </c>
      <c r="D643">
        <v>3444198220</v>
      </c>
      <c r="E643">
        <v>346001001</v>
      </c>
      <c r="F643" t="s">
        <v>149</v>
      </c>
      <c r="G643" t="s">
        <v>2573</v>
      </c>
      <c r="H643" s="1">
        <v>45642</v>
      </c>
      <c r="J643" s="8">
        <v>45645</v>
      </c>
      <c r="K643" s="1" t="s">
        <v>1479</v>
      </c>
      <c r="L643" t="s">
        <v>2579</v>
      </c>
      <c r="M643" t="s">
        <v>377</v>
      </c>
      <c r="N643" s="2">
        <v>4936540</v>
      </c>
      <c r="O643" t="s">
        <v>2568</v>
      </c>
      <c r="P643" s="6" t="s">
        <v>36</v>
      </c>
      <c r="R643" t="s">
        <v>38</v>
      </c>
      <c r="S643" s="9">
        <v>5180</v>
      </c>
      <c r="T643" s="9">
        <v>953</v>
      </c>
      <c r="U643" s="9">
        <v>4936540</v>
      </c>
      <c r="V643" s="6" t="s">
        <v>145</v>
      </c>
      <c r="W643" t="s">
        <v>40</v>
      </c>
      <c r="X643">
        <v>5321132777</v>
      </c>
      <c r="Y643">
        <v>532101001</v>
      </c>
      <c r="Z643" s="3">
        <v>45672.667361111111</v>
      </c>
      <c r="AA643" s="6">
        <v>2024</v>
      </c>
      <c r="AB643" s="1">
        <v>45657</v>
      </c>
    </row>
    <row r="644" spans="1:28" x14ac:dyDescent="0.3">
      <c r="A644" t="s">
        <v>2572</v>
      </c>
      <c r="B644" s="6" t="s">
        <v>139</v>
      </c>
      <c r="C644" s="6" t="s">
        <v>140</v>
      </c>
      <c r="D644">
        <v>3444198220</v>
      </c>
      <c r="E644">
        <v>346001001</v>
      </c>
      <c r="F644" t="s">
        <v>149</v>
      </c>
      <c r="G644" t="s">
        <v>2573</v>
      </c>
      <c r="H644" s="1">
        <v>45642</v>
      </c>
      <c r="J644" s="8">
        <v>45645</v>
      </c>
      <c r="K644" s="1" t="s">
        <v>1479</v>
      </c>
      <c r="L644" t="s">
        <v>2580</v>
      </c>
      <c r="M644" t="s">
        <v>377</v>
      </c>
      <c r="N644" s="2">
        <v>4936540</v>
      </c>
      <c r="O644" t="s">
        <v>2568</v>
      </c>
      <c r="P644" s="6" t="s">
        <v>36</v>
      </c>
      <c r="R644" t="s">
        <v>38</v>
      </c>
      <c r="S644" s="9">
        <v>5180</v>
      </c>
      <c r="T644" s="9">
        <v>953</v>
      </c>
      <c r="U644" s="9">
        <v>4936540</v>
      </c>
      <c r="V644" s="6" t="s">
        <v>145</v>
      </c>
      <c r="W644" t="s">
        <v>40</v>
      </c>
      <c r="X644">
        <v>5321132777</v>
      </c>
      <c r="Y644">
        <v>532101001</v>
      </c>
      <c r="Z644" s="3">
        <v>45672.667361111111</v>
      </c>
      <c r="AA644" s="6">
        <v>2024</v>
      </c>
      <c r="AB644" s="1">
        <v>45657</v>
      </c>
    </row>
    <row r="645" spans="1:28" x14ac:dyDescent="0.3">
      <c r="A645" t="s">
        <v>2581</v>
      </c>
      <c r="B645" s="6" t="s">
        <v>782</v>
      </c>
      <c r="C645" s="6" t="s">
        <v>783</v>
      </c>
      <c r="D645">
        <v>6231025123</v>
      </c>
      <c r="E645">
        <v>623401001</v>
      </c>
      <c r="F645" t="s">
        <v>94</v>
      </c>
      <c r="G645" t="s">
        <v>2582</v>
      </c>
      <c r="H645" s="1">
        <v>45637</v>
      </c>
      <c r="J645" s="8">
        <v>45645</v>
      </c>
      <c r="K645" s="1" t="s">
        <v>1479</v>
      </c>
      <c r="L645" t="s">
        <v>2583</v>
      </c>
      <c r="M645" t="s">
        <v>2584</v>
      </c>
      <c r="N645" s="2">
        <v>5267500</v>
      </c>
      <c r="O645" t="s">
        <v>440</v>
      </c>
      <c r="P645" s="6" t="s">
        <v>36</v>
      </c>
      <c r="Q645" t="s">
        <v>37</v>
      </c>
      <c r="R645" t="s">
        <v>240</v>
      </c>
      <c r="S645" s="9">
        <v>4900</v>
      </c>
      <c r="T645" s="9">
        <v>1075</v>
      </c>
      <c r="U645" s="9">
        <v>5267500</v>
      </c>
      <c r="V645" s="6" t="s">
        <v>111</v>
      </c>
      <c r="W645" t="s">
        <v>59</v>
      </c>
      <c r="X645">
        <v>5262258091</v>
      </c>
      <c r="Y645">
        <v>526201001</v>
      </c>
      <c r="Z645" s="3">
        <v>45653.370833333334</v>
      </c>
      <c r="AA645" s="6">
        <v>2024</v>
      </c>
      <c r="AB645" s="1">
        <v>45654</v>
      </c>
    </row>
    <row r="646" spans="1:28" x14ac:dyDescent="0.3">
      <c r="A646" t="s">
        <v>2585</v>
      </c>
      <c r="B646" s="6" t="s">
        <v>782</v>
      </c>
      <c r="C646" s="6" t="s">
        <v>783</v>
      </c>
      <c r="D646">
        <v>6231025123</v>
      </c>
      <c r="E646">
        <v>623401001</v>
      </c>
      <c r="F646" t="s">
        <v>94</v>
      </c>
      <c r="G646" t="s">
        <v>2586</v>
      </c>
      <c r="H646" s="1">
        <v>45637</v>
      </c>
      <c r="J646" s="8">
        <v>45645</v>
      </c>
      <c r="K646" s="1" t="s">
        <v>1479</v>
      </c>
      <c r="L646" t="s">
        <v>2587</v>
      </c>
      <c r="M646" t="s">
        <v>2588</v>
      </c>
      <c r="N646" s="2">
        <v>4630500</v>
      </c>
      <c r="O646" t="s">
        <v>440</v>
      </c>
      <c r="P646" s="6" t="s">
        <v>36</v>
      </c>
      <c r="Q646" t="s">
        <v>1993</v>
      </c>
      <c r="R646" t="s">
        <v>240</v>
      </c>
      <c r="S646" s="9">
        <v>4900</v>
      </c>
      <c r="T646" s="9">
        <v>945</v>
      </c>
      <c r="U646" s="9">
        <v>4630500</v>
      </c>
      <c r="V646" s="6" t="s">
        <v>111</v>
      </c>
      <c r="W646" t="s">
        <v>59</v>
      </c>
      <c r="X646">
        <v>5262258091</v>
      </c>
      <c r="Y646">
        <v>526201001</v>
      </c>
      <c r="Z646" s="3">
        <v>45653.368750000001</v>
      </c>
      <c r="AA646" s="6">
        <v>2024</v>
      </c>
      <c r="AB646" s="1">
        <v>45654</v>
      </c>
    </row>
    <row r="647" spans="1:28" x14ac:dyDescent="0.3">
      <c r="A647" t="s">
        <v>2519</v>
      </c>
      <c r="B647" s="6" t="s">
        <v>220</v>
      </c>
      <c r="C647" s="6" t="s">
        <v>221</v>
      </c>
      <c r="D647">
        <v>5024068656</v>
      </c>
      <c r="E647">
        <v>502401001</v>
      </c>
      <c r="F647" t="s">
        <v>94</v>
      </c>
      <c r="G647" t="s">
        <v>2520</v>
      </c>
      <c r="H647" s="1">
        <v>45642</v>
      </c>
      <c r="J647" s="8">
        <v>45645</v>
      </c>
      <c r="K647" s="1" t="s">
        <v>1479</v>
      </c>
      <c r="L647" t="s">
        <v>2520</v>
      </c>
      <c r="M647" t="s">
        <v>2589</v>
      </c>
      <c r="N647" s="2">
        <v>8791200</v>
      </c>
      <c r="O647" t="s">
        <v>494</v>
      </c>
      <c r="P647" s="6" t="s">
        <v>36</v>
      </c>
      <c r="R647" t="s">
        <v>38</v>
      </c>
      <c r="S647" s="9">
        <v>4440</v>
      </c>
      <c r="T647" s="9">
        <v>1980</v>
      </c>
      <c r="U647" s="9">
        <v>8791200</v>
      </c>
      <c r="V647" s="6" t="s">
        <v>128</v>
      </c>
      <c r="W647" t="s">
        <v>129</v>
      </c>
      <c r="X647">
        <v>274110679</v>
      </c>
      <c r="Y647">
        <v>500801001</v>
      </c>
      <c r="Z647" s="3">
        <v>45673.376388888886</v>
      </c>
      <c r="AA647" s="6">
        <v>2024</v>
      </c>
      <c r="AB647" s="1">
        <v>45652</v>
      </c>
    </row>
    <row r="648" spans="1:28" x14ac:dyDescent="0.3">
      <c r="A648" t="s">
        <v>2590</v>
      </c>
      <c r="B648" s="6" t="s">
        <v>68</v>
      </c>
      <c r="C648" s="6" t="s">
        <v>69</v>
      </c>
      <c r="D648">
        <v>8300010526</v>
      </c>
      <c r="E648">
        <v>298301001</v>
      </c>
      <c r="F648" t="s">
        <v>149</v>
      </c>
      <c r="G648" t="s">
        <v>2591</v>
      </c>
      <c r="H648" s="1">
        <v>45642</v>
      </c>
      <c r="I648" t="s">
        <v>2550</v>
      </c>
      <c r="J648" s="8">
        <v>45645</v>
      </c>
      <c r="K648" s="1" t="s">
        <v>1479</v>
      </c>
      <c r="L648">
        <v>555</v>
      </c>
      <c r="M648" t="s">
        <v>273</v>
      </c>
      <c r="N648" s="2">
        <v>1057536</v>
      </c>
      <c r="O648" t="s">
        <v>440</v>
      </c>
      <c r="P648" s="6" t="s">
        <v>36</v>
      </c>
      <c r="R648" t="s">
        <v>240</v>
      </c>
      <c r="S648" s="9">
        <v>5508</v>
      </c>
      <c r="T648" s="9">
        <v>192</v>
      </c>
      <c r="U648" s="9">
        <v>1057536</v>
      </c>
      <c r="V648" s="6" t="s">
        <v>39</v>
      </c>
      <c r="W648" t="s">
        <v>40</v>
      </c>
      <c r="X648">
        <v>7810687137</v>
      </c>
      <c r="Y648">
        <v>781401001</v>
      </c>
      <c r="Z648" s="3">
        <v>45673.410416666666</v>
      </c>
      <c r="AA648" s="6">
        <v>2024</v>
      </c>
      <c r="AB648" s="1">
        <v>45654</v>
      </c>
    </row>
    <row r="649" spans="1:28" x14ac:dyDescent="0.3">
      <c r="A649" t="s">
        <v>2554</v>
      </c>
      <c r="B649" s="6" t="s">
        <v>1399</v>
      </c>
      <c r="C649" s="6" t="s">
        <v>93</v>
      </c>
      <c r="D649">
        <v>4501025099</v>
      </c>
      <c r="E649">
        <v>450101001</v>
      </c>
      <c r="F649" t="s">
        <v>149</v>
      </c>
      <c r="G649" t="s">
        <v>2429</v>
      </c>
      <c r="H649" s="1">
        <v>45642</v>
      </c>
      <c r="J649" s="8">
        <v>45645</v>
      </c>
      <c r="K649" s="1" t="s">
        <v>1479</v>
      </c>
      <c r="L649" t="s">
        <v>2592</v>
      </c>
      <c r="M649" t="s">
        <v>377</v>
      </c>
      <c r="N649" s="2">
        <v>2998800</v>
      </c>
      <c r="O649" t="s">
        <v>1881</v>
      </c>
      <c r="P649" s="6" t="s">
        <v>891</v>
      </c>
      <c r="Q649" t="s">
        <v>37</v>
      </c>
      <c r="R649" t="s">
        <v>38</v>
      </c>
      <c r="S649" s="9">
        <v>5100</v>
      </c>
      <c r="T649" s="9">
        <v>588</v>
      </c>
      <c r="U649" s="9">
        <v>2998800</v>
      </c>
      <c r="V649" s="6" t="s">
        <v>90</v>
      </c>
      <c r="W649" t="s">
        <v>59</v>
      </c>
      <c r="X649">
        <v>5259153331</v>
      </c>
      <c r="Y649">
        <v>525901001</v>
      </c>
      <c r="Z649" s="3">
        <v>45655.169444444444</v>
      </c>
      <c r="AA649" s="6">
        <v>2024</v>
      </c>
      <c r="AB649" s="1">
        <v>45747</v>
      </c>
    </row>
    <row r="650" spans="1:28" x14ac:dyDescent="0.3">
      <c r="A650" t="s">
        <v>2593</v>
      </c>
      <c r="B650" s="6" t="s">
        <v>964</v>
      </c>
      <c r="C650" s="6" t="s">
        <v>965</v>
      </c>
      <c r="D650">
        <v>7021021653</v>
      </c>
      <c r="E650">
        <v>701701001</v>
      </c>
      <c r="F650" t="s">
        <v>94</v>
      </c>
      <c r="G650" t="s">
        <v>2594</v>
      </c>
      <c r="H650" s="1">
        <v>45643</v>
      </c>
      <c r="J650" s="8">
        <v>45646</v>
      </c>
      <c r="K650" s="1" t="s">
        <v>1479</v>
      </c>
      <c r="L650" t="s">
        <v>2595</v>
      </c>
      <c r="M650" t="s">
        <v>2596</v>
      </c>
      <c r="N650" s="2">
        <v>2179530</v>
      </c>
      <c r="O650" t="s">
        <v>494</v>
      </c>
      <c r="P650" s="6" t="s">
        <v>36</v>
      </c>
      <c r="R650" t="s">
        <v>38</v>
      </c>
      <c r="S650" s="9">
        <v>5490</v>
      </c>
      <c r="T650" s="9">
        <v>397</v>
      </c>
      <c r="U650" s="9">
        <v>2179530</v>
      </c>
      <c r="V650" s="6" t="s">
        <v>750</v>
      </c>
      <c r="W650" t="s">
        <v>59</v>
      </c>
      <c r="X650">
        <v>540123954976</v>
      </c>
      <c r="Z650" s="3">
        <v>45653.59375</v>
      </c>
      <c r="AA650" s="6">
        <v>2024</v>
      </c>
      <c r="AB650" s="1">
        <v>45657</v>
      </c>
    </row>
    <row r="651" spans="1:28" x14ac:dyDescent="0.3">
      <c r="A651" t="s">
        <v>2597</v>
      </c>
      <c r="B651" s="6" t="s">
        <v>245</v>
      </c>
      <c r="C651" s="6" t="s">
        <v>246</v>
      </c>
      <c r="D651">
        <v>7107006311</v>
      </c>
      <c r="E651">
        <v>710701001</v>
      </c>
      <c r="F651" t="s">
        <v>94</v>
      </c>
      <c r="G651" t="s">
        <v>2598</v>
      </c>
      <c r="H651" s="1">
        <v>45643</v>
      </c>
      <c r="J651" s="8">
        <v>45646</v>
      </c>
      <c r="K651" s="1" t="s">
        <v>1479</v>
      </c>
      <c r="L651" t="s">
        <v>2599</v>
      </c>
      <c r="M651" t="s">
        <v>1421</v>
      </c>
      <c r="N651" s="2">
        <v>8046000</v>
      </c>
      <c r="O651" t="s">
        <v>377</v>
      </c>
      <c r="P651" s="6" t="s">
        <v>36</v>
      </c>
      <c r="R651" t="s">
        <v>38</v>
      </c>
      <c r="S651" s="9">
        <v>4500</v>
      </c>
      <c r="T651" s="9">
        <v>1788</v>
      </c>
      <c r="U651" s="9">
        <v>8046000</v>
      </c>
      <c r="V651" s="6" t="s">
        <v>1422</v>
      </c>
      <c r="W651" t="s">
        <v>252</v>
      </c>
      <c r="X651">
        <v>7704413624</v>
      </c>
      <c r="Y651">
        <v>507401001</v>
      </c>
      <c r="Z651" s="3">
        <v>45653.46875</v>
      </c>
      <c r="AA651" s="6">
        <v>2024</v>
      </c>
      <c r="AB651" s="1">
        <v>45656</v>
      </c>
    </row>
    <row r="652" spans="1:28" x14ac:dyDescent="0.3">
      <c r="A652" t="s">
        <v>2600</v>
      </c>
      <c r="B652" s="6" t="s">
        <v>1448</v>
      </c>
      <c r="C652" s="6" t="s">
        <v>947</v>
      </c>
      <c r="D652">
        <v>7300016734</v>
      </c>
      <c r="E652">
        <v>730001001</v>
      </c>
      <c r="F652" t="s">
        <v>149</v>
      </c>
      <c r="G652" t="s">
        <v>2601</v>
      </c>
      <c r="H652" s="1">
        <v>45643</v>
      </c>
      <c r="I652" t="s">
        <v>2602</v>
      </c>
      <c r="J652" s="8">
        <v>45646</v>
      </c>
      <c r="K652" s="1" t="s">
        <v>1479</v>
      </c>
      <c r="L652" t="s">
        <v>2601</v>
      </c>
      <c r="M652" t="s">
        <v>273</v>
      </c>
      <c r="N652" s="2">
        <v>4111760</v>
      </c>
      <c r="O652" t="s">
        <v>2603</v>
      </c>
      <c r="P652" s="6" t="s">
        <v>36</v>
      </c>
      <c r="R652" t="s">
        <v>240</v>
      </c>
      <c r="S652" s="9">
        <v>4990</v>
      </c>
      <c r="T652" s="9">
        <v>824</v>
      </c>
      <c r="U652" s="9">
        <v>4111760</v>
      </c>
      <c r="V652" s="6" t="s">
        <v>39</v>
      </c>
      <c r="W652" t="s">
        <v>40</v>
      </c>
      <c r="X652">
        <v>7810687137</v>
      </c>
      <c r="Y652">
        <v>781401001</v>
      </c>
      <c r="Z652" s="3">
        <v>45666.57708333333</v>
      </c>
      <c r="AA652" s="6">
        <v>2024</v>
      </c>
      <c r="AB652" s="1">
        <v>45657</v>
      </c>
    </row>
    <row r="653" spans="1:28" x14ac:dyDescent="0.3">
      <c r="A653" t="s">
        <v>2519</v>
      </c>
      <c r="B653" s="6" t="s">
        <v>220</v>
      </c>
      <c r="C653" s="6" t="s">
        <v>221</v>
      </c>
      <c r="D653">
        <v>5024068656</v>
      </c>
      <c r="E653">
        <v>502401001</v>
      </c>
      <c r="F653" t="s">
        <v>94</v>
      </c>
      <c r="G653" t="s">
        <v>2520</v>
      </c>
      <c r="H653" s="1">
        <v>45643</v>
      </c>
      <c r="J653" s="8">
        <v>45646</v>
      </c>
      <c r="K653" s="1" t="s">
        <v>1479</v>
      </c>
      <c r="L653" t="s">
        <v>2520</v>
      </c>
      <c r="M653" t="s">
        <v>2604</v>
      </c>
      <c r="N653" s="2">
        <v>8791200</v>
      </c>
      <c r="O653" t="s">
        <v>494</v>
      </c>
      <c r="P653" s="6" t="s">
        <v>36</v>
      </c>
      <c r="R653" t="s">
        <v>38</v>
      </c>
      <c r="S653" s="9">
        <v>4440</v>
      </c>
      <c r="T653" s="9">
        <v>1980</v>
      </c>
      <c r="U653" s="9">
        <v>8791200</v>
      </c>
      <c r="V653" s="6" t="s">
        <v>128</v>
      </c>
      <c r="W653" t="s">
        <v>129</v>
      </c>
      <c r="X653">
        <v>274110679</v>
      </c>
      <c r="Y653">
        <v>500801001</v>
      </c>
      <c r="Z653" s="3">
        <v>45673.375</v>
      </c>
      <c r="AA653" s="6">
        <v>2024</v>
      </c>
      <c r="AB653" s="1">
        <v>45652</v>
      </c>
    </row>
    <row r="654" spans="1:28" x14ac:dyDescent="0.3">
      <c r="A654" t="s">
        <v>2519</v>
      </c>
      <c r="B654" s="6" t="s">
        <v>220</v>
      </c>
      <c r="C654" s="6" t="s">
        <v>221</v>
      </c>
      <c r="D654">
        <v>5024068656</v>
      </c>
      <c r="E654">
        <v>502401001</v>
      </c>
      <c r="F654" t="s">
        <v>94</v>
      </c>
      <c r="G654" t="s">
        <v>2520</v>
      </c>
      <c r="H654" s="1">
        <v>45643</v>
      </c>
      <c r="J654" s="8">
        <v>45646</v>
      </c>
      <c r="K654" s="1" t="s">
        <v>1479</v>
      </c>
      <c r="L654" t="s">
        <v>2520</v>
      </c>
      <c r="M654" t="s">
        <v>2605</v>
      </c>
      <c r="N654" s="2">
        <v>8791200</v>
      </c>
      <c r="O654" t="s">
        <v>494</v>
      </c>
      <c r="P654" s="6" t="s">
        <v>36</v>
      </c>
      <c r="R654" t="s">
        <v>38</v>
      </c>
      <c r="S654" s="9">
        <v>4440</v>
      </c>
      <c r="T654" s="9">
        <v>1980</v>
      </c>
      <c r="U654" s="9">
        <v>8791200</v>
      </c>
      <c r="V654" s="6" t="s">
        <v>128</v>
      </c>
      <c r="W654" t="s">
        <v>129</v>
      </c>
      <c r="X654">
        <v>274110679</v>
      </c>
      <c r="Y654">
        <v>500801001</v>
      </c>
      <c r="Z654" s="3">
        <v>45673.372916666667</v>
      </c>
      <c r="AA654" s="6">
        <v>2024</v>
      </c>
      <c r="AB654" s="1">
        <v>45652</v>
      </c>
    </row>
    <row r="655" spans="1:28" x14ac:dyDescent="0.3">
      <c r="A655" t="s">
        <v>2519</v>
      </c>
      <c r="B655" s="6" t="s">
        <v>220</v>
      </c>
      <c r="C655" s="6" t="s">
        <v>221</v>
      </c>
      <c r="D655">
        <v>5024068656</v>
      </c>
      <c r="E655">
        <v>502401001</v>
      </c>
      <c r="F655" t="s">
        <v>94</v>
      </c>
      <c r="G655" t="s">
        <v>2520</v>
      </c>
      <c r="H655" s="1">
        <v>45643</v>
      </c>
      <c r="J655" s="8">
        <v>45646</v>
      </c>
      <c r="K655" s="1" t="s">
        <v>1479</v>
      </c>
      <c r="L655" t="s">
        <v>2520</v>
      </c>
      <c r="M655" t="s">
        <v>2606</v>
      </c>
      <c r="N655" s="2">
        <v>8791200</v>
      </c>
      <c r="O655" t="s">
        <v>494</v>
      </c>
      <c r="P655" s="6" t="s">
        <v>36</v>
      </c>
      <c r="R655" t="s">
        <v>38</v>
      </c>
      <c r="S655" s="9">
        <v>4440</v>
      </c>
      <c r="T655" s="9">
        <v>1980</v>
      </c>
      <c r="U655" s="9">
        <v>8791200</v>
      </c>
      <c r="V655" s="6" t="s">
        <v>128</v>
      </c>
      <c r="W655" t="s">
        <v>129</v>
      </c>
      <c r="X655">
        <v>274110679</v>
      </c>
      <c r="Y655">
        <v>500801001</v>
      </c>
      <c r="Z655" s="3">
        <v>45672.431944444441</v>
      </c>
      <c r="AA655" s="6">
        <v>2024</v>
      </c>
      <c r="AB655" s="1">
        <v>45652</v>
      </c>
    </row>
    <row r="656" spans="1:28" x14ac:dyDescent="0.3">
      <c r="A656" t="s">
        <v>2607</v>
      </c>
      <c r="B656" s="6" t="s">
        <v>197</v>
      </c>
      <c r="C656" s="6" t="s">
        <v>198</v>
      </c>
      <c r="D656">
        <v>1001046786</v>
      </c>
      <c r="E656">
        <v>100101001</v>
      </c>
      <c r="F656" t="s">
        <v>149</v>
      </c>
      <c r="G656" t="s">
        <v>2608</v>
      </c>
      <c r="H656" s="1">
        <v>45643</v>
      </c>
      <c r="I656" t="s">
        <v>2609</v>
      </c>
      <c r="J656" s="8">
        <v>45646</v>
      </c>
      <c r="K656" s="1" t="s">
        <v>1479</v>
      </c>
      <c r="L656" t="s">
        <v>2608</v>
      </c>
      <c r="M656" t="s">
        <v>377</v>
      </c>
      <c r="N656" s="2">
        <v>2534020</v>
      </c>
      <c r="O656" t="s">
        <v>2236</v>
      </c>
      <c r="P656" s="6" t="s">
        <v>36</v>
      </c>
      <c r="R656" t="s">
        <v>38</v>
      </c>
      <c r="S656" s="9">
        <v>4930</v>
      </c>
      <c r="T656" s="9">
        <v>514</v>
      </c>
      <c r="U656" s="9">
        <v>2534020</v>
      </c>
      <c r="V656" s="6" t="s">
        <v>39</v>
      </c>
      <c r="W656" t="s">
        <v>40</v>
      </c>
      <c r="X656">
        <v>7810687137</v>
      </c>
      <c r="Y656">
        <v>781401001</v>
      </c>
      <c r="Z656" s="3">
        <v>45654.522222222222</v>
      </c>
      <c r="AA656" s="6">
        <v>2024</v>
      </c>
      <c r="AB656" s="1">
        <v>45657</v>
      </c>
    </row>
    <row r="657" spans="1:28" x14ac:dyDescent="0.3">
      <c r="A657" t="s">
        <v>2610</v>
      </c>
      <c r="B657" s="6" t="s">
        <v>75</v>
      </c>
      <c r="C657" s="6" t="s">
        <v>76</v>
      </c>
      <c r="D657">
        <v>2633004253</v>
      </c>
      <c r="E657">
        <v>263601001</v>
      </c>
      <c r="F657" t="s">
        <v>52</v>
      </c>
      <c r="G657" t="s">
        <v>2611</v>
      </c>
      <c r="H657" s="1">
        <v>45635</v>
      </c>
      <c r="J657" s="8">
        <v>45646</v>
      </c>
      <c r="K657" s="1" t="s">
        <v>1479</v>
      </c>
      <c r="L657" t="s">
        <v>2611</v>
      </c>
      <c r="M657" t="s">
        <v>2612</v>
      </c>
      <c r="N657" s="2">
        <v>28540277.34</v>
      </c>
      <c r="O657" t="s">
        <v>273</v>
      </c>
      <c r="P657" s="6" t="s">
        <v>36</v>
      </c>
      <c r="R657" t="s">
        <v>240</v>
      </c>
      <c r="S657" s="9">
        <v>5822.17</v>
      </c>
      <c r="T657" s="9">
        <v>4902</v>
      </c>
      <c r="U657" s="9">
        <v>28540277.34</v>
      </c>
      <c r="V657" s="6" t="s">
        <v>39</v>
      </c>
      <c r="W657" t="s">
        <v>40</v>
      </c>
      <c r="X657">
        <v>7810687137</v>
      </c>
      <c r="Y657">
        <v>781401001</v>
      </c>
      <c r="Z657" s="3">
        <v>45660.581250000003</v>
      </c>
      <c r="AA657" s="6">
        <v>2024</v>
      </c>
      <c r="AB657" s="1">
        <v>45657</v>
      </c>
    </row>
    <row r="658" spans="1:28" x14ac:dyDescent="0.3">
      <c r="A658" t="s">
        <v>2613</v>
      </c>
      <c r="B658" s="6" t="s">
        <v>113</v>
      </c>
      <c r="C658" s="6" t="s">
        <v>114</v>
      </c>
      <c r="D658">
        <v>8601035838</v>
      </c>
      <c r="E658">
        <v>860201001</v>
      </c>
      <c r="F658" t="s">
        <v>52</v>
      </c>
      <c r="G658" t="s">
        <v>2614</v>
      </c>
      <c r="H658" s="1">
        <v>45635</v>
      </c>
      <c r="I658" t="s">
        <v>2615</v>
      </c>
      <c r="J658" s="8">
        <v>45646</v>
      </c>
      <c r="K658" s="1" t="s">
        <v>1479</v>
      </c>
      <c r="L658">
        <v>24007655</v>
      </c>
      <c r="M658" t="s">
        <v>2616</v>
      </c>
      <c r="N658" s="2">
        <v>7212400</v>
      </c>
      <c r="O658" t="s">
        <v>1366</v>
      </c>
      <c r="P658" s="6" t="s">
        <v>36</v>
      </c>
      <c r="Q658" t="s">
        <v>1993</v>
      </c>
      <c r="R658" t="s">
        <v>240</v>
      </c>
      <c r="S658" s="9">
        <v>5200</v>
      </c>
      <c r="T658" s="9">
        <v>1387</v>
      </c>
      <c r="U658" s="9">
        <v>7212400</v>
      </c>
      <c r="V658" s="6" t="s">
        <v>119</v>
      </c>
      <c r="W658" t="s">
        <v>59</v>
      </c>
      <c r="X658">
        <v>7810776309</v>
      </c>
      <c r="Y658">
        <v>780601001</v>
      </c>
      <c r="Z658" s="3">
        <v>45677.314583333333</v>
      </c>
      <c r="AA658" s="6">
        <v>2024</v>
      </c>
      <c r="AB658" s="1">
        <v>45727</v>
      </c>
    </row>
    <row r="659" spans="1:28" x14ac:dyDescent="0.3">
      <c r="A659" t="s">
        <v>2617</v>
      </c>
      <c r="B659" s="6" t="s">
        <v>245</v>
      </c>
      <c r="C659" s="6" t="s">
        <v>246</v>
      </c>
      <c r="D659">
        <v>7107006311</v>
      </c>
      <c r="E659">
        <v>710701001</v>
      </c>
      <c r="F659" t="s">
        <v>94</v>
      </c>
      <c r="G659" t="s">
        <v>2618</v>
      </c>
      <c r="H659" s="1">
        <v>45643</v>
      </c>
      <c r="J659" s="8">
        <v>45646</v>
      </c>
      <c r="K659" s="1" t="s">
        <v>1479</v>
      </c>
      <c r="L659" t="s">
        <v>2619</v>
      </c>
      <c r="M659" t="s">
        <v>1421</v>
      </c>
      <c r="N659" s="2">
        <v>7116240</v>
      </c>
      <c r="O659" t="s">
        <v>1912</v>
      </c>
      <c r="P659" s="6" t="s">
        <v>891</v>
      </c>
      <c r="Q659" t="s">
        <v>1993</v>
      </c>
      <c r="R659" t="s">
        <v>38</v>
      </c>
      <c r="S659" s="9">
        <v>3980</v>
      </c>
      <c r="T659" s="9">
        <v>1788</v>
      </c>
      <c r="U659" s="9">
        <v>7116240</v>
      </c>
      <c r="V659" s="6" t="s">
        <v>1612</v>
      </c>
      <c r="W659" t="s">
        <v>1613</v>
      </c>
      <c r="X659">
        <v>9727026181</v>
      </c>
      <c r="Y659">
        <v>770601001</v>
      </c>
      <c r="Z659" s="3">
        <v>45653.468055555553</v>
      </c>
      <c r="AA659" s="6">
        <v>2024</v>
      </c>
      <c r="AB659" s="1">
        <v>45656</v>
      </c>
    </row>
    <row r="660" spans="1:28" x14ac:dyDescent="0.3">
      <c r="A660" s="4" t="s">
        <v>2620</v>
      </c>
      <c r="B660" s="6" t="s">
        <v>276</v>
      </c>
      <c r="C660" s="6" t="s">
        <v>277</v>
      </c>
      <c r="D660">
        <v>9102012869</v>
      </c>
      <c r="E660">
        <v>910201001</v>
      </c>
      <c r="F660" t="s">
        <v>149</v>
      </c>
      <c r="G660" t="s">
        <v>2621</v>
      </c>
      <c r="H660" s="1">
        <v>45643</v>
      </c>
      <c r="I660" t="s">
        <v>2609</v>
      </c>
      <c r="J660" s="8">
        <v>45646</v>
      </c>
      <c r="K660" s="1" t="s">
        <v>1479</v>
      </c>
      <c r="L660" t="s">
        <v>2622</v>
      </c>
      <c r="M660" t="s">
        <v>377</v>
      </c>
      <c r="N660" s="2">
        <v>50616</v>
      </c>
      <c r="O660" t="s">
        <v>377</v>
      </c>
      <c r="P660" s="6" t="s">
        <v>891</v>
      </c>
      <c r="Q660" t="s">
        <v>37</v>
      </c>
      <c r="R660" t="s">
        <v>38</v>
      </c>
      <c r="S660" s="9">
        <v>6327</v>
      </c>
      <c r="T660" s="9">
        <v>8</v>
      </c>
      <c r="U660" s="9">
        <v>50616</v>
      </c>
      <c r="V660" s="6" t="s">
        <v>2623</v>
      </c>
      <c r="W660" t="s">
        <v>40</v>
      </c>
      <c r="X660">
        <v>9731002610</v>
      </c>
      <c r="Y660">
        <v>773101001</v>
      </c>
      <c r="Z660" s="3">
        <v>45655.527777777781</v>
      </c>
      <c r="AA660" s="6">
        <v>2024</v>
      </c>
      <c r="AB660" s="1">
        <v>45656</v>
      </c>
    </row>
    <row r="661" spans="1:28" x14ac:dyDescent="0.3">
      <c r="A661" t="s">
        <v>2624</v>
      </c>
      <c r="B661" s="6" t="s">
        <v>197</v>
      </c>
      <c r="C661" s="6" t="s">
        <v>198</v>
      </c>
      <c r="D661">
        <v>1001046786</v>
      </c>
      <c r="E661">
        <v>100101001</v>
      </c>
      <c r="F661" t="s">
        <v>149</v>
      </c>
      <c r="G661" t="s">
        <v>2625</v>
      </c>
      <c r="H661" s="1">
        <v>45644</v>
      </c>
      <c r="J661" s="8">
        <v>45647</v>
      </c>
      <c r="K661" s="1" t="s">
        <v>1479</v>
      </c>
      <c r="L661" t="s">
        <v>2626</v>
      </c>
      <c r="M661" t="s">
        <v>377</v>
      </c>
      <c r="N661" s="2">
        <v>1976930</v>
      </c>
      <c r="O661" t="s">
        <v>2236</v>
      </c>
      <c r="P661" s="6" t="s">
        <v>36</v>
      </c>
      <c r="R661" t="s">
        <v>38</v>
      </c>
      <c r="S661" s="9">
        <v>4930</v>
      </c>
      <c r="T661" s="9">
        <v>401</v>
      </c>
      <c r="U661" s="9">
        <v>1976930</v>
      </c>
      <c r="V661" s="6" t="s">
        <v>39</v>
      </c>
      <c r="W661" t="s">
        <v>40</v>
      </c>
      <c r="X661">
        <v>7810687137</v>
      </c>
      <c r="Y661">
        <v>781401001</v>
      </c>
      <c r="Z661" s="3">
        <v>45653.495138888888</v>
      </c>
      <c r="AA661" s="6">
        <v>2024</v>
      </c>
      <c r="AB661" s="1">
        <v>45657</v>
      </c>
    </row>
    <row r="662" spans="1:28" x14ac:dyDescent="0.3">
      <c r="A662" t="s">
        <v>2627</v>
      </c>
      <c r="B662" s="6" t="s">
        <v>197</v>
      </c>
      <c r="C662" s="6" t="s">
        <v>198</v>
      </c>
      <c r="D662">
        <v>1001046786</v>
      </c>
      <c r="E662">
        <v>100101001</v>
      </c>
      <c r="F662" t="s">
        <v>149</v>
      </c>
      <c r="G662" t="s">
        <v>2628</v>
      </c>
      <c r="H662" s="1">
        <v>45644</v>
      </c>
      <c r="I662" t="s">
        <v>2629</v>
      </c>
      <c r="J662" s="8">
        <v>45647</v>
      </c>
      <c r="K662" s="1" t="s">
        <v>1479</v>
      </c>
      <c r="L662" t="s">
        <v>2628</v>
      </c>
      <c r="M662" t="s">
        <v>377</v>
      </c>
      <c r="N662" s="2">
        <v>4999020</v>
      </c>
      <c r="O662" t="s">
        <v>2236</v>
      </c>
      <c r="P662" s="6" t="s">
        <v>36</v>
      </c>
      <c r="R662" t="s">
        <v>38</v>
      </c>
      <c r="S662" s="9">
        <v>4930</v>
      </c>
      <c r="T662" s="9">
        <v>1014</v>
      </c>
      <c r="U662" s="9">
        <v>4999020</v>
      </c>
      <c r="V662" s="6" t="s">
        <v>39</v>
      </c>
      <c r="W662" t="s">
        <v>40</v>
      </c>
      <c r="X662">
        <v>7810687137</v>
      </c>
      <c r="Y662">
        <v>781401001</v>
      </c>
      <c r="Z662" s="3">
        <v>45653.490972222222</v>
      </c>
      <c r="AA662" s="6">
        <v>2024</v>
      </c>
      <c r="AB662" s="1">
        <v>45657</v>
      </c>
    </row>
    <row r="663" spans="1:28" x14ac:dyDescent="0.3">
      <c r="A663" t="s">
        <v>2627</v>
      </c>
      <c r="B663" s="6" t="s">
        <v>197</v>
      </c>
      <c r="C663" s="6" t="s">
        <v>198</v>
      </c>
      <c r="D663">
        <v>1001046786</v>
      </c>
      <c r="E663">
        <v>100101001</v>
      </c>
      <c r="F663" t="s">
        <v>149</v>
      </c>
      <c r="G663" t="s">
        <v>2628</v>
      </c>
      <c r="H663" s="1">
        <v>45644</v>
      </c>
      <c r="J663" s="8">
        <v>45647</v>
      </c>
      <c r="K663" s="1" t="s">
        <v>1479</v>
      </c>
      <c r="L663" t="s">
        <v>2628</v>
      </c>
      <c r="M663" t="s">
        <v>377</v>
      </c>
      <c r="N663" s="2">
        <v>4999020</v>
      </c>
      <c r="O663" t="s">
        <v>2236</v>
      </c>
      <c r="P663" s="6" t="s">
        <v>36</v>
      </c>
      <c r="R663" t="s">
        <v>38</v>
      </c>
      <c r="S663" s="9">
        <v>4930</v>
      </c>
      <c r="T663" s="9">
        <v>1014</v>
      </c>
      <c r="U663" s="9">
        <v>4999020</v>
      </c>
      <c r="V663" s="6" t="s">
        <v>39</v>
      </c>
      <c r="W663" t="s">
        <v>40</v>
      </c>
      <c r="X663">
        <v>7810687137</v>
      </c>
      <c r="Y663">
        <v>781401001</v>
      </c>
      <c r="Z663" s="3">
        <v>45653.487500000003</v>
      </c>
      <c r="AA663" s="6">
        <v>2024</v>
      </c>
      <c r="AB663" s="1">
        <v>45657</v>
      </c>
    </row>
    <row r="664" spans="1:28" x14ac:dyDescent="0.3">
      <c r="A664" t="s">
        <v>2630</v>
      </c>
      <c r="B664" s="6" t="s">
        <v>752</v>
      </c>
      <c r="C664" s="6" t="s">
        <v>213</v>
      </c>
      <c r="D664">
        <v>1654017170</v>
      </c>
      <c r="E664">
        <v>165501001</v>
      </c>
      <c r="F664" t="s">
        <v>94</v>
      </c>
      <c r="G664" t="s">
        <v>2631</v>
      </c>
      <c r="H664" s="1">
        <v>45644</v>
      </c>
      <c r="I664" t="s">
        <v>2632</v>
      </c>
      <c r="J664" s="8">
        <v>45649</v>
      </c>
      <c r="K664" s="1" t="s">
        <v>1479</v>
      </c>
      <c r="L664" t="s">
        <v>2633</v>
      </c>
      <c r="M664" t="s">
        <v>2634</v>
      </c>
      <c r="N664" s="2">
        <v>16997000</v>
      </c>
      <c r="O664" t="s">
        <v>1851</v>
      </c>
      <c r="P664" s="6" t="s">
        <v>891</v>
      </c>
      <c r="Q664" t="s">
        <v>1993</v>
      </c>
      <c r="R664" t="s">
        <v>38</v>
      </c>
      <c r="S664" s="9">
        <v>4950</v>
      </c>
      <c r="T664" s="9">
        <v>3433</v>
      </c>
      <c r="U664" s="9">
        <v>16993350</v>
      </c>
      <c r="V664" s="6" t="s">
        <v>111</v>
      </c>
      <c r="W664" t="s">
        <v>59</v>
      </c>
      <c r="X664">
        <v>5262258091</v>
      </c>
      <c r="Y664">
        <v>526201001</v>
      </c>
      <c r="Z664" s="3">
        <v>45666.603472222225</v>
      </c>
      <c r="AA664" s="6">
        <v>2024</v>
      </c>
      <c r="AB664" s="1">
        <v>45657</v>
      </c>
    </row>
    <row r="665" spans="1:28" x14ac:dyDescent="0.3">
      <c r="A665" t="s">
        <v>2635</v>
      </c>
      <c r="B665" s="6" t="s">
        <v>501</v>
      </c>
      <c r="C665" s="6" t="s">
        <v>502</v>
      </c>
      <c r="D665">
        <v>6318197367</v>
      </c>
      <c r="E665">
        <v>631801001</v>
      </c>
      <c r="F665" t="s">
        <v>52</v>
      </c>
      <c r="G665" t="s">
        <v>2636</v>
      </c>
      <c r="H665" s="1">
        <v>45637</v>
      </c>
      <c r="I665" t="s">
        <v>2637</v>
      </c>
      <c r="J665" s="8">
        <v>45649</v>
      </c>
      <c r="K665" s="1" t="s">
        <v>1479</v>
      </c>
      <c r="L665" t="s">
        <v>2638</v>
      </c>
      <c r="M665" t="s">
        <v>2639</v>
      </c>
      <c r="N665" s="2">
        <v>1566911.4</v>
      </c>
      <c r="O665" t="s">
        <v>1712</v>
      </c>
      <c r="P665" s="6" t="s">
        <v>36</v>
      </c>
      <c r="Q665" t="s">
        <v>1993</v>
      </c>
      <c r="R665" t="s">
        <v>306</v>
      </c>
      <c r="S665" s="9">
        <v>6073.3</v>
      </c>
      <c r="T665" s="9">
        <v>258</v>
      </c>
      <c r="U665" s="9">
        <v>1566911.4</v>
      </c>
      <c r="V665" s="6" t="s">
        <v>507</v>
      </c>
      <c r="W665" t="s">
        <v>59</v>
      </c>
      <c r="X665">
        <v>6950229110</v>
      </c>
      <c r="Y665">
        <v>695001001</v>
      </c>
      <c r="Z665" s="3">
        <v>45654.294444444444</v>
      </c>
      <c r="AA665" s="6">
        <v>2024</v>
      </c>
      <c r="AB665" s="1">
        <v>46022</v>
      </c>
    </row>
    <row r="666" spans="1:28" x14ac:dyDescent="0.3">
      <c r="A666" t="s">
        <v>2640</v>
      </c>
      <c r="B666" s="6" t="s">
        <v>501</v>
      </c>
      <c r="C666" s="6" t="s">
        <v>502</v>
      </c>
      <c r="D666">
        <v>6318197367</v>
      </c>
      <c r="E666">
        <v>631801001</v>
      </c>
      <c r="F666" t="s">
        <v>52</v>
      </c>
      <c r="G666" t="s">
        <v>2641</v>
      </c>
      <c r="H666" s="1">
        <v>45637</v>
      </c>
      <c r="I666" t="s">
        <v>2637</v>
      </c>
      <c r="J666" s="8">
        <v>45649</v>
      </c>
      <c r="K666" s="1" t="s">
        <v>1479</v>
      </c>
      <c r="L666" t="s">
        <v>2642</v>
      </c>
      <c r="M666" t="s">
        <v>2639</v>
      </c>
      <c r="N666" s="2">
        <v>9822800</v>
      </c>
      <c r="O666" t="s">
        <v>1366</v>
      </c>
      <c r="P666" s="6" t="s">
        <v>36</v>
      </c>
      <c r="Q666" t="s">
        <v>1993</v>
      </c>
      <c r="R666" t="s">
        <v>240</v>
      </c>
      <c r="S666" s="9">
        <v>5200</v>
      </c>
      <c r="T666" s="9">
        <v>1889</v>
      </c>
      <c r="U666" s="9">
        <v>9822800</v>
      </c>
      <c r="V666" s="6" t="s">
        <v>2643</v>
      </c>
      <c r="W666" t="s">
        <v>59</v>
      </c>
      <c r="X666">
        <v>5022079050</v>
      </c>
      <c r="Y666">
        <v>502201001</v>
      </c>
      <c r="Z666" s="3">
        <v>45654.293749999997</v>
      </c>
      <c r="AA666" s="6">
        <v>2024</v>
      </c>
      <c r="AB666" s="1">
        <v>46022</v>
      </c>
    </row>
    <row r="667" spans="1:28" x14ac:dyDescent="0.3">
      <c r="A667" t="s">
        <v>2644</v>
      </c>
      <c r="B667" s="6" t="s">
        <v>2645</v>
      </c>
      <c r="C667" s="6" t="s">
        <v>277</v>
      </c>
      <c r="D667">
        <v>9110087120</v>
      </c>
      <c r="E667">
        <v>911001001</v>
      </c>
      <c r="F667" t="s">
        <v>94</v>
      </c>
      <c r="G667" t="s">
        <v>2646</v>
      </c>
      <c r="H667" s="1">
        <v>45644</v>
      </c>
      <c r="I667" t="s">
        <v>2647</v>
      </c>
      <c r="J667" s="8">
        <v>45649</v>
      </c>
      <c r="K667" s="1" t="s">
        <v>1479</v>
      </c>
      <c r="L667" t="s">
        <v>2648</v>
      </c>
      <c r="M667" t="s">
        <v>377</v>
      </c>
      <c r="N667" s="2">
        <v>19871952</v>
      </c>
      <c r="O667" t="s">
        <v>377</v>
      </c>
      <c r="P667" s="6" t="s">
        <v>1814</v>
      </c>
      <c r="R667" t="s">
        <v>48</v>
      </c>
      <c r="S667" s="9">
        <v>4099</v>
      </c>
      <c r="T667" s="9">
        <v>4848</v>
      </c>
      <c r="U667" s="9">
        <v>19871952</v>
      </c>
      <c r="V667" s="6" t="s">
        <v>39</v>
      </c>
      <c r="W667" t="s">
        <v>40</v>
      </c>
      <c r="X667">
        <v>7810687137</v>
      </c>
      <c r="Y667">
        <v>781401001</v>
      </c>
      <c r="Z667" s="3">
        <v>45667.477083333331</v>
      </c>
      <c r="AA667" s="6">
        <v>2024</v>
      </c>
      <c r="AB667" s="1">
        <v>45657</v>
      </c>
    </row>
    <row r="668" spans="1:28" x14ac:dyDescent="0.3">
      <c r="A668" t="s">
        <v>2649</v>
      </c>
      <c r="B668" s="6" t="s">
        <v>857</v>
      </c>
      <c r="C668" s="6" t="s">
        <v>388</v>
      </c>
      <c r="D668">
        <v>3808172327</v>
      </c>
      <c r="E668">
        <v>380801001</v>
      </c>
      <c r="F668" t="s">
        <v>52</v>
      </c>
      <c r="G668" t="s">
        <v>2650</v>
      </c>
      <c r="H668" s="1">
        <v>45636</v>
      </c>
      <c r="I668" t="s">
        <v>2651</v>
      </c>
      <c r="J668" s="8">
        <v>45649</v>
      </c>
      <c r="K668" s="1" t="s">
        <v>1479</v>
      </c>
      <c r="L668" t="s">
        <v>2652</v>
      </c>
      <c r="M668" t="s">
        <v>2653</v>
      </c>
      <c r="N668" s="2">
        <v>42707600</v>
      </c>
      <c r="O668" t="s">
        <v>1366</v>
      </c>
      <c r="P668" s="6" t="s">
        <v>36</v>
      </c>
      <c r="R668" t="s">
        <v>240</v>
      </c>
      <c r="S668" s="9">
        <v>5200</v>
      </c>
      <c r="T668" s="9">
        <v>8213</v>
      </c>
      <c r="U668" s="9">
        <v>42707600</v>
      </c>
      <c r="V668" s="6" t="s">
        <v>862</v>
      </c>
      <c r="W668" t="s">
        <v>863</v>
      </c>
      <c r="X668">
        <v>3810040374</v>
      </c>
      <c r="Y668">
        <v>381001001</v>
      </c>
      <c r="Z668" s="3">
        <v>45654.728472222225</v>
      </c>
      <c r="AA668" s="6">
        <v>2024</v>
      </c>
      <c r="AB668" s="1">
        <v>45657</v>
      </c>
    </row>
    <row r="669" spans="1:28" x14ac:dyDescent="0.3">
      <c r="A669" t="s">
        <v>2654</v>
      </c>
      <c r="B669" s="6" t="s">
        <v>2655</v>
      </c>
      <c r="C669" s="6" t="s">
        <v>346</v>
      </c>
      <c r="D669">
        <v>1101487569</v>
      </c>
      <c r="E669">
        <v>110101001</v>
      </c>
      <c r="F669" t="s">
        <v>52</v>
      </c>
      <c r="G669" t="s">
        <v>2656</v>
      </c>
      <c r="H669" s="1">
        <v>45638</v>
      </c>
      <c r="I669" t="s">
        <v>2657</v>
      </c>
      <c r="J669" s="8">
        <v>45649</v>
      </c>
      <c r="K669" s="1" t="s">
        <v>1479</v>
      </c>
      <c r="L669" t="s">
        <v>2656</v>
      </c>
      <c r="M669" t="s">
        <v>2658</v>
      </c>
      <c r="N669" s="2">
        <v>20240688</v>
      </c>
      <c r="O669" t="s">
        <v>440</v>
      </c>
      <c r="P669" s="6" t="s">
        <v>36</v>
      </c>
      <c r="Q669" t="s">
        <v>1993</v>
      </c>
      <c r="R669" t="s">
        <v>240</v>
      </c>
      <c r="S669" s="9">
        <v>5174</v>
      </c>
      <c r="T669" s="9">
        <v>3912</v>
      </c>
      <c r="U669" s="9">
        <v>20240688</v>
      </c>
      <c r="V669" s="6" t="s">
        <v>39</v>
      </c>
      <c r="W669" t="s">
        <v>40</v>
      </c>
      <c r="X669">
        <v>7810687137</v>
      </c>
      <c r="Y669">
        <v>781401001</v>
      </c>
      <c r="Z669" s="3">
        <v>45673.523611111108</v>
      </c>
      <c r="AA669" s="6">
        <v>2024</v>
      </c>
      <c r="AB669" s="1">
        <v>45657</v>
      </c>
    </row>
    <row r="670" spans="1:28" x14ac:dyDescent="0.3">
      <c r="A670" t="s">
        <v>2659</v>
      </c>
      <c r="B670" s="6" t="s">
        <v>321</v>
      </c>
      <c r="C670" s="6" t="s">
        <v>322</v>
      </c>
      <c r="D670">
        <v>3917515253</v>
      </c>
      <c r="E670">
        <v>390601001</v>
      </c>
      <c r="F670" t="s">
        <v>52</v>
      </c>
      <c r="G670" t="s">
        <v>2660</v>
      </c>
      <c r="H670" s="1">
        <v>45638</v>
      </c>
      <c r="I670" t="s">
        <v>2657</v>
      </c>
      <c r="J670" s="8">
        <v>45649</v>
      </c>
      <c r="K670" s="1" t="s">
        <v>1479</v>
      </c>
      <c r="L670" t="s">
        <v>2660</v>
      </c>
      <c r="M670" t="s">
        <v>2661</v>
      </c>
      <c r="N670" s="2">
        <v>34988000</v>
      </c>
      <c r="O670" t="s">
        <v>494</v>
      </c>
      <c r="P670" s="6" t="s">
        <v>36</v>
      </c>
      <c r="R670" t="s">
        <v>38</v>
      </c>
      <c r="S670" s="9">
        <v>4000</v>
      </c>
      <c r="T670" s="9">
        <v>8747</v>
      </c>
      <c r="U670" s="9">
        <v>34988000</v>
      </c>
      <c r="V670" s="6" t="s">
        <v>39</v>
      </c>
      <c r="W670" t="s">
        <v>40</v>
      </c>
      <c r="X670">
        <v>7810687137</v>
      </c>
      <c r="Y670">
        <v>781401001</v>
      </c>
      <c r="Z670" s="3">
        <v>45653.543055555558</v>
      </c>
      <c r="AA670" s="6">
        <v>2024</v>
      </c>
      <c r="AB670" s="1">
        <v>45657</v>
      </c>
    </row>
    <row r="671" spans="1:28" x14ac:dyDescent="0.3">
      <c r="A671" t="s">
        <v>2662</v>
      </c>
      <c r="B671" s="6" t="s">
        <v>876</v>
      </c>
      <c r="C671" s="6" t="s">
        <v>877</v>
      </c>
      <c r="D671">
        <v>2540018454</v>
      </c>
      <c r="E671">
        <v>254001001</v>
      </c>
      <c r="F671" t="s">
        <v>94</v>
      </c>
      <c r="G671" t="s">
        <v>2663</v>
      </c>
      <c r="H671" s="1">
        <v>45644</v>
      </c>
      <c r="I671" t="s">
        <v>2664</v>
      </c>
      <c r="J671" s="8">
        <v>45649</v>
      </c>
      <c r="K671" s="1" t="s">
        <v>1479</v>
      </c>
      <c r="L671" t="s">
        <v>2665</v>
      </c>
      <c r="M671" t="s">
        <v>2666</v>
      </c>
      <c r="N671" s="2">
        <v>6615000</v>
      </c>
      <c r="O671" t="s">
        <v>2667</v>
      </c>
      <c r="P671" s="6" t="s">
        <v>36</v>
      </c>
      <c r="Q671" t="s">
        <v>1993</v>
      </c>
      <c r="R671" t="s">
        <v>240</v>
      </c>
      <c r="S671" s="9">
        <v>4900</v>
      </c>
      <c r="T671" s="9">
        <v>1350</v>
      </c>
      <c r="U671" s="9">
        <v>6615000</v>
      </c>
      <c r="V671" s="6" t="s">
        <v>39</v>
      </c>
      <c r="W671" t="s">
        <v>40</v>
      </c>
      <c r="X671">
        <v>7810687137</v>
      </c>
      <c r="Y671">
        <v>781401001</v>
      </c>
      <c r="Z671" s="3">
        <v>45666.060416666667</v>
      </c>
      <c r="AA671" s="6">
        <v>2024</v>
      </c>
      <c r="AB671" s="1">
        <v>45657</v>
      </c>
    </row>
    <row r="672" spans="1:28" x14ac:dyDescent="0.3">
      <c r="A672" t="s">
        <v>2662</v>
      </c>
      <c r="B672" s="6" t="s">
        <v>876</v>
      </c>
      <c r="C672" s="6" t="s">
        <v>877</v>
      </c>
      <c r="D672">
        <v>2540018454</v>
      </c>
      <c r="E672">
        <v>254001001</v>
      </c>
      <c r="F672" t="s">
        <v>94</v>
      </c>
      <c r="G672" t="s">
        <v>2663</v>
      </c>
      <c r="H672" s="1">
        <v>45644</v>
      </c>
      <c r="I672" t="s">
        <v>2664</v>
      </c>
      <c r="J672" s="8">
        <v>45649</v>
      </c>
      <c r="K672" s="1" t="s">
        <v>1479</v>
      </c>
      <c r="L672" t="s">
        <v>2665</v>
      </c>
      <c r="M672" t="s">
        <v>2666</v>
      </c>
      <c r="N672" s="2">
        <v>6615000</v>
      </c>
      <c r="O672" t="s">
        <v>2667</v>
      </c>
      <c r="P672" s="6" t="s">
        <v>36</v>
      </c>
      <c r="Q672" t="s">
        <v>1993</v>
      </c>
      <c r="R672" t="s">
        <v>240</v>
      </c>
      <c r="S672" s="9">
        <v>4900</v>
      </c>
      <c r="T672" s="9">
        <v>1350</v>
      </c>
      <c r="U672" s="9">
        <v>6615000</v>
      </c>
      <c r="V672" s="6" t="s">
        <v>39</v>
      </c>
      <c r="W672" t="s">
        <v>40</v>
      </c>
      <c r="X672">
        <v>7810687137</v>
      </c>
      <c r="Y672">
        <v>781401001</v>
      </c>
      <c r="Z672" s="3">
        <v>45651.222916666666</v>
      </c>
      <c r="AA672" s="6">
        <v>2024</v>
      </c>
      <c r="AB672" s="1">
        <v>45657</v>
      </c>
    </row>
    <row r="673" spans="1:28" x14ac:dyDescent="0.3">
      <c r="A673" t="s">
        <v>2668</v>
      </c>
      <c r="B673" s="6" t="s">
        <v>876</v>
      </c>
      <c r="C673" s="6" t="s">
        <v>877</v>
      </c>
      <c r="D673">
        <v>2540018454</v>
      </c>
      <c r="E673">
        <v>254001001</v>
      </c>
      <c r="F673" t="s">
        <v>94</v>
      </c>
      <c r="G673" t="s">
        <v>2669</v>
      </c>
      <c r="H673" s="1">
        <v>45644</v>
      </c>
      <c r="I673" t="s">
        <v>2664</v>
      </c>
      <c r="J673" s="8">
        <v>45649</v>
      </c>
      <c r="K673" s="1" t="s">
        <v>1479</v>
      </c>
      <c r="L673" t="s">
        <v>2669</v>
      </c>
      <c r="M673" t="s">
        <v>2670</v>
      </c>
      <c r="N673" s="2">
        <v>7428400</v>
      </c>
      <c r="O673" t="s">
        <v>2667</v>
      </c>
      <c r="P673" s="6" t="s">
        <v>36</v>
      </c>
      <c r="Q673" t="s">
        <v>37</v>
      </c>
      <c r="R673" t="s">
        <v>240</v>
      </c>
      <c r="S673" s="9">
        <v>4900</v>
      </c>
      <c r="T673" s="9">
        <v>1516</v>
      </c>
      <c r="U673" s="9">
        <v>7428400</v>
      </c>
      <c r="V673" s="6" t="s">
        <v>39</v>
      </c>
      <c r="W673" t="s">
        <v>40</v>
      </c>
      <c r="X673">
        <v>7810687137</v>
      </c>
      <c r="Y673">
        <v>781401001</v>
      </c>
      <c r="Z673" s="3">
        <v>45666.05972222222</v>
      </c>
      <c r="AA673" s="6">
        <v>2024</v>
      </c>
      <c r="AB673" s="1">
        <v>45657</v>
      </c>
    </row>
    <row r="674" spans="1:28" x14ac:dyDescent="0.3">
      <c r="A674" t="s">
        <v>2671</v>
      </c>
      <c r="B674" s="6" t="s">
        <v>876</v>
      </c>
      <c r="C674" s="6" t="s">
        <v>877</v>
      </c>
      <c r="D674">
        <v>2540018454</v>
      </c>
      <c r="E674">
        <v>254001001</v>
      </c>
      <c r="F674" t="s">
        <v>94</v>
      </c>
      <c r="G674" t="s">
        <v>2672</v>
      </c>
      <c r="H674" s="1">
        <v>45644</v>
      </c>
      <c r="I674" t="s">
        <v>2664</v>
      </c>
      <c r="J674" s="8">
        <v>45649</v>
      </c>
      <c r="K674" s="1" t="s">
        <v>1479</v>
      </c>
      <c r="L674" t="s">
        <v>2672</v>
      </c>
      <c r="M674" t="s">
        <v>2666</v>
      </c>
      <c r="N674" s="2">
        <v>6595400</v>
      </c>
      <c r="O674" t="s">
        <v>2667</v>
      </c>
      <c r="P674" s="6" t="s">
        <v>36</v>
      </c>
      <c r="Q674" t="s">
        <v>1993</v>
      </c>
      <c r="R674" t="s">
        <v>240</v>
      </c>
      <c r="S674" s="9">
        <v>4900</v>
      </c>
      <c r="T674" s="9">
        <v>1346</v>
      </c>
      <c r="U674" s="9">
        <v>6595400</v>
      </c>
      <c r="V674" s="6" t="s">
        <v>39</v>
      </c>
      <c r="W674" t="s">
        <v>40</v>
      </c>
      <c r="X674">
        <v>7810687137</v>
      </c>
      <c r="Y674">
        <v>781401001</v>
      </c>
      <c r="Z674" s="3">
        <v>45666.059027777781</v>
      </c>
      <c r="AA674" s="6">
        <v>2024</v>
      </c>
      <c r="AB674" s="1">
        <v>45657</v>
      </c>
    </row>
    <row r="675" spans="1:28" x14ac:dyDescent="0.3">
      <c r="A675" t="s">
        <v>2673</v>
      </c>
      <c r="B675" s="6" t="s">
        <v>418</v>
      </c>
      <c r="C675" s="6" t="s">
        <v>148</v>
      </c>
      <c r="D675">
        <v>274157821</v>
      </c>
      <c r="E675">
        <v>27401001</v>
      </c>
      <c r="F675" t="s">
        <v>52</v>
      </c>
      <c r="G675" t="s">
        <v>2674</v>
      </c>
      <c r="H675" s="1">
        <v>45636</v>
      </c>
      <c r="I675" t="s">
        <v>2675</v>
      </c>
      <c r="J675" s="8">
        <v>45649</v>
      </c>
      <c r="K675" s="1" t="s">
        <v>1479</v>
      </c>
      <c r="L675" t="s">
        <v>2674</v>
      </c>
      <c r="M675" t="s">
        <v>273</v>
      </c>
      <c r="N675" s="2">
        <v>59366675</v>
      </c>
      <c r="O675" t="s">
        <v>2350</v>
      </c>
      <c r="P675" s="6" t="s">
        <v>36</v>
      </c>
      <c r="R675" t="s">
        <v>240</v>
      </c>
      <c r="S675" s="9">
        <v>4975</v>
      </c>
      <c r="T675" s="9">
        <v>11933</v>
      </c>
      <c r="U675" s="9">
        <v>59366675</v>
      </c>
      <c r="V675" s="6" t="s">
        <v>2351</v>
      </c>
      <c r="W675" t="s">
        <v>59</v>
      </c>
      <c r="X675">
        <v>7106040119</v>
      </c>
      <c r="Y675">
        <v>710701001</v>
      </c>
      <c r="Z675" s="3">
        <v>45654.752083333333</v>
      </c>
      <c r="AA675" s="6">
        <v>2024</v>
      </c>
      <c r="AB675" s="1">
        <v>45657</v>
      </c>
    </row>
    <row r="676" spans="1:28" x14ac:dyDescent="0.3">
      <c r="A676" t="s">
        <v>2676</v>
      </c>
      <c r="B676" s="6" t="s">
        <v>910</v>
      </c>
      <c r="C676" s="6" t="s">
        <v>911</v>
      </c>
      <c r="D676">
        <v>1200000881</v>
      </c>
      <c r="E676">
        <v>121501001</v>
      </c>
      <c r="F676" t="s">
        <v>94</v>
      </c>
      <c r="G676" t="s">
        <v>2677</v>
      </c>
      <c r="H676" s="1">
        <v>45644</v>
      </c>
      <c r="I676" t="s">
        <v>2678</v>
      </c>
      <c r="J676" s="8">
        <v>45649</v>
      </c>
      <c r="K676" s="1" t="s">
        <v>1479</v>
      </c>
      <c r="L676" t="s">
        <v>2679</v>
      </c>
      <c r="M676" t="s">
        <v>2680</v>
      </c>
      <c r="N676" s="2">
        <v>9480360</v>
      </c>
      <c r="O676" t="s">
        <v>1912</v>
      </c>
      <c r="P676" s="6" t="s">
        <v>891</v>
      </c>
      <c r="Q676" t="s">
        <v>1993</v>
      </c>
      <c r="R676" t="s">
        <v>38</v>
      </c>
      <c r="S676" s="9">
        <v>3980</v>
      </c>
      <c r="T676" s="9">
        <v>2382</v>
      </c>
      <c r="U676" s="9">
        <v>9480360</v>
      </c>
      <c r="V676" s="6" t="s">
        <v>1612</v>
      </c>
      <c r="W676" t="s">
        <v>1613</v>
      </c>
      <c r="X676">
        <v>9727026181</v>
      </c>
      <c r="Y676">
        <v>770601001</v>
      </c>
      <c r="Z676" s="3">
        <v>45653.554861111108</v>
      </c>
      <c r="AA676" s="6">
        <v>2024</v>
      </c>
      <c r="AB676" s="1">
        <v>45657</v>
      </c>
    </row>
    <row r="677" spans="1:28" x14ac:dyDescent="0.3">
      <c r="A677" t="s">
        <v>2681</v>
      </c>
      <c r="B677" s="6" t="s">
        <v>910</v>
      </c>
      <c r="C677" s="6" t="s">
        <v>911</v>
      </c>
      <c r="D677">
        <v>1200000881</v>
      </c>
      <c r="E677">
        <v>121501001</v>
      </c>
      <c r="F677" t="s">
        <v>94</v>
      </c>
      <c r="G677" t="s">
        <v>2682</v>
      </c>
      <c r="H677" s="1">
        <v>45644</v>
      </c>
      <c r="I677" t="s">
        <v>2683</v>
      </c>
      <c r="J677" s="8">
        <v>45649</v>
      </c>
      <c r="K677" s="1" t="s">
        <v>1479</v>
      </c>
      <c r="L677" t="s">
        <v>2684</v>
      </c>
      <c r="M677" t="s">
        <v>2680</v>
      </c>
      <c r="N677" s="2">
        <v>6077460</v>
      </c>
      <c r="O677" t="s">
        <v>1912</v>
      </c>
      <c r="P677" s="6" t="s">
        <v>891</v>
      </c>
      <c r="Q677" t="s">
        <v>1993</v>
      </c>
      <c r="R677" t="s">
        <v>38</v>
      </c>
      <c r="S677" s="9">
        <v>3980</v>
      </c>
      <c r="T677" s="9">
        <v>1527</v>
      </c>
      <c r="U677" s="9">
        <v>6077460</v>
      </c>
      <c r="V677" s="6" t="s">
        <v>1612</v>
      </c>
      <c r="W677" t="s">
        <v>1613</v>
      </c>
      <c r="X677">
        <v>9727026181</v>
      </c>
      <c r="Y677">
        <v>770601001</v>
      </c>
      <c r="Z677" s="3">
        <v>45653.548611111109</v>
      </c>
      <c r="AA677" s="6">
        <v>2024</v>
      </c>
      <c r="AB677" s="1">
        <v>45657</v>
      </c>
    </row>
    <row r="678" spans="1:28" x14ac:dyDescent="0.3">
      <c r="A678" t="s">
        <v>2685</v>
      </c>
      <c r="B678" s="6" t="s">
        <v>910</v>
      </c>
      <c r="C678" s="6" t="s">
        <v>911</v>
      </c>
      <c r="D678">
        <v>1200000881</v>
      </c>
      <c r="E678">
        <v>121501001</v>
      </c>
      <c r="F678" t="s">
        <v>94</v>
      </c>
      <c r="G678" t="s">
        <v>2686</v>
      </c>
      <c r="H678" s="1">
        <v>45644</v>
      </c>
      <c r="I678" t="s">
        <v>2687</v>
      </c>
      <c r="J678" s="8">
        <v>45649</v>
      </c>
      <c r="K678" s="1" t="s">
        <v>1479</v>
      </c>
      <c r="L678" t="s">
        <v>2688</v>
      </c>
      <c r="M678" t="s">
        <v>2680</v>
      </c>
      <c r="N678" s="2">
        <v>4895400</v>
      </c>
      <c r="O678" t="s">
        <v>1912</v>
      </c>
      <c r="P678" s="6" t="s">
        <v>891</v>
      </c>
      <c r="Q678" t="s">
        <v>1993</v>
      </c>
      <c r="R678" t="s">
        <v>38</v>
      </c>
      <c r="S678" s="9">
        <v>3980</v>
      </c>
      <c r="T678" s="9">
        <v>1230</v>
      </c>
      <c r="U678" s="9">
        <v>4895400</v>
      </c>
      <c r="V678" s="6" t="s">
        <v>1612</v>
      </c>
      <c r="W678" t="s">
        <v>1613</v>
      </c>
      <c r="X678">
        <v>9727026181</v>
      </c>
      <c r="Y678">
        <v>770601001</v>
      </c>
      <c r="Z678" s="3">
        <v>45653.556944444441</v>
      </c>
      <c r="AA678" s="6">
        <v>2024</v>
      </c>
      <c r="AB678" s="1">
        <v>45657</v>
      </c>
    </row>
    <row r="679" spans="1:28" x14ac:dyDescent="0.3">
      <c r="A679" t="s">
        <v>2689</v>
      </c>
      <c r="B679" s="6" t="s">
        <v>752</v>
      </c>
      <c r="C679" s="6" t="s">
        <v>213</v>
      </c>
      <c r="D679">
        <v>1654017170</v>
      </c>
      <c r="E679">
        <v>165501001</v>
      </c>
      <c r="F679" t="s">
        <v>94</v>
      </c>
      <c r="G679" t="s">
        <v>2690</v>
      </c>
      <c r="H679" s="1">
        <v>45644</v>
      </c>
      <c r="I679" t="s">
        <v>2691</v>
      </c>
      <c r="J679" s="8">
        <v>45650</v>
      </c>
      <c r="K679" s="1" t="s">
        <v>1479</v>
      </c>
      <c r="L679" t="s">
        <v>2692</v>
      </c>
      <c r="M679" t="s">
        <v>756</v>
      </c>
      <c r="N679" s="2">
        <v>71253440</v>
      </c>
      <c r="O679" t="s">
        <v>1851</v>
      </c>
      <c r="P679" s="6" t="s">
        <v>891</v>
      </c>
      <c r="Q679" t="s">
        <v>37</v>
      </c>
      <c r="R679" t="s">
        <v>38</v>
      </c>
      <c r="S679" s="9">
        <v>4280</v>
      </c>
      <c r="T679" s="9">
        <v>10148</v>
      </c>
      <c r="U679" s="9">
        <v>43433440</v>
      </c>
      <c r="V679" s="6" t="s">
        <v>111</v>
      </c>
      <c r="W679" t="s">
        <v>59</v>
      </c>
      <c r="X679">
        <v>5262258091</v>
      </c>
      <c r="Y679">
        <v>526201001</v>
      </c>
      <c r="Z679" s="3">
        <v>45666.609722222223</v>
      </c>
      <c r="AA679" s="6">
        <v>2024</v>
      </c>
      <c r="AB679" s="1">
        <v>45657</v>
      </c>
    </row>
    <row r="680" spans="1:28" x14ac:dyDescent="0.3">
      <c r="A680" t="s">
        <v>2693</v>
      </c>
      <c r="B680" s="6" t="s">
        <v>2694</v>
      </c>
      <c r="C680" s="6" t="s">
        <v>105</v>
      </c>
      <c r="D680">
        <v>6623097055</v>
      </c>
      <c r="E680">
        <v>662301001</v>
      </c>
      <c r="F680" t="s">
        <v>31</v>
      </c>
      <c r="G680" t="s">
        <v>2695</v>
      </c>
      <c r="J680" s="8">
        <v>45650</v>
      </c>
      <c r="K680" s="1" t="s">
        <v>1479</v>
      </c>
      <c r="L680" t="s">
        <v>2696</v>
      </c>
      <c r="M680" t="s">
        <v>2697</v>
      </c>
      <c r="N680" s="2">
        <v>26715591.619999997</v>
      </c>
      <c r="O680" t="s">
        <v>2698</v>
      </c>
      <c r="P680" s="6" t="s">
        <v>891</v>
      </c>
      <c r="Q680" t="s">
        <v>1993</v>
      </c>
      <c r="R680" t="s">
        <v>38</v>
      </c>
      <c r="S680" s="9">
        <v>5298.61</v>
      </c>
      <c r="T680" s="9">
        <v>5042</v>
      </c>
      <c r="U680" s="9">
        <f>S680*T680</f>
        <v>26715591.619999997</v>
      </c>
      <c r="V680" s="6" t="s">
        <v>2699</v>
      </c>
      <c r="W680" t="s">
        <v>59</v>
      </c>
      <c r="X680">
        <v>665832090</v>
      </c>
      <c r="Z680" s="3"/>
      <c r="AA680" s="6">
        <v>2024</v>
      </c>
      <c r="AB680" s="1">
        <v>45657</v>
      </c>
    </row>
    <row r="681" spans="1:28" x14ac:dyDescent="0.3">
      <c r="A681" t="s">
        <v>2700</v>
      </c>
      <c r="B681" s="6" t="s">
        <v>2227</v>
      </c>
      <c r="C681" s="6" t="s">
        <v>395</v>
      </c>
      <c r="D681">
        <v>7202070194</v>
      </c>
      <c r="E681">
        <v>720301001</v>
      </c>
      <c r="F681" t="s">
        <v>52</v>
      </c>
      <c r="G681" t="s">
        <v>2701</v>
      </c>
      <c r="H681" s="1">
        <v>45639</v>
      </c>
      <c r="I681" t="s">
        <v>2702</v>
      </c>
      <c r="J681" s="8">
        <v>45650</v>
      </c>
      <c r="K681" s="1" t="s">
        <v>1479</v>
      </c>
      <c r="L681" t="s">
        <v>2703</v>
      </c>
      <c r="M681" t="s">
        <v>2231</v>
      </c>
      <c r="N681" s="2">
        <v>20874300</v>
      </c>
      <c r="O681" t="s">
        <v>440</v>
      </c>
      <c r="P681" s="6" t="s">
        <v>36</v>
      </c>
      <c r="R681" t="s">
        <v>240</v>
      </c>
      <c r="S681" s="9">
        <v>5100</v>
      </c>
      <c r="T681" s="9">
        <v>4093</v>
      </c>
      <c r="U681" s="9">
        <v>20874300</v>
      </c>
      <c r="V681" s="6" t="s">
        <v>58</v>
      </c>
      <c r="W681" t="s">
        <v>59</v>
      </c>
      <c r="X681">
        <v>5262222144</v>
      </c>
      <c r="Y681">
        <v>526201001</v>
      </c>
      <c r="Z681" s="3">
        <v>45654.52847222222</v>
      </c>
      <c r="AA681" s="6">
        <v>2024</v>
      </c>
      <c r="AB681" s="1">
        <v>45688</v>
      </c>
    </row>
    <row r="682" spans="1:28" x14ac:dyDescent="0.3">
      <c r="A682" t="s">
        <v>2693</v>
      </c>
      <c r="B682" s="6" t="s">
        <v>2694</v>
      </c>
      <c r="C682" s="6" t="s">
        <v>105</v>
      </c>
      <c r="D682">
        <v>6623097055</v>
      </c>
      <c r="E682">
        <v>662301001</v>
      </c>
      <c r="F682" t="s">
        <v>31</v>
      </c>
      <c r="G682" t="s">
        <v>2695</v>
      </c>
      <c r="J682" s="8">
        <v>45650</v>
      </c>
      <c r="K682" s="1" t="s">
        <v>1479</v>
      </c>
      <c r="L682" t="s">
        <v>2696</v>
      </c>
      <c r="M682" t="s">
        <v>2697</v>
      </c>
      <c r="N682" s="2">
        <v>47687490</v>
      </c>
      <c r="O682" t="s">
        <v>2698</v>
      </c>
      <c r="P682" s="6" t="s">
        <v>36</v>
      </c>
      <c r="Q682" t="s">
        <v>1993</v>
      </c>
      <c r="R682" t="s">
        <v>38</v>
      </c>
      <c r="S682" s="9">
        <v>5298.61</v>
      </c>
      <c r="T682" s="9">
        <v>9000</v>
      </c>
      <c r="U682" s="9">
        <f>S682*T682</f>
        <v>47687490</v>
      </c>
      <c r="V682" s="6" t="s">
        <v>2699</v>
      </c>
      <c r="W682" t="s">
        <v>59</v>
      </c>
      <c r="X682">
        <v>665832090</v>
      </c>
      <c r="Z682" s="3"/>
      <c r="AA682" s="6">
        <v>2024</v>
      </c>
      <c r="AB682" s="1">
        <v>45657</v>
      </c>
    </row>
    <row r="683" spans="1:28" x14ac:dyDescent="0.3">
      <c r="A683" t="s">
        <v>2704</v>
      </c>
      <c r="B683" s="6" t="s">
        <v>1235</v>
      </c>
      <c r="C683" s="6" t="s">
        <v>30</v>
      </c>
      <c r="D683">
        <v>3201004917</v>
      </c>
      <c r="E683">
        <v>325701001</v>
      </c>
      <c r="F683" t="s">
        <v>44</v>
      </c>
      <c r="G683">
        <v>0</v>
      </c>
      <c r="J683" s="8">
        <v>45650</v>
      </c>
      <c r="K683" s="1" t="s">
        <v>1479</v>
      </c>
      <c r="L683" t="s">
        <v>2705</v>
      </c>
      <c r="M683" t="s">
        <v>2706</v>
      </c>
      <c r="N683" s="2">
        <v>3019200</v>
      </c>
      <c r="O683" t="s">
        <v>273</v>
      </c>
      <c r="P683" s="6" t="s">
        <v>36</v>
      </c>
      <c r="R683" t="s">
        <v>240</v>
      </c>
      <c r="S683" s="9">
        <v>5440</v>
      </c>
      <c r="T683" s="9">
        <v>555</v>
      </c>
      <c r="U683" s="9">
        <v>3019200</v>
      </c>
      <c r="V683" s="6" t="s">
        <v>29</v>
      </c>
      <c r="W683" t="s">
        <v>40</v>
      </c>
      <c r="X683">
        <v>3201000327</v>
      </c>
      <c r="Y683">
        <v>325701001</v>
      </c>
      <c r="Z683" s="3">
        <v>45661.015277777777</v>
      </c>
      <c r="AA683" s="6">
        <v>2024</v>
      </c>
      <c r="AB683" s="1">
        <v>45657</v>
      </c>
    </row>
    <row r="684" spans="1:28" x14ac:dyDescent="0.3">
      <c r="A684" t="s">
        <v>353</v>
      </c>
      <c r="B684" s="6" t="s">
        <v>2707</v>
      </c>
      <c r="C684" s="6" t="s">
        <v>831</v>
      </c>
      <c r="D684">
        <v>6168000820</v>
      </c>
      <c r="E684">
        <v>616801001</v>
      </c>
      <c r="F684" t="s">
        <v>149</v>
      </c>
      <c r="G684" t="s">
        <v>356</v>
      </c>
      <c r="H684" s="1">
        <v>45645</v>
      </c>
      <c r="J684" s="8">
        <v>45650</v>
      </c>
      <c r="K684" s="1" t="s">
        <v>1479</v>
      </c>
      <c r="L684" t="s">
        <v>2708</v>
      </c>
      <c r="M684" t="s">
        <v>273</v>
      </c>
      <c r="N684" s="2">
        <v>360600</v>
      </c>
      <c r="O684" t="s">
        <v>2709</v>
      </c>
      <c r="P684" s="6" t="s">
        <v>36</v>
      </c>
      <c r="R684" t="s">
        <v>240</v>
      </c>
      <c r="S684" s="9">
        <v>7212</v>
      </c>
      <c r="T684" s="9">
        <v>50</v>
      </c>
      <c r="U684" s="9">
        <v>360600</v>
      </c>
      <c r="V684" s="6" t="s">
        <v>2710</v>
      </c>
      <c r="W684" t="s">
        <v>59</v>
      </c>
      <c r="X684">
        <v>616305891066</v>
      </c>
      <c r="Z684" s="3">
        <v>45652.347916666666</v>
      </c>
      <c r="AA684" s="6">
        <v>2024</v>
      </c>
      <c r="AB684" s="1">
        <v>46022</v>
      </c>
    </row>
    <row r="685" spans="1:28" x14ac:dyDescent="0.3">
      <c r="A685" t="s">
        <v>2711</v>
      </c>
      <c r="B685" s="6" t="s">
        <v>617</v>
      </c>
      <c r="C685" s="6" t="s">
        <v>618</v>
      </c>
      <c r="D685">
        <v>323111068</v>
      </c>
      <c r="E685">
        <v>32301001</v>
      </c>
      <c r="F685" t="s">
        <v>2712</v>
      </c>
      <c r="G685" t="s">
        <v>2713</v>
      </c>
      <c r="H685" s="1">
        <v>45638</v>
      </c>
      <c r="J685" s="8">
        <v>45650</v>
      </c>
      <c r="K685" s="1" t="s">
        <v>1479</v>
      </c>
      <c r="L685" t="s">
        <v>2714</v>
      </c>
      <c r="M685" t="s">
        <v>72</v>
      </c>
      <c r="N685" s="2">
        <v>2691650</v>
      </c>
      <c r="O685" t="s">
        <v>72</v>
      </c>
      <c r="P685" s="6" t="s">
        <v>36</v>
      </c>
      <c r="R685" t="s">
        <v>48</v>
      </c>
      <c r="S685" s="9">
        <v>5050</v>
      </c>
      <c r="T685" s="9">
        <v>533</v>
      </c>
      <c r="U685" s="9">
        <v>2691650</v>
      </c>
      <c r="V685" s="6" t="s">
        <v>39</v>
      </c>
      <c r="W685" t="s">
        <v>40</v>
      </c>
      <c r="Z685" s="3"/>
      <c r="AA685" s="6">
        <v>2024</v>
      </c>
      <c r="AB685" s="1">
        <v>45688</v>
      </c>
    </row>
    <row r="686" spans="1:28" x14ac:dyDescent="0.3">
      <c r="A686" t="s">
        <v>2715</v>
      </c>
      <c r="B686" s="6" t="s">
        <v>2467</v>
      </c>
      <c r="C686" s="6" t="s">
        <v>904</v>
      </c>
      <c r="D686">
        <v>3525010519</v>
      </c>
      <c r="E686">
        <v>352501001</v>
      </c>
      <c r="F686" t="s">
        <v>94</v>
      </c>
      <c r="G686" t="s">
        <v>2716</v>
      </c>
      <c r="H686" s="1">
        <v>45645</v>
      </c>
      <c r="J686" s="8">
        <v>45650</v>
      </c>
      <c r="K686" s="1" t="s">
        <v>1479</v>
      </c>
      <c r="L686" t="s">
        <v>2717</v>
      </c>
      <c r="M686" t="s">
        <v>2718</v>
      </c>
      <c r="N686" s="2">
        <v>6535000</v>
      </c>
      <c r="O686" t="s">
        <v>377</v>
      </c>
      <c r="P686" s="6" t="s">
        <v>36</v>
      </c>
      <c r="Q686" t="s">
        <v>37</v>
      </c>
      <c r="R686" t="s">
        <v>38</v>
      </c>
      <c r="S686" s="9">
        <v>5000</v>
      </c>
      <c r="T686" s="9">
        <v>1307</v>
      </c>
      <c r="U686" s="9">
        <v>6535000</v>
      </c>
      <c r="V686" s="6" t="s">
        <v>352</v>
      </c>
      <c r="W686" t="s">
        <v>40</v>
      </c>
      <c r="X686">
        <v>7843014747</v>
      </c>
      <c r="Y686">
        <v>781401001</v>
      </c>
      <c r="Z686" s="3">
        <v>45654.567361111112</v>
      </c>
      <c r="AA686" s="6">
        <v>2024</v>
      </c>
      <c r="AB686" s="1">
        <v>45654</v>
      </c>
    </row>
    <row r="687" spans="1:28" x14ac:dyDescent="0.3">
      <c r="A687" t="s">
        <v>2719</v>
      </c>
      <c r="B687" s="6" t="s">
        <v>2467</v>
      </c>
      <c r="C687" s="6" t="s">
        <v>904</v>
      </c>
      <c r="D687">
        <v>3525010519</v>
      </c>
      <c r="E687">
        <v>352501001</v>
      </c>
      <c r="F687" t="s">
        <v>94</v>
      </c>
      <c r="G687" t="s">
        <v>2720</v>
      </c>
      <c r="H687" s="1">
        <v>45645</v>
      </c>
      <c r="J687" s="8">
        <v>45650</v>
      </c>
      <c r="K687" s="1" t="s">
        <v>1479</v>
      </c>
      <c r="L687" t="s">
        <v>2721</v>
      </c>
      <c r="M687" t="s">
        <v>2722</v>
      </c>
      <c r="N687" s="2">
        <v>9500000</v>
      </c>
      <c r="O687" t="s">
        <v>377</v>
      </c>
      <c r="P687" s="6" t="s">
        <v>36</v>
      </c>
      <c r="Q687" t="s">
        <v>37</v>
      </c>
      <c r="R687" t="s">
        <v>38</v>
      </c>
      <c r="S687" s="9">
        <v>5000</v>
      </c>
      <c r="T687" s="9">
        <v>1900</v>
      </c>
      <c r="U687" s="9">
        <v>9500000</v>
      </c>
      <c r="V687" s="6" t="s">
        <v>352</v>
      </c>
      <c r="W687" t="s">
        <v>40</v>
      </c>
      <c r="X687">
        <v>7843014747</v>
      </c>
      <c r="Y687">
        <v>781401001</v>
      </c>
      <c r="Z687" s="3">
        <v>45654.566666666666</v>
      </c>
      <c r="AA687" s="6">
        <v>2024</v>
      </c>
      <c r="AB687" s="1">
        <v>45654</v>
      </c>
    </row>
    <row r="688" spans="1:28" x14ac:dyDescent="0.3">
      <c r="A688" t="s">
        <v>2723</v>
      </c>
      <c r="B688" s="6" t="s">
        <v>2724</v>
      </c>
      <c r="C688" s="6" t="s">
        <v>427</v>
      </c>
      <c r="D688">
        <v>5190800114</v>
      </c>
      <c r="E688">
        <v>519001001</v>
      </c>
      <c r="F688" t="s">
        <v>149</v>
      </c>
      <c r="G688" t="s">
        <v>2725</v>
      </c>
      <c r="H688" s="1">
        <v>45645</v>
      </c>
      <c r="J688" s="8">
        <v>45650</v>
      </c>
      <c r="K688" s="1" t="s">
        <v>1479</v>
      </c>
      <c r="L688" t="s">
        <v>2726</v>
      </c>
      <c r="M688" t="s">
        <v>273</v>
      </c>
      <c r="N688" s="2">
        <v>4264000</v>
      </c>
      <c r="O688" t="s">
        <v>440</v>
      </c>
      <c r="P688" s="6" t="s">
        <v>36</v>
      </c>
      <c r="R688" t="s">
        <v>240</v>
      </c>
      <c r="S688" s="9">
        <v>5200</v>
      </c>
      <c r="T688" s="9">
        <v>820</v>
      </c>
      <c r="U688" s="9">
        <v>4264000</v>
      </c>
      <c r="V688" s="6" t="s">
        <v>39</v>
      </c>
      <c r="W688" t="s">
        <v>40</v>
      </c>
      <c r="X688">
        <v>7810687137</v>
      </c>
      <c r="Y688">
        <v>781401001</v>
      </c>
      <c r="Z688" s="3">
        <v>45666.648611111108</v>
      </c>
      <c r="AA688" s="6">
        <v>2024</v>
      </c>
      <c r="AB688" s="1">
        <v>45657</v>
      </c>
    </row>
    <row r="689" spans="1:28" x14ac:dyDescent="0.3">
      <c r="A689" t="s">
        <v>2727</v>
      </c>
      <c r="B689" s="6" t="s">
        <v>554</v>
      </c>
      <c r="C689" s="6" t="s">
        <v>555</v>
      </c>
      <c r="D689">
        <v>7453135827</v>
      </c>
      <c r="E689">
        <v>745301001</v>
      </c>
      <c r="F689" t="s">
        <v>52</v>
      </c>
      <c r="G689" t="s">
        <v>2728</v>
      </c>
      <c r="H689" s="1">
        <v>45639</v>
      </c>
      <c r="J689" s="8">
        <v>45650</v>
      </c>
      <c r="K689" s="1" t="s">
        <v>1479</v>
      </c>
      <c r="L689" t="s">
        <v>2729</v>
      </c>
      <c r="M689" t="s">
        <v>2730</v>
      </c>
      <c r="N689" s="2">
        <v>34427400</v>
      </c>
      <c r="O689" t="s">
        <v>440</v>
      </c>
      <c r="P689" s="6" t="s">
        <v>36</v>
      </c>
      <c r="R689" t="s">
        <v>240</v>
      </c>
      <c r="S689" s="9">
        <v>4900</v>
      </c>
      <c r="T689" s="9">
        <v>7026</v>
      </c>
      <c r="U689" s="9">
        <v>34427400</v>
      </c>
      <c r="V689" s="6" t="s">
        <v>58</v>
      </c>
      <c r="W689" t="s">
        <v>59</v>
      </c>
      <c r="X689">
        <v>5262222144</v>
      </c>
      <c r="Y689">
        <v>526201001</v>
      </c>
      <c r="Z689" s="3">
        <v>45672.472916666666</v>
      </c>
      <c r="AA689" s="6">
        <v>2024</v>
      </c>
      <c r="AB689" s="1">
        <v>46022</v>
      </c>
    </row>
    <row r="690" spans="1:28" x14ac:dyDescent="0.3">
      <c r="A690" t="s">
        <v>2731</v>
      </c>
      <c r="B690" s="6" t="s">
        <v>1358</v>
      </c>
      <c r="C690" s="6" t="s">
        <v>270</v>
      </c>
      <c r="D690">
        <v>1831044979</v>
      </c>
      <c r="E690">
        <v>184101001</v>
      </c>
      <c r="F690" t="s">
        <v>44</v>
      </c>
      <c r="G690">
        <v>0</v>
      </c>
      <c r="J690" s="8">
        <v>45650</v>
      </c>
      <c r="K690" s="1" t="s">
        <v>1479</v>
      </c>
      <c r="L690" t="s">
        <v>2732</v>
      </c>
      <c r="M690" t="s">
        <v>2733</v>
      </c>
      <c r="N690" s="2">
        <v>15152100</v>
      </c>
      <c r="O690" t="s">
        <v>273</v>
      </c>
      <c r="P690" s="6" t="s">
        <v>36</v>
      </c>
      <c r="Q690" t="s">
        <v>1993</v>
      </c>
      <c r="R690" t="s">
        <v>240</v>
      </c>
      <c r="S690" s="9">
        <v>5100</v>
      </c>
      <c r="T690" s="9">
        <v>2971</v>
      </c>
      <c r="U690" s="9">
        <v>15152100</v>
      </c>
      <c r="V690" s="6" t="s">
        <v>274</v>
      </c>
      <c r="W690" t="s">
        <v>40</v>
      </c>
      <c r="X690">
        <v>1833000350</v>
      </c>
      <c r="Y690">
        <v>184001001</v>
      </c>
      <c r="Z690" s="3">
        <v>45655.466666666667</v>
      </c>
      <c r="AA690" s="6">
        <v>2024</v>
      </c>
      <c r="AB690" s="1">
        <v>45712</v>
      </c>
    </row>
    <row r="691" spans="1:28" x14ac:dyDescent="0.3">
      <c r="A691" t="s">
        <v>2734</v>
      </c>
      <c r="B691" s="6" t="s">
        <v>1358</v>
      </c>
      <c r="C691" s="6" t="s">
        <v>270</v>
      </c>
      <c r="D691">
        <v>1831044979</v>
      </c>
      <c r="E691">
        <v>184101001</v>
      </c>
      <c r="F691" t="s">
        <v>44</v>
      </c>
      <c r="G691">
        <v>0</v>
      </c>
      <c r="J691" s="8">
        <v>45650</v>
      </c>
      <c r="K691" s="1" t="s">
        <v>1479</v>
      </c>
      <c r="L691" t="s">
        <v>2735</v>
      </c>
      <c r="M691" t="s">
        <v>2736</v>
      </c>
      <c r="N691" s="2">
        <v>2733600</v>
      </c>
      <c r="O691" t="s">
        <v>273</v>
      </c>
      <c r="P691" s="6" t="s">
        <v>36</v>
      </c>
      <c r="Q691" t="s">
        <v>37</v>
      </c>
      <c r="R691" t="s">
        <v>240</v>
      </c>
      <c r="S691" s="9">
        <v>5100</v>
      </c>
      <c r="T691" s="9">
        <v>536</v>
      </c>
      <c r="U691" s="9">
        <v>2733600</v>
      </c>
      <c r="V691" s="6" t="s">
        <v>274</v>
      </c>
      <c r="W691" t="s">
        <v>40</v>
      </c>
      <c r="X691">
        <v>1833000350</v>
      </c>
      <c r="Y691">
        <v>184001001</v>
      </c>
      <c r="Z691" s="3">
        <v>45655.466666666667</v>
      </c>
      <c r="AA691" s="6">
        <v>2024</v>
      </c>
      <c r="AB691" s="1">
        <v>45712</v>
      </c>
    </row>
    <row r="692" spans="1:28" x14ac:dyDescent="0.3">
      <c r="A692" t="s">
        <v>2737</v>
      </c>
      <c r="B692" s="6" t="s">
        <v>2738</v>
      </c>
      <c r="C692" s="6" t="s">
        <v>852</v>
      </c>
      <c r="D692">
        <v>1435026510</v>
      </c>
      <c r="E692">
        <v>143501001</v>
      </c>
      <c r="F692" t="s">
        <v>149</v>
      </c>
      <c r="G692" t="s">
        <v>2739</v>
      </c>
      <c r="H692" s="1">
        <v>45645</v>
      </c>
      <c r="J692" s="8">
        <v>45650</v>
      </c>
      <c r="K692" s="1" t="s">
        <v>1479</v>
      </c>
      <c r="L692" t="s">
        <v>2740</v>
      </c>
      <c r="M692" t="s">
        <v>273</v>
      </c>
      <c r="N692" s="2">
        <v>4352400</v>
      </c>
      <c r="O692" t="s">
        <v>273</v>
      </c>
      <c r="P692" s="6" t="s">
        <v>36</v>
      </c>
      <c r="R692" t="s">
        <v>240</v>
      </c>
      <c r="S692" s="9">
        <v>5200</v>
      </c>
      <c r="T692" s="9">
        <v>837</v>
      </c>
      <c r="U692" s="9">
        <v>4352400</v>
      </c>
      <c r="V692" s="6" t="s">
        <v>39</v>
      </c>
      <c r="W692" t="s">
        <v>40</v>
      </c>
      <c r="X692">
        <v>7810687137</v>
      </c>
      <c r="Y692">
        <v>781401001</v>
      </c>
      <c r="Z692" s="3">
        <v>45651.447916666664</v>
      </c>
      <c r="AA692" s="6">
        <v>2024</v>
      </c>
      <c r="AB692" s="1">
        <v>45777</v>
      </c>
    </row>
    <row r="693" spans="1:28" x14ac:dyDescent="0.3">
      <c r="A693" t="s">
        <v>2737</v>
      </c>
      <c r="B693" s="6" t="s">
        <v>2738</v>
      </c>
      <c r="C693" s="6" t="s">
        <v>852</v>
      </c>
      <c r="D693">
        <v>1435026510</v>
      </c>
      <c r="E693">
        <v>143501001</v>
      </c>
      <c r="F693" t="s">
        <v>149</v>
      </c>
      <c r="G693" t="s">
        <v>2739</v>
      </c>
      <c r="H693" s="1">
        <v>45645</v>
      </c>
      <c r="J693" s="8">
        <v>45650</v>
      </c>
      <c r="K693" s="1" t="s">
        <v>1479</v>
      </c>
      <c r="L693" t="s">
        <v>2741</v>
      </c>
      <c r="M693" t="s">
        <v>273</v>
      </c>
      <c r="N693" s="2">
        <v>4352400</v>
      </c>
      <c r="O693" t="s">
        <v>273</v>
      </c>
      <c r="P693" s="6" t="s">
        <v>36</v>
      </c>
      <c r="R693" t="s">
        <v>240</v>
      </c>
      <c r="S693" s="9">
        <v>5200</v>
      </c>
      <c r="T693" s="9">
        <v>837</v>
      </c>
      <c r="U693" s="9">
        <v>4352400</v>
      </c>
      <c r="V693" s="6" t="s">
        <v>352</v>
      </c>
      <c r="W693" t="s">
        <v>40</v>
      </c>
      <c r="X693">
        <v>7843014747</v>
      </c>
      <c r="Y693">
        <v>781401001</v>
      </c>
      <c r="Z693" s="3">
        <v>45651.447916666664</v>
      </c>
      <c r="AA693" s="6">
        <v>2024</v>
      </c>
      <c r="AB693" s="1">
        <v>45777</v>
      </c>
    </row>
    <row r="694" spans="1:28" x14ac:dyDescent="0.3">
      <c r="A694" t="s">
        <v>2742</v>
      </c>
      <c r="B694" s="6" t="s">
        <v>1368</v>
      </c>
      <c r="C694" s="6" t="s">
        <v>1048</v>
      </c>
      <c r="D694">
        <v>2901070303</v>
      </c>
      <c r="E694">
        <v>290101001</v>
      </c>
      <c r="F694" t="s">
        <v>52</v>
      </c>
      <c r="G694" t="s">
        <v>2743</v>
      </c>
      <c r="H694" s="1">
        <v>45639</v>
      </c>
      <c r="I694" t="s">
        <v>2744</v>
      </c>
      <c r="J694" s="8">
        <v>45650</v>
      </c>
      <c r="K694" s="1" t="s">
        <v>1479</v>
      </c>
      <c r="L694" t="s">
        <v>2745</v>
      </c>
      <c r="M694" t="s">
        <v>2746</v>
      </c>
      <c r="N694" s="2">
        <v>19410600</v>
      </c>
      <c r="O694" t="s">
        <v>440</v>
      </c>
      <c r="P694" s="6" t="s">
        <v>36</v>
      </c>
      <c r="Q694" t="s">
        <v>37</v>
      </c>
      <c r="R694" t="s">
        <v>240</v>
      </c>
      <c r="S694" s="9">
        <v>5100</v>
      </c>
      <c r="T694" s="9">
        <v>3806</v>
      </c>
      <c r="U694" s="9">
        <v>19410600</v>
      </c>
      <c r="V694" s="6" t="s">
        <v>58</v>
      </c>
      <c r="W694" t="s">
        <v>59</v>
      </c>
      <c r="X694">
        <v>5262222144</v>
      </c>
      <c r="Y694">
        <v>526201001</v>
      </c>
      <c r="Z694" s="3">
        <v>45666.540972222225</v>
      </c>
      <c r="AA694" s="6">
        <v>2024</v>
      </c>
      <c r="AB694" s="1">
        <v>45716</v>
      </c>
    </row>
    <row r="695" spans="1:28" x14ac:dyDescent="0.3">
      <c r="A695" t="s">
        <v>2747</v>
      </c>
      <c r="B695" s="6" t="s">
        <v>2748</v>
      </c>
      <c r="C695" s="6" t="s">
        <v>114</v>
      </c>
      <c r="D695">
        <v>8603112809</v>
      </c>
      <c r="E695">
        <v>860301001</v>
      </c>
      <c r="F695" t="s">
        <v>52</v>
      </c>
      <c r="G695" t="s">
        <v>2749</v>
      </c>
      <c r="H695" s="1">
        <v>45639</v>
      </c>
      <c r="J695" s="8">
        <v>45650</v>
      </c>
      <c r="K695" s="1" t="s">
        <v>1479</v>
      </c>
      <c r="L695" t="s">
        <v>2749</v>
      </c>
      <c r="M695" t="s">
        <v>409</v>
      </c>
      <c r="N695" s="2">
        <v>525333.6</v>
      </c>
      <c r="O695" t="s">
        <v>440</v>
      </c>
      <c r="P695" s="6" t="s">
        <v>36</v>
      </c>
      <c r="R695" t="s">
        <v>240</v>
      </c>
      <c r="S695" s="9">
        <v>6566.67</v>
      </c>
      <c r="T695" s="9">
        <v>80</v>
      </c>
      <c r="U695" s="9">
        <v>525333.6</v>
      </c>
      <c r="V695" s="6" t="s">
        <v>723</v>
      </c>
      <c r="W695" t="s">
        <v>402</v>
      </c>
      <c r="X695">
        <v>890507752198</v>
      </c>
      <c r="Z695" s="3">
        <v>45650.315972222219</v>
      </c>
      <c r="AA695" s="6">
        <v>2024</v>
      </c>
      <c r="AB695" s="1">
        <v>46022</v>
      </c>
    </row>
    <row r="696" spans="1:28" x14ac:dyDescent="0.3">
      <c r="A696" t="s">
        <v>2750</v>
      </c>
      <c r="B696" s="6" t="s">
        <v>75</v>
      </c>
      <c r="C696" s="6" t="s">
        <v>76</v>
      </c>
      <c r="D696">
        <v>2633004253</v>
      </c>
      <c r="E696">
        <v>263601001</v>
      </c>
      <c r="F696" t="s">
        <v>52</v>
      </c>
      <c r="G696" t="s">
        <v>2751</v>
      </c>
      <c r="H696" s="1">
        <v>45639</v>
      </c>
      <c r="I696" t="s">
        <v>2752</v>
      </c>
      <c r="J696" s="8">
        <v>45650</v>
      </c>
      <c r="K696" s="1" t="s">
        <v>1479</v>
      </c>
      <c r="L696" t="s">
        <v>2751</v>
      </c>
      <c r="M696" t="s">
        <v>2612</v>
      </c>
      <c r="N696" s="2">
        <v>2911085</v>
      </c>
      <c r="O696" t="s">
        <v>273</v>
      </c>
      <c r="P696" s="6" t="s">
        <v>36</v>
      </c>
      <c r="R696" t="s">
        <v>240</v>
      </c>
      <c r="S696" s="9">
        <v>5822.17</v>
      </c>
      <c r="T696" s="9">
        <v>500</v>
      </c>
      <c r="U696" s="9">
        <v>2911085</v>
      </c>
      <c r="V696" s="6" t="s">
        <v>39</v>
      </c>
      <c r="W696" t="s">
        <v>40</v>
      </c>
      <c r="X696">
        <v>7810687137</v>
      </c>
      <c r="Y696">
        <v>781401001</v>
      </c>
      <c r="Z696" s="3">
        <v>45660.579861111109</v>
      </c>
      <c r="AA696" s="6">
        <v>2024</v>
      </c>
      <c r="AB696" s="1">
        <v>45657</v>
      </c>
    </row>
    <row r="697" spans="1:28" x14ac:dyDescent="0.3">
      <c r="A697" t="s">
        <v>2753</v>
      </c>
      <c r="B697" s="6" t="s">
        <v>633</v>
      </c>
      <c r="C697" s="6" t="s">
        <v>634</v>
      </c>
      <c r="D697">
        <v>5321028960</v>
      </c>
      <c r="E697">
        <v>532101001</v>
      </c>
      <c r="F697" t="s">
        <v>94</v>
      </c>
      <c r="G697" t="s">
        <v>2754</v>
      </c>
      <c r="H697" s="1">
        <v>45639</v>
      </c>
      <c r="I697" t="s">
        <v>2442</v>
      </c>
      <c r="J697" s="8">
        <v>45650</v>
      </c>
      <c r="K697" s="1" t="s">
        <v>1479</v>
      </c>
      <c r="L697" t="s">
        <v>2754</v>
      </c>
      <c r="M697" t="s">
        <v>552</v>
      </c>
      <c r="N697" s="2">
        <v>2125000</v>
      </c>
      <c r="O697" t="s">
        <v>440</v>
      </c>
      <c r="P697" s="6" t="s">
        <v>36</v>
      </c>
      <c r="R697" t="s">
        <v>240</v>
      </c>
      <c r="S697" s="9">
        <v>5000</v>
      </c>
      <c r="T697" s="9">
        <v>425</v>
      </c>
      <c r="U697" s="9">
        <v>2125000</v>
      </c>
      <c r="V697" s="6" t="s">
        <v>39</v>
      </c>
      <c r="W697" t="s">
        <v>40</v>
      </c>
      <c r="X697">
        <v>7810687137</v>
      </c>
      <c r="Y697">
        <v>781401001</v>
      </c>
      <c r="Z697" s="3">
        <v>45652.613888888889</v>
      </c>
      <c r="AA697" s="6">
        <v>2024</v>
      </c>
      <c r="AB697" s="1">
        <v>45654</v>
      </c>
    </row>
    <row r="698" spans="1:28" x14ac:dyDescent="0.3">
      <c r="A698" t="s">
        <v>2689</v>
      </c>
      <c r="B698" s="6" t="s">
        <v>752</v>
      </c>
      <c r="C698" s="6" t="s">
        <v>213</v>
      </c>
      <c r="D698">
        <v>1654017170</v>
      </c>
      <c r="E698">
        <v>165501001</v>
      </c>
      <c r="F698" t="s">
        <v>94</v>
      </c>
      <c r="G698" t="s">
        <v>2690</v>
      </c>
      <c r="H698" s="1">
        <v>45644</v>
      </c>
      <c r="I698" t="s">
        <v>2691</v>
      </c>
      <c r="J698" s="8">
        <v>45650</v>
      </c>
      <c r="K698" s="1" t="s">
        <v>1479</v>
      </c>
      <c r="L698" t="s">
        <v>2692</v>
      </c>
      <c r="M698" t="s">
        <v>756</v>
      </c>
      <c r="N698" s="2">
        <v>71253440</v>
      </c>
      <c r="O698" t="s">
        <v>1851</v>
      </c>
      <c r="P698" s="6" t="s">
        <v>1814</v>
      </c>
      <c r="Q698" t="s">
        <v>37</v>
      </c>
      <c r="R698" t="s">
        <v>38</v>
      </c>
      <c r="S698" s="9">
        <v>4280</v>
      </c>
      <c r="T698" s="9">
        <v>2500</v>
      </c>
      <c r="U698" s="9">
        <v>10700000</v>
      </c>
      <c r="V698" s="6" t="s">
        <v>111</v>
      </c>
      <c r="W698" t="s">
        <v>59</v>
      </c>
      <c r="X698">
        <v>5262258091</v>
      </c>
      <c r="Y698">
        <v>526201001</v>
      </c>
      <c r="Z698" s="3">
        <v>45666.609722222223</v>
      </c>
      <c r="AA698" s="6">
        <v>2024</v>
      </c>
      <c r="AB698" s="1">
        <v>45657</v>
      </c>
    </row>
    <row r="699" spans="1:28" x14ac:dyDescent="0.3">
      <c r="A699" t="s">
        <v>2689</v>
      </c>
      <c r="B699" s="6" t="s">
        <v>752</v>
      </c>
      <c r="C699" s="6" t="s">
        <v>213</v>
      </c>
      <c r="D699">
        <v>1654017170</v>
      </c>
      <c r="E699">
        <v>165501001</v>
      </c>
      <c r="F699" t="s">
        <v>94</v>
      </c>
      <c r="G699" t="s">
        <v>2690</v>
      </c>
      <c r="H699" s="1">
        <v>45644</v>
      </c>
      <c r="I699" t="s">
        <v>2691</v>
      </c>
      <c r="J699" s="8">
        <v>45650</v>
      </c>
      <c r="K699" s="1" t="s">
        <v>1479</v>
      </c>
      <c r="L699" t="s">
        <v>2692</v>
      </c>
      <c r="M699" t="s">
        <v>756</v>
      </c>
      <c r="N699" s="2">
        <v>71253440</v>
      </c>
      <c r="O699" t="s">
        <v>1851</v>
      </c>
      <c r="P699" s="6" t="s">
        <v>2277</v>
      </c>
      <c r="Q699" t="s">
        <v>37</v>
      </c>
      <c r="R699" t="s">
        <v>38</v>
      </c>
      <c r="S699" s="9">
        <v>4280</v>
      </c>
      <c r="T699" s="9">
        <v>4000</v>
      </c>
      <c r="U699" s="9">
        <v>17120000</v>
      </c>
      <c r="V699" s="6" t="s">
        <v>111</v>
      </c>
      <c r="W699" t="s">
        <v>59</v>
      </c>
      <c r="X699">
        <v>5262258091</v>
      </c>
      <c r="Y699">
        <v>526201001</v>
      </c>
      <c r="Z699" s="3">
        <v>45666.609722222223</v>
      </c>
      <c r="AA699" s="6">
        <v>2024</v>
      </c>
      <c r="AB699" s="1">
        <v>45657</v>
      </c>
    </row>
    <row r="700" spans="1:28" x14ac:dyDescent="0.3">
      <c r="A700" t="s">
        <v>2755</v>
      </c>
      <c r="B700" s="6" t="s">
        <v>1596</v>
      </c>
      <c r="C700" s="6" t="s">
        <v>285</v>
      </c>
      <c r="D700">
        <v>3325008103</v>
      </c>
      <c r="E700">
        <v>332501001</v>
      </c>
      <c r="F700" t="s">
        <v>94</v>
      </c>
      <c r="G700" t="s">
        <v>2756</v>
      </c>
      <c r="H700" s="1">
        <v>45645</v>
      </c>
      <c r="I700" t="s">
        <v>2757</v>
      </c>
      <c r="J700" s="8">
        <v>45650</v>
      </c>
      <c r="K700" s="1" t="s">
        <v>1479</v>
      </c>
      <c r="L700" t="s">
        <v>2756</v>
      </c>
      <c r="M700" t="s">
        <v>2758</v>
      </c>
      <c r="N700" s="2">
        <v>6547100</v>
      </c>
      <c r="O700" t="s">
        <v>1912</v>
      </c>
      <c r="P700" s="6" t="s">
        <v>891</v>
      </c>
      <c r="Q700" t="s">
        <v>1993</v>
      </c>
      <c r="R700" t="s">
        <v>38</v>
      </c>
      <c r="S700" s="9">
        <v>3980</v>
      </c>
      <c r="T700" s="9">
        <v>1645</v>
      </c>
      <c r="U700" s="9">
        <v>6547100</v>
      </c>
      <c r="V700" s="6" t="s">
        <v>1612</v>
      </c>
      <c r="W700" t="s">
        <v>1613</v>
      </c>
      <c r="X700">
        <v>9727026181</v>
      </c>
      <c r="Y700">
        <v>770601001</v>
      </c>
      <c r="Z700" s="3">
        <v>45654.78125</v>
      </c>
      <c r="AA700" s="6">
        <v>2024</v>
      </c>
      <c r="AB700" s="1">
        <v>45661</v>
      </c>
    </row>
    <row r="701" spans="1:28" x14ac:dyDescent="0.3">
      <c r="A701" t="s">
        <v>2755</v>
      </c>
      <c r="B701" s="6" t="s">
        <v>1596</v>
      </c>
      <c r="C701" s="6" t="s">
        <v>285</v>
      </c>
      <c r="D701">
        <v>3325008103</v>
      </c>
      <c r="E701">
        <v>332501001</v>
      </c>
      <c r="F701" t="s">
        <v>94</v>
      </c>
      <c r="G701" t="s">
        <v>2756</v>
      </c>
      <c r="H701" s="1">
        <v>45645</v>
      </c>
      <c r="I701" t="s">
        <v>2757</v>
      </c>
      <c r="J701" s="8">
        <v>45650</v>
      </c>
      <c r="K701" s="1" t="s">
        <v>1479</v>
      </c>
      <c r="L701" t="s">
        <v>2756</v>
      </c>
      <c r="M701" t="s">
        <v>2758</v>
      </c>
      <c r="N701" s="2">
        <v>6547100</v>
      </c>
      <c r="O701" t="s">
        <v>1912</v>
      </c>
      <c r="P701" s="6" t="s">
        <v>891</v>
      </c>
      <c r="Q701" t="s">
        <v>1993</v>
      </c>
      <c r="R701" t="s">
        <v>38</v>
      </c>
      <c r="S701" s="9">
        <v>3980</v>
      </c>
      <c r="T701" s="9">
        <v>1645</v>
      </c>
      <c r="U701" s="9">
        <v>6547100</v>
      </c>
      <c r="V701" s="6" t="s">
        <v>1612</v>
      </c>
      <c r="W701" t="s">
        <v>1613</v>
      </c>
      <c r="X701">
        <v>9727026181</v>
      </c>
      <c r="Y701">
        <v>770601001</v>
      </c>
      <c r="Z701" s="3">
        <v>45654.777083333334</v>
      </c>
      <c r="AA701" s="6">
        <v>2024</v>
      </c>
      <c r="AB701" s="1">
        <v>45661</v>
      </c>
    </row>
    <row r="702" spans="1:28" x14ac:dyDescent="0.3">
      <c r="A702" s="4" t="s">
        <v>2759</v>
      </c>
      <c r="B702" s="6" t="s">
        <v>204</v>
      </c>
      <c r="C702" s="6" t="s">
        <v>205</v>
      </c>
      <c r="D702">
        <v>4101173350</v>
      </c>
      <c r="E702">
        <v>410101001</v>
      </c>
      <c r="F702" t="s">
        <v>94</v>
      </c>
      <c r="G702" t="s">
        <v>2760</v>
      </c>
      <c r="H702" s="1">
        <v>45645</v>
      </c>
      <c r="J702" s="8">
        <v>45650</v>
      </c>
      <c r="K702" s="1" t="s">
        <v>1479</v>
      </c>
      <c r="L702" t="s">
        <v>2761</v>
      </c>
      <c r="M702" t="s">
        <v>2762</v>
      </c>
      <c r="N702" s="2">
        <v>4319543.05</v>
      </c>
      <c r="O702" t="s">
        <v>2763</v>
      </c>
      <c r="P702" s="6" t="s">
        <v>891</v>
      </c>
      <c r="Q702" t="s">
        <v>1993</v>
      </c>
      <c r="R702" t="s">
        <v>38</v>
      </c>
      <c r="S702" s="9">
        <v>3843.01</v>
      </c>
      <c r="T702" s="9">
        <v>1124</v>
      </c>
      <c r="U702" s="9">
        <v>4319543.05</v>
      </c>
      <c r="V702" s="6" t="s">
        <v>2764</v>
      </c>
      <c r="W702" t="s">
        <v>59</v>
      </c>
      <c r="X702">
        <v>5921028288</v>
      </c>
      <c r="Y702">
        <v>592101001</v>
      </c>
      <c r="Z702" s="3">
        <v>45653.113194444442</v>
      </c>
      <c r="AA702" s="6">
        <v>2024</v>
      </c>
      <c r="AB702" s="1">
        <v>46022</v>
      </c>
    </row>
    <row r="703" spans="1:28" x14ac:dyDescent="0.3">
      <c r="A703" t="s">
        <v>2765</v>
      </c>
      <c r="B703" s="6" t="s">
        <v>204</v>
      </c>
      <c r="C703" s="6" t="s">
        <v>205</v>
      </c>
      <c r="D703">
        <v>4101173350</v>
      </c>
      <c r="E703">
        <v>410101001</v>
      </c>
      <c r="F703" t="s">
        <v>94</v>
      </c>
      <c r="G703" t="s">
        <v>2766</v>
      </c>
      <c r="H703" s="1">
        <v>45645</v>
      </c>
      <c r="J703" s="8">
        <v>45650</v>
      </c>
      <c r="K703" s="1" t="s">
        <v>1479</v>
      </c>
      <c r="L703" t="s">
        <v>2767</v>
      </c>
      <c r="M703" t="s">
        <v>2768</v>
      </c>
      <c r="N703" s="2">
        <v>2336549.98</v>
      </c>
      <c r="O703" t="s">
        <v>2763</v>
      </c>
      <c r="P703" s="6" t="s">
        <v>891</v>
      </c>
      <c r="Q703" t="s">
        <v>37</v>
      </c>
      <c r="R703" t="s">
        <v>38</v>
      </c>
      <c r="S703" s="9">
        <v>3843.01</v>
      </c>
      <c r="T703" s="9">
        <v>608</v>
      </c>
      <c r="U703" s="9">
        <v>2336549.98</v>
      </c>
      <c r="V703" s="6" t="s">
        <v>2764</v>
      </c>
      <c r="W703" t="s">
        <v>59</v>
      </c>
      <c r="X703">
        <v>5921028288</v>
      </c>
      <c r="Y703">
        <v>592101001</v>
      </c>
      <c r="Z703" s="3">
        <v>45653.113194444442</v>
      </c>
      <c r="AA703" s="6">
        <v>2024</v>
      </c>
      <c r="AB703" s="1">
        <v>45719</v>
      </c>
    </row>
    <row r="704" spans="1:28" x14ac:dyDescent="0.3">
      <c r="A704" t="s">
        <v>2769</v>
      </c>
      <c r="B704" s="6" t="s">
        <v>924</v>
      </c>
      <c r="C704" s="6" t="s">
        <v>925</v>
      </c>
      <c r="D704">
        <v>4205349664</v>
      </c>
      <c r="E704">
        <v>420501001</v>
      </c>
      <c r="F704" t="s">
        <v>149</v>
      </c>
      <c r="G704" t="s">
        <v>2770</v>
      </c>
      <c r="H704" s="1">
        <v>45646</v>
      </c>
      <c r="I704" t="s">
        <v>2771</v>
      </c>
      <c r="J704" s="8">
        <v>45651</v>
      </c>
      <c r="K704" s="1" t="s">
        <v>1479</v>
      </c>
      <c r="L704" t="s">
        <v>2772</v>
      </c>
      <c r="M704" t="s">
        <v>377</v>
      </c>
      <c r="N704" s="2">
        <v>4997560</v>
      </c>
      <c r="O704" t="s">
        <v>377</v>
      </c>
      <c r="P704" s="6" t="s">
        <v>36</v>
      </c>
      <c r="R704" t="s">
        <v>38</v>
      </c>
      <c r="S704" s="9">
        <v>4120</v>
      </c>
      <c r="T704" s="9">
        <v>1213</v>
      </c>
      <c r="U704" s="9">
        <v>4997560</v>
      </c>
      <c r="V704" s="6" t="s">
        <v>58</v>
      </c>
      <c r="W704" t="s">
        <v>59</v>
      </c>
      <c r="X704">
        <v>5262222144</v>
      </c>
      <c r="Y704">
        <v>526201001</v>
      </c>
      <c r="Z704" s="3">
        <v>45666.426388888889</v>
      </c>
      <c r="AA704" s="6">
        <v>2024</v>
      </c>
      <c r="AB704" s="1">
        <v>45657</v>
      </c>
    </row>
    <row r="705" spans="1:28" x14ac:dyDescent="0.3">
      <c r="A705" t="s">
        <v>2773</v>
      </c>
      <c r="B705" s="6" t="s">
        <v>1290</v>
      </c>
      <c r="C705" s="6" t="s">
        <v>51</v>
      </c>
      <c r="D705">
        <v>6832008411</v>
      </c>
      <c r="E705">
        <v>682901001</v>
      </c>
      <c r="F705" t="s">
        <v>94</v>
      </c>
      <c r="G705" t="s">
        <v>2774</v>
      </c>
      <c r="H705" s="1">
        <v>45646</v>
      </c>
      <c r="I705" t="s">
        <v>2775</v>
      </c>
      <c r="J705" s="8">
        <v>45651</v>
      </c>
      <c r="K705" s="1" t="s">
        <v>1479</v>
      </c>
      <c r="L705" t="s">
        <v>2776</v>
      </c>
      <c r="M705" t="s">
        <v>2777</v>
      </c>
      <c r="N705" s="2">
        <v>6194835.1600000001</v>
      </c>
      <c r="O705" t="s">
        <v>440</v>
      </c>
      <c r="P705" s="6" t="s">
        <v>36</v>
      </c>
      <c r="R705" t="s">
        <v>240</v>
      </c>
      <c r="S705" s="9">
        <v>4900.9799999999996</v>
      </c>
      <c r="T705" s="9">
        <v>1263</v>
      </c>
      <c r="U705" s="9">
        <v>6189937.7400000002</v>
      </c>
      <c r="V705" s="6" t="s">
        <v>111</v>
      </c>
      <c r="W705" t="s">
        <v>59</v>
      </c>
      <c r="X705">
        <v>5262258091</v>
      </c>
      <c r="Y705">
        <v>526201001</v>
      </c>
      <c r="Z705" s="3">
        <v>45677.47152777778</v>
      </c>
      <c r="AA705" s="6">
        <v>2024</v>
      </c>
      <c r="AB705" s="1">
        <v>45687</v>
      </c>
    </row>
    <row r="706" spans="1:28" x14ac:dyDescent="0.3">
      <c r="A706" t="s">
        <v>2773</v>
      </c>
      <c r="B706" s="6" t="s">
        <v>1290</v>
      </c>
      <c r="C706" s="6" t="s">
        <v>51</v>
      </c>
      <c r="D706">
        <v>6832008411</v>
      </c>
      <c r="E706">
        <v>682901001</v>
      </c>
      <c r="F706" t="s">
        <v>94</v>
      </c>
      <c r="G706" t="s">
        <v>2774</v>
      </c>
      <c r="H706" s="1">
        <v>45646</v>
      </c>
      <c r="I706" t="s">
        <v>2775</v>
      </c>
      <c r="J706" s="8">
        <v>45651</v>
      </c>
      <c r="K706" s="1" t="s">
        <v>1479</v>
      </c>
      <c r="L706" t="s">
        <v>2776</v>
      </c>
      <c r="M706" t="s">
        <v>2777</v>
      </c>
      <c r="N706" s="2">
        <v>6194835.1600000001</v>
      </c>
      <c r="O706" t="s">
        <v>225</v>
      </c>
      <c r="P706" s="6" t="s">
        <v>36</v>
      </c>
      <c r="R706" t="s">
        <v>240</v>
      </c>
      <c r="S706" s="9">
        <v>4897.42</v>
      </c>
      <c r="T706" s="9">
        <v>1</v>
      </c>
      <c r="U706" s="9">
        <v>4897.42</v>
      </c>
      <c r="V706" s="6" t="s">
        <v>111</v>
      </c>
      <c r="W706" t="s">
        <v>59</v>
      </c>
      <c r="X706">
        <v>5262258091</v>
      </c>
      <c r="Y706">
        <v>526201001</v>
      </c>
      <c r="Z706" s="3">
        <v>45677.47152777778</v>
      </c>
      <c r="AA706" s="6">
        <v>2024</v>
      </c>
      <c r="AB706" s="1">
        <v>45687</v>
      </c>
    </row>
    <row r="707" spans="1:28" x14ac:dyDescent="0.3">
      <c r="A707" t="s">
        <v>2778</v>
      </c>
      <c r="B707" s="6" t="s">
        <v>1263</v>
      </c>
      <c r="C707" s="6" t="s">
        <v>1225</v>
      </c>
      <c r="D707">
        <v>2309053058</v>
      </c>
      <c r="E707">
        <v>231001001</v>
      </c>
      <c r="F707" t="s">
        <v>94</v>
      </c>
      <c r="G707" t="s">
        <v>2779</v>
      </c>
      <c r="H707" s="1">
        <v>45649</v>
      </c>
      <c r="I707" t="s">
        <v>2780</v>
      </c>
      <c r="J707" s="8">
        <v>45652</v>
      </c>
      <c r="K707" s="1" t="s">
        <v>1479</v>
      </c>
      <c r="L707" t="s">
        <v>2781</v>
      </c>
      <c r="M707" t="s">
        <v>1496</v>
      </c>
      <c r="N707" s="2">
        <v>12996000</v>
      </c>
      <c r="O707" t="s">
        <v>377</v>
      </c>
      <c r="P707" s="6" t="s">
        <v>891</v>
      </c>
      <c r="Q707" t="s">
        <v>1993</v>
      </c>
      <c r="R707" t="s">
        <v>38</v>
      </c>
      <c r="S707" s="9">
        <f>11400/2</f>
        <v>5700</v>
      </c>
      <c r="T707" s="9">
        <f>1140*2</f>
        <v>2280</v>
      </c>
      <c r="U707" s="9">
        <v>12996000</v>
      </c>
      <c r="V707" s="6" t="s">
        <v>1497</v>
      </c>
      <c r="W707" t="s">
        <v>1269</v>
      </c>
      <c r="X707">
        <v>234606565699</v>
      </c>
      <c r="Z707" s="3">
        <v>45673.381944444445</v>
      </c>
      <c r="AA707" s="6">
        <v>2024</v>
      </c>
      <c r="AB707" s="1">
        <v>45654</v>
      </c>
    </row>
    <row r="708" spans="1:28" x14ac:dyDescent="0.3">
      <c r="A708" t="s">
        <v>2782</v>
      </c>
      <c r="B708" s="6" t="s">
        <v>1263</v>
      </c>
      <c r="C708" s="6" t="s">
        <v>1225</v>
      </c>
      <c r="D708">
        <v>2309053058</v>
      </c>
      <c r="E708">
        <v>231001001</v>
      </c>
      <c r="F708" t="s">
        <v>94</v>
      </c>
      <c r="G708" t="s">
        <v>2783</v>
      </c>
      <c r="H708" s="1">
        <v>45649</v>
      </c>
      <c r="I708" t="s">
        <v>2784</v>
      </c>
      <c r="J708" s="8">
        <v>45652</v>
      </c>
      <c r="K708" s="1" t="s">
        <v>1479</v>
      </c>
      <c r="L708" t="s">
        <v>2785</v>
      </c>
      <c r="M708" t="s">
        <v>1496</v>
      </c>
      <c r="N708" s="2">
        <v>10989600</v>
      </c>
      <c r="O708" t="s">
        <v>377</v>
      </c>
      <c r="P708" s="6" t="s">
        <v>891</v>
      </c>
      <c r="Q708" t="s">
        <v>1993</v>
      </c>
      <c r="R708" t="s">
        <v>38</v>
      </c>
      <c r="S708" s="9">
        <f>11400/2</f>
        <v>5700</v>
      </c>
      <c r="T708" s="9">
        <f>964*2</f>
        <v>1928</v>
      </c>
      <c r="U708" s="9">
        <v>10989600</v>
      </c>
      <c r="V708" s="6" t="s">
        <v>1497</v>
      </c>
      <c r="W708" t="s">
        <v>1269</v>
      </c>
      <c r="X708">
        <v>234606565699</v>
      </c>
      <c r="Z708" s="3">
        <v>45673.381249999999</v>
      </c>
      <c r="AA708" s="6">
        <v>2024</v>
      </c>
      <c r="AB708" s="1">
        <v>45654</v>
      </c>
    </row>
    <row r="709" spans="1:28" x14ac:dyDescent="0.3">
      <c r="A709" t="s">
        <v>2786</v>
      </c>
      <c r="B709" s="6" t="s">
        <v>1263</v>
      </c>
      <c r="C709" s="6" t="s">
        <v>1225</v>
      </c>
      <c r="D709">
        <v>2309053058</v>
      </c>
      <c r="E709">
        <v>231001001</v>
      </c>
      <c r="F709" t="s">
        <v>94</v>
      </c>
      <c r="G709" t="s">
        <v>2787</v>
      </c>
      <c r="H709" s="1">
        <v>45649</v>
      </c>
      <c r="I709" t="s">
        <v>2788</v>
      </c>
      <c r="J709" s="8">
        <v>45652</v>
      </c>
      <c r="K709" s="1" t="s">
        <v>1479</v>
      </c>
      <c r="L709" t="s">
        <v>2789</v>
      </c>
      <c r="M709" t="s">
        <v>1496</v>
      </c>
      <c r="N709" s="2">
        <v>11160600</v>
      </c>
      <c r="O709" t="s">
        <v>377</v>
      </c>
      <c r="P709" s="6" t="s">
        <v>891</v>
      </c>
      <c r="Q709" t="s">
        <v>1993</v>
      </c>
      <c r="R709" t="s">
        <v>38</v>
      </c>
      <c r="S709" s="9">
        <f>11400/2</f>
        <v>5700</v>
      </c>
      <c r="T709" s="9">
        <f>877*2</f>
        <v>1754</v>
      </c>
      <c r="U709" s="9">
        <v>9997800</v>
      </c>
      <c r="V709" s="6" t="s">
        <v>1497</v>
      </c>
      <c r="W709" t="s">
        <v>1269</v>
      </c>
      <c r="X709">
        <v>234606565699</v>
      </c>
      <c r="Z709" s="3">
        <v>45673.484722222223</v>
      </c>
      <c r="AA709" s="6">
        <v>2024</v>
      </c>
      <c r="AB709" s="1">
        <v>45654</v>
      </c>
    </row>
    <row r="710" spans="1:28" x14ac:dyDescent="0.3">
      <c r="A710" t="s">
        <v>2790</v>
      </c>
      <c r="B710" s="6" t="s">
        <v>1263</v>
      </c>
      <c r="C710" s="6" t="s">
        <v>1225</v>
      </c>
      <c r="D710">
        <v>2309053058</v>
      </c>
      <c r="E710">
        <v>231001001</v>
      </c>
      <c r="F710" t="s">
        <v>94</v>
      </c>
      <c r="G710" t="s">
        <v>2791</v>
      </c>
      <c r="H710" s="1">
        <v>45649</v>
      </c>
      <c r="I710" t="s">
        <v>2792</v>
      </c>
      <c r="J710" s="8">
        <v>45652</v>
      </c>
      <c r="K710" s="1" t="s">
        <v>1479</v>
      </c>
      <c r="L710" t="s">
        <v>2793</v>
      </c>
      <c r="M710" t="s">
        <v>1496</v>
      </c>
      <c r="N710" s="2">
        <v>9997800</v>
      </c>
      <c r="O710" t="s">
        <v>377</v>
      </c>
      <c r="P710" s="6" t="s">
        <v>891</v>
      </c>
      <c r="Q710" t="s">
        <v>1993</v>
      </c>
      <c r="R710" t="s">
        <v>38</v>
      </c>
      <c r="S710" s="9">
        <f>11400/2</f>
        <v>5700</v>
      </c>
      <c r="T710" s="9">
        <f>877*2</f>
        <v>1754</v>
      </c>
      <c r="U710" s="9">
        <v>9997800</v>
      </c>
      <c r="V710" s="6" t="s">
        <v>1497</v>
      </c>
      <c r="W710" t="s">
        <v>1269</v>
      </c>
      <c r="X710">
        <v>234606565699</v>
      </c>
      <c r="Z710" s="3">
        <v>45673.379861111112</v>
      </c>
      <c r="AA710" s="6">
        <v>2024</v>
      </c>
      <c r="AB710" s="1">
        <v>45654</v>
      </c>
    </row>
    <row r="711" spans="1:28" x14ac:dyDescent="0.3">
      <c r="A711" t="s">
        <v>2794</v>
      </c>
      <c r="B711" s="6" t="s">
        <v>2795</v>
      </c>
      <c r="C711" s="6" t="s">
        <v>759</v>
      </c>
      <c r="D711">
        <v>6729007527</v>
      </c>
      <c r="E711">
        <v>672901001</v>
      </c>
      <c r="F711" t="s">
        <v>94</v>
      </c>
      <c r="G711" t="s">
        <v>2796</v>
      </c>
      <c r="H711" s="1">
        <v>45649</v>
      </c>
      <c r="J711" s="8">
        <v>45652</v>
      </c>
      <c r="K711" s="1" t="s">
        <v>1479</v>
      </c>
      <c r="L711" t="s">
        <v>2797</v>
      </c>
      <c r="M711" t="s">
        <v>2798</v>
      </c>
      <c r="N711" s="2">
        <v>7590000</v>
      </c>
      <c r="O711" t="s">
        <v>2799</v>
      </c>
      <c r="P711" s="6" t="s">
        <v>36</v>
      </c>
      <c r="Q711" t="s">
        <v>1993</v>
      </c>
      <c r="R711" t="s">
        <v>66</v>
      </c>
      <c r="S711" s="9">
        <v>4600</v>
      </c>
      <c r="T711" s="9">
        <v>1650</v>
      </c>
      <c r="U711" s="9">
        <v>7590000</v>
      </c>
      <c r="V711" s="6" t="s">
        <v>352</v>
      </c>
      <c r="W711" t="s">
        <v>40</v>
      </c>
      <c r="X711">
        <v>7843014747</v>
      </c>
      <c r="Y711">
        <v>781401001</v>
      </c>
      <c r="Z711" s="3">
        <v>45653.504166666666</v>
      </c>
      <c r="AA711" s="6">
        <v>2024</v>
      </c>
      <c r="AB711" s="1">
        <v>45716</v>
      </c>
    </row>
    <row r="712" spans="1:28" x14ac:dyDescent="0.3">
      <c r="A712" t="s">
        <v>2800</v>
      </c>
      <c r="B712" s="6" t="s">
        <v>617</v>
      </c>
      <c r="C712" s="6" t="s">
        <v>618</v>
      </c>
      <c r="D712">
        <v>323111068</v>
      </c>
      <c r="E712">
        <v>32301001</v>
      </c>
      <c r="F712" t="s">
        <v>44</v>
      </c>
      <c r="G712" t="s">
        <v>2801</v>
      </c>
      <c r="H712" s="1">
        <v>45651</v>
      </c>
      <c r="J712" s="8">
        <v>45652</v>
      </c>
      <c r="K712" s="1" t="s">
        <v>1479</v>
      </c>
      <c r="L712" t="s">
        <v>2802</v>
      </c>
      <c r="M712" t="s">
        <v>787</v>
      </c>
      <c r="N712" s="2">
        <v>19467750</v>
      </c>
      <c r="P712" s="6" t="s">
        <v>36</v>
      </c>
      <c r="R712" t="s">
        <v>48</v>
      </c>
      <c r="S712" s="9">
        <v>5050</v>
      </c>
      <c r="T712" s="9">
        <v>3855</v>
      </c>
      <c r="U712" s="9">
        <v>19467750</v>
      </c>
      <c r="V712" s="6" t="s">
        <v>39</v>
      </c>
      <c r="W712" t="s">
        <v>40</v>
      </c>
      <c r="AA712" s="6">
        <v>2025</v>
      </c>
      <c r="AB712" s="1">
        <v>45747</v>
      </c>
    </row>
    <row r="713" spans="1:28" x14ac:dyDescent="0.3">
      <c r="A713" t="s">
        <v>2790</v>
      </c>
      <c r="B713" s="6" t="s">
        <v>1263</v>
      </c>
      <c r="C713" s="6" t="s">
        <v>1225</v>
      </c>
      <c r="D713">
        <v>2309053058</v>
      </c>
      <c r="E713">
        <v>231001001</v>
      </c>
      <c r="F713" t="s">
        <v>94</v>
      </c>
      <c r="G713" t="s">
        <v>2791</v>
      </c>
      <c r="H713" s="1">
        <v>45649</v>
      </c>
      <c r="I713" t="s">
        <v>2803</v>
      </c>
      <c r="J713" s="8">
        <v>45652</v>
      </c>
      <c r="K713" s="1" t="s">
        <v>1479</v>
      </c>
      <c r="L713" t="s">
        <v>2804</v>
      </c>
      <c r="M713" t="s">
        <v>1496</v>
      </c>
      <c r="N713" s="2">
        <v>9997800</v>
      </c>
      <c r="O713" t="s">
        <v>377</v>
      </c>
      <c r="P713" s="6" t="s">
        <v>891</v>
      </c>
      <c r="Q713" t="s">
        <v>1993</v>
      </c>
      <c r="R713" t="s">
        <v>38</v>
      </c>
      <c r="S713" s="9">
        <f>11400/2</f>
        <v>5700</v>
      </c>
      <c r="T713" s="9">
        <f>877*2</f>
        <v>1754</v>
      </c>
      <c r="U713" s="9">
        <v>9997800</v>
      </c>
      <c r="V713" s="6" t="s">
        <v>1497</v>
      </c>
      <c r="W713" t="s">
        <v>1269</v>
      </c>
      <c r="X713">
        <v>234606565699</v>
      </c>
      <c r="Z713" s="3">
        <v>45673.384722222225</v>
      </c>
      <c r="AA713" s="6">
        <v>2024</v>
      </c>
      <c r="AB713" s="1">
        <v>45654</v>
      </c>
    </row>
    <row r="714" spans="1:28" x14ac:dyDescent="0.3">
      <c r="A714" t="s">
        <v>2805</v>
      </c>
      <c r="B714" s="6" t="s">
        <v>672</v>
      </c>
      <c r="C714" s="6" t="s">
        <v>673</v>
      </c>
      <c r="D714">
        <v>6455046666</v>
      </c>
      <c r="E714">
        <v>645501001</v>
      </c>
      <c r="F714" t="s">
        <v>94</v>
      </c>
      <c r="G714" t="s">
        <v>2806</v>
      </c>
      <c r="H714" s="1">
        <v>45649</v>
      </c>
      <c r="J714" s="8">
        <v>45652</v>
      </c>
      <c r="K714" s="1" t="s">
        <v>1479</v>
      </c>
      <c r="L714" t="s">
        <v>2806</v>
      </c>
      <c r="M714" t="s">
        <v>676</v>
      </c>
      <c r="N714" s="2">
        <v>6640200</v>
      </c>
      <c r="O714" t="s">
        <v>273</v>
      </c>
      <c r="P714" s="6" t="s">
        <v>36</v>
      </c>
      <c r="R714" t="s">
        <v>240</v>
      </c>
      <c r="S714" s="9">
        <v>5100</v>
      </c>
      <c r="T714" s="9">
        <v>1302</v>
      </c>
      <c r="U714" s="9">
        <v>6640200</v>
      </c>
      <c r="V714" s="6" t="s">
        <v>2807</v>
      </c>
      <c r="W714" t="s">
        <v>59</v>
      </c>
      <c r="X714">
        <v>6454027519</v>
      </c>
      <c r="Y714">
        <v>645301001</v>
      </c>
      <c r="Z714" s="3">
        <v>45666.410416666666</v>
      </c>
      <c r="AA714" s="6">
        <v>2024</v>
      </c>
      <c r="AB714" s="1">
        <v>45654</v>
      </c>
    </row>
    <row r="715" spans="1:28" x14ac:dyDescent="0.3">
      <c r="A715" t="s">
        <v>2808</v>
      </c>
      <c r="B715" s="6" t="s">
        <v>672</v>
      </c>
      <c r="C715" s="6" t="s">
        <v>673</v>
      </c>
      <c r="D715">
        <v>6455046666</v>
      </c>
      <c r="E715">
        <v>645501001</v>
      </c>
      <c r="F715" t="s">
        <v>94</v>
      </c>
      <c r="G715" t="s">
        <v>2809</v>
      </c>
      <c r="H715" s="1">
        <v>45649</v>
      </c>
      <c r="J715" s="8">
        <v>45652</v>
      </c>
      <c r="K715" s="1" t="s">
        <v>1479</v>
      </c>
      <c r="L715" t="s">
        <v>2809</v>
      </c>
      <c r="M715" t="s">
        <v>676</v>
      </c>
      <c r="N715" s="2">
        <v>6645300</v>
      </c>
      <c r="O715" t="s">
        <v>273</v>
      </c>
      <c r="P715" s="6" t="s">
        <v>36</v>
      </c>
      <c r="R715" t="s">
        <v>240</v>
      </c>
      <c r="S715" s="9">
        <v>5100</v>
      </c>
      <c r="T715" s="9">
        <v>1303</v>
      </c>
      <c r="U715" s="9">
        <v>6645300</v>
      </c>
      <c r="V715" s="6" t="s">
        <v>2807</v>
      </c>
      <c r="W715" t="s">
        <v>59</v>
      </c>
      <c r="X715">
        <v>6454027519</v>
      </c>
      <c r="Y715">
        <v>645301001</v>
      </c>
      <c r="Z715" s="3">
        <v>45666.411111111112</v>
      </c>
      <c r="AA715" s="6">
        <v>2024</v>
      </c>
      <c r="AB715" s="1">
        <v>45654</v>
      </c>
    </row>
    <row r="716" spans="1:28" x14ac:dyDescent="0.3">
      <c r="A716" t="s">
        <v>2810</v>
      </c>
      <c r="B716" s="6" t="s">
        <v>672</v>
      </c>
      <c r="C716" s="6" t="s">
        <v>673</v>
      </c>
      <c r="D716">
        <v>6455046666</v>
      </c>
      <c r="E716">
        <v>645501001</v>
      </c>
      <c r="F716" t="s">
        <v>94</v>
      </c>
      <c r="G716" t="s">
        <v>2811</v>
      </c>
      <c r="H716" s="1">
        <v>45649</v>
      </c>
      <c r="J716" s="8">
        <v>45652</v>
      </c>
      <c r="K716" s="1" t="s">
        <v>1479</v>
      </c>
      <c r="L716" t="s">
        <v>2811</v>
      </c>
      <c r="M716" t="s">
        <v>676</v>
      </c>
      <c r="N716" s="2">
        <v>6369900</v>
      </c>
      <c r="O716" t="s">
        <v>273</v>
      </c>
      <c r="P716" s="6" t="s">
        <v>36</v>
      </c>
      <c r="R716" t="s">
        <v>240</v>
      </c>
      <c r="S716" s="9">
        <v>5100</v>
      </c>
      <c r="T716" s="9">
        <v>1249</v>
      </c>
      <c r="U716" s="9">
        <v>6369900</v>
      </c>
      <c r="V716" s="6" t="s">
        <v>2807</v>
      </c>
      <c r="W716" t="s">
        <v>59</v>
      </c>
      <c r="X716">
        <v>6454027519</v>
      </c>
      <c r="Y716">
        <v>645301001</v>
      </c>
      <c r="Z716" s="3">
        <v>45666.409722222219</v>
      </c>
      <c r="AA716" s="6">
        <v>2024</v>
      </c>
      <c r="AB716" s="1">
        <v>45654</v>
      </c>
    </row>
    <row r="717" spans="1:28" x14ac:dyDescent="0.3">
      <c r="A717" t="s">
        <v>2790</v>
      </c>
      <c r="B717" s="6" t="s">
        <v>1263</v>
      </c>
      <c r="C717" s="6" t="s">
        <v>1225</v>
      </c>
      <c r="D717">
        <v>2309053058</v>
      </c>
      <c r="E717">
        <v>231001001</v>
      </c>
      <c r="F717" t="s">
        <v>94</v>
      </c>
      <c r="G717" t="s">
        <v>2791</v>
      </c>
      <c r="H717" s="1">
        <v>45649</v>
      </c>
      <c r="I717" t="s">
        <v>2812</v>
      </c>
      <c r="J717" s="8">
        <v>45652</v>
      </c>
      <c r="K717" s="1" t="s">
        <v>1479</v>
      </c>
      <c r="L717" t="s">
        <v>2813</v>
      </c>
      <c r="M717" t="s">
        <v>1496</v>
      </c>
      <c r="N717" s="2">
        <v>9997800</v>
      </c>
      <c r="O717" t="s">
        <v>377</v>
      </c>
      <c r="P717" s="6" t="s">
        <v>891</v>
      </c>
      <c r="Q717" t="s">
        <v>1993</v>
      </c>
      <c r="R717" t="s">
        <v>38</v>
      </c>
      <c r="S717" s="9">
        <f>11400/2</f>
        <v>5700</v>
      </c>
      <c r="T717" s="9">
        <f>877*2</f>
        <v>1754</v>
      </c>
      <c r="U717" s="9">
        <v>9997800</v>
      </c>
      <c r="V717" s="6" t="s">
        <v>1497</v>
      </c>
      <c r="W717" t="s">
        <v>1269</v>
      </c>
      <c r="X717">
        <v>234606565699</v>
      </c>
      <c r="Z717" s="3">
        <v>45673.378472222219</v>
      </c>
      <c r="AA717" s="6">
        <v>2024</v>
      </c>
      <c r="AB717" s="1">
        <v>45654</v>
      </c>
    </row>
    <row r="718" spans="1:28" x14ac:dyDescent="0.3">
      <c r="A718" t="s">
        <v>2790</v>
      </c>
      <c r="B718" s="6" t="s">
        <v>1263</v>
      </c>
      <c r="C718" s="6" t="s">
        <v>1225</v>
      </c>
      <c r="D718">
        <v>2309053058</v>
      </c>
      <c r="E718">
        <v>231001001</v>
      </c>
      <c r="F718" t="s">
        <v>94</v>
      </c>
      <c r="G718" t="s">
        <v>2791</v>
      </c>
      <c r="H718" s="1">
        <v>45649</v>
      </c>
      <c r="I718" t="s">
        <v>2814</v>
      </c>
      <c r="J718" s="8">
        <v>45652</v>
      </c>
      <c r="K718" s="1" t="s">
        <v>1479</v>
      </c>
      <c r="L718" t="s">
        <v>2815</v>
      </c>
      <c r="M718" t="s">
        <v>1496</v>
      </c>
      <c r="N718" s="2">
        <v>9997800</v>
      </c>
      <c r="O718" t="s">
        <v>377</v>
      </c>
      <c r="P718" s="6" t="s">
        <v>891</v>
      </c>
      <c r="Q718" t="s">
        <v>1993</v>
      </c>
      <c r="R718" t="s">
        <v>38</v>
      </c>
      <c r="S718" s="9">
        <f>11400/2</f>
        <v>5700</v>
      </c>
      <c r="T718" s="9">
        <f>877*2</f>
        <v>1754</v>
      </c>
      <c r="U718" s="9">
        <v>9997800</v>
      </c>
      <c r="V718" s="6" t="s">
        <v>1497</v>
      </c>
      <c r="W718" t="s">
        <v>1269</v>
      </c>
      <c r="X718">
        <v>234606565699</v>
      </c>
      <c r="Z718" s="3">
        <v>45673.377083333333</v>
      </c>
      <c r="AA718" s="6">
        <v>2024</v>
      </c>
      <c r="AB718" s="1">
        <v>45654</v>
      </c>
    </row>
    <row r="719" spans="1:28" x14ac:dyDescent="0.3">
      <c r="A719" t="s">
        <v>2790</v>
      </c>
      <c r="B719" s="6" t="s">
        <v>1263</v>
      </c>
      <c r="C719" s="6" t="s">
        <v>1225</v>
      </c>
      <c r="D719">
        <v>2309053058</v>
      </c>
      <c r="E719">
        <v>231001001</v>
      </c>
      <c r="F719" t="s">
        <v>94</v>
      </c>
      <c r="G719" t="s">
        <v>2791</v>
      </c>
      <c r="H719" s="1">
        <v>45649</v>
      </c>
      <c r="I719" t="s">
        <v>2816</v>
      </c>
      <c r="J719" s="8">
        <v>45652</v>
      </c>
      <c r="K719" s="1" t="s">
        <v>1479</v>
      </c>
      <c r="L719" t="s">
        <v>2817</v>
      </c>
      <c r="M719" t="s">
        <v>1496</v>
      </c>
      <c r="N719" s="2">
        <v>9997800</v>
      </c>
      <c r="O719" t="s">
        <v>377</v>
      </c>
      <c r="P719" s="6" t="s">
        <v>891</v>
      </c>
      <c r="Q719" t="s">
        <v>1993</v>
      </c>
      <c r="R719" t="s">
        <v>38</v>
      </c>
      <c r="S719" s="9">
        <f>11400/2</f>
        <v>5700</v>
      </c>
      <c r="T719" s="9">
        <f>877*2</f>
        <v>1754</v>
      </c>
      <c r="U719" s="9">
        <v>9997800</v>
      </c>
      <c r="V719" s="6" t="s">
        <v>1497</v>
      </c>
      <c r="W719" t="s">
        <v>1269</v>
      </c>
      <c r="X719">
        <v>234606565699</v>
      </c>
      <c r="Z719" s="3">
        <v>45673.382638888892</v>
      </c>
      <c r="AA719" s="6">
        <v>2024</v>
      </c>
      <c r="AB719" s="1">
        <v>45654</v>
      </c>
    </row>
    <row r="720" spans="1:28" x14ac:dyDescent="0.3">
      <c r="A720" t="s">
        <v>2790</v>
      </c>
      <c r="B720" s="6" t="s">
        <v>1263</v>
      </c>
      <c r="C720" s="6" t="s">
        <v>1225</v>
      </c>
      <c r="D720">
        <v>2309053058</v>
      </c>
      <c r="E720">
        <v>231001001</v>
      </c>
      <c r="F720" t="s">
        <v>94</v>
      </c>
      <c r="G720" t="s">
        <v>2791</v>
      </c>
      <c r="H720" s="1">
        <v>45649</v>
      </c>
      <c r="I720" t="s">
        <v>2818</v>
      </c>
      <c r="J720" s="8">
        <v>45652</v>
      </c>
      <c r="K720" s="1" t="s">
        <v>1479</v>
      </c>
      <c r="L720" t="s">
        <v>2819</v>
      </c>
      <c r="M720" t="s">
        <v>1496</v>
      </c>
      <c r="N720" s="2">
        <v>9997800</v>
      </c>
      <c r="O720" t="s">
        <v>377</v>
      </c>
      <c r="P720" s="6" t="s">
        <v>891</v>
      </c>
      <c r="Q720" t="s">
        <v>1993</v>
      </c>
      <c r="R720" t="s">
        <v>38</v>
      </c>
      <c r="S720" s="9">
        <f>11400/2</f>
        <v>5700</v>
      </c>
      <c r="T720" s="9">
        <f>877*2</f>
        <v>1754</v>
      </c>
      <c r="U720" s="9">
        <v>9997800</v>
      </c>
      <c r="V720" s="6" t="s">
        <v>1497</v>
      </c>
      <c r="W720" t="s">
        <v>1269</v>
      </c>
      <c r="X720">
        <v>234606565699</v>
      </c>
      <c r="Z720" s="3">
        <v>45673.384027777778</v>
      </c>
      <c r="AA720" s="6">
        <v>2024</v>
      </c>
      <c r="AB720" s="1">
        <v>45654</v>
      </c>
    </row>
    <row r="721" spans="1:28" x14ac:dyDescent="0.3">
      <c r="A721" t="s">
        <v>2786</v>
      </c>
      <c r="B721" s="6" t="s">
        <v>1263</v>
      </c>
      <c r="C721" s="6" t="s">
        <v>1225</v>
      </c>
      <c r="D721">
        <v>2309053058</v>
      </c>
      <c r="E721">
        <v>231001001</v>
      </c>
      <c r="F721" t="s">
        <v>94</v>
      </c>
      <c r="G721" t="s">
        <v>2787</v>
      </c>
      <c r="H721" s="1">
        <v>45649</v>
      </c>
      <c r="I721" t="s">
        <v>2788</v>
      </c>
      <c r="J721" s="8">
        <v>45652</v>
      </c>
      <c r="K721" s="1" t="s">
        <v>1479</v>
      </c>
      <c r="L721" t="s">
        <v>2789</v>
      </c>
      <c r="M721" t="s">
        <v>1496</v>
      </c>
      <c r="N721" s="2">
        <v>11160600</v>
      </c>
      <c r="O721" t="s">
        <v>377</v>
      </c>
      <c r="P721" s="6" t="s">
        <v>891</v>
      </c>
      <c r="Q721" t="s">
        <v>1993</v>
      </c>
      <c r="R721" t="s">
        <v>38</v>
      </c>
      <c r="S721" s="9">
        <f>11400/2</f>
        <v>5700</v>
      </c>
      <c r="T721" s="9">
        <f>102*2</f>
        <v>204</v>
      </c>
      <c r="U721" s="9">
        <v>1162800</v>
      </c>
      <c r="V721" s="6" t="s">
        <v>1497</v>
      </c>
      <c r="W721" t="s">
        <v>1269</v>
      </c>
      <c r="X721">
        <v>234606565699</v>
      </c>
      <c r="Z721" s="3">
        <v>45673.484722222223</v>
      </c>
      <c r="AA721" s="6">
        <v>2024</v>
      </c>
      <c r="AB721" s="1">
        <v>45654</v>
      </c>
    </row>
    <row r="722" spans="1:28" x14ac:dyDescent="0.3">
      <c r="A722" t="s">
        <v>2820</v>
      </c>
      <c r="B722" s="6" t="s">
        <v>177</v>
      </c>
      <c r="C722" s="6" t="s">
        <v>62</v>
      </c>
      <c r="D722">
        <v>4027122645</v>
      </c>
      <c r="E722">
        <v>402701001</v>
      </c>
      <c r="F722" t="s">
        <v>44</v>
      </c>
      <c r="G722">
        <v>0</v>
      </c>
      <c r="J722" s="8">
        <v>45653</v>
      </c>
      <c r="K722" s="1" t="s">
        <v>1479</v>
      </c>
      <c r="L722" t="s">
        <v>2821</v>
      </c>
      <c r="M722" t="s">
        <v>179</v>
      </c>
      <c r="N722" s="2">
        <v>16415017.74</v>
      </c>
      <c r="O722" t="s">
        <v>2822</v>
      </c>
      <c r="P722" s="6" t="s">
        <v>36</v>
      </c>
      <c r="R722" t="s">
        <v>48</v>
      </c>
      <c r="S722" s="9">
        <v>4751.79</v>
      </c>
      <c r="T722" s="9">
        <v>1303</v>
      </c>
      <c r="U722" s="9">
        <v>6191582.3700000001</v>
      </c>
      <c r="V722" s="6" t="s">
        <v>61</v>
      </c>
      <c r="W722" t="s">
        <v>59</v>
      </c>
      <c r="X722">
        <v>4027022305</v>
      </c>
      <c r="Y722">
        <v>402701001</v>
      </c>
      <c r="Z722" s="3">
        <v>45654.534722222219</v>
      </c>
      <c r="AA722" s="6">
        <v>2024</v>
      </c>
      <c r="AB722" s="1">
        <v>46022</v>
      </c>
    </row>
    <row r="723" spans="1:28" x14ac:dyDescent="0.3">
      <c r="A723" t="s">
        <v>2820</v>
      </c>
      <c r="B723" s="6" t="s">
        <v>177</v>
      </c>
      <c r="C723" s="6" t="s">
        <v>62</v>
      </c>
      <c r="D723">
        <v>4027122645</v>
      </c>
      <c r="E723">
        <v>402701001</v>
      </c>
      <c r="F723" t="s">
        <v>44</v>
      </c>
      <c r="G723">
        <v>0</v>
      </c>
      <c r="J723" s="8">
        <v>45653</v>
      </c>
      <c r="K723" s="1" t="s">
        <v>1479</v>
      </c>
      <c r="L723" t="s">
        <v>2821</v>
      </c>
      <c r="M723" t="s">
        <v>179</v>
      </c>
      <c r="N723" s="2">
        <v>16415017.74</v>
      </c>
      <c r="O723" t="s">
        <v>2822</v>
      </c>
      <c r="P723" s="6" t="s">
        <v>36</v>
      </c>
      <c r="R723" t="s">
        <v>48</v>
      </c>
      <c r="S723" s="9">
        <v>5880</v>
      </c>
      <c r="T723" s="9">
        <v>120</v>
      </c>
      <c r="U723" s="9">
        <v>705600</v>
      </c>
      <c r="V723" s="6" t="s">
        <v>61</v>
      </c>
      <c r="W723" t="s">
        <v>59</v>
      </c>
      <c r="X723">
        <v>4027022305</v>
      </c>
      <c r="Y723">
        <v>402701001</v>
      </c>
      <c r="Z723" s="3">
        <v>45654.534722222219</v>
      </c>
      <c r="AA723" s="6">
        <v>2024</v>
      </c>
      <c r="AB723" s="1">
        <v>46022</v>
      </c>
    </row>
    <row r="724" spans="1:28" x14ac:dyDescent="0.3">
      <c r="A724" t="s">
        <v>2820</v>
      </c>
      <c r="B724" s="6" t="s">
        <v>177</v>
      </c>
      <c r="C724" s="6" t="s">
        <v>62</v>
      </c>
      <c r="D724">
        <v>4027122645</v>
      </c>
      <c r="E724">
        <v>402701001</v>
      </c>
      <c r="F724" t="s">
        <v>44</v>
      </c>
      <c r="G724">
        <v>0</v>
      </c>
      <c r="J724" s="8">
        <v>45653</v>
      </c>
      <c r="K724" s="1" t="s">
        <v>1479</v>
      </c>
      <c r="L724" t="s">
        <v>2821</v>
      </c>
      <c r="M724" t="s">
        <v>179</v>
      </c>
      <c r="N724" s="2">
        <v>16415017.74</v>
      </c>
      <c r="O724" t="s">
        <v>2823</v>
      </c>
      <c r="P724" s="6" t="s">
        <v>2277</v>
      </c>
      <c r="R724" t="s">
        <v>48</v>
      </c>
      <c r="S724" s="9">
        <v>4751.79</v>
      </c>
      <c r="T724" s="9">
        <v>1484</v>
      </c>
      <c r="U724" s="9">
        <v>7051656.3600000003</v>
      </c>
      <c r="V724" s="6" t="s">
        <v>61</v>
      </c>
      <c r="W724" t="s">
        <v>59</v>
      </c>
      <c r="X724">
        <v>4027022305</v>
      </c>
      <c r="Y724">
        <v>402701001</v>
      </c>
      <c r="Z724" s="3">
        <v>45654.534722222219</v>
      </c>
      <c r="AA724" s="6">
        <v>2024</v>
      </c>
      <c r="AB724" s="1">
        <v>46022</v>
      </c>
    </row>
    <row r="725" spans="1:28" x14ac:dyDescent="0.3">
      <c r="A725" t="s">
        <v>2824</v>
      </c>
      <c r="B725" s="6" t="s">
        <v>177</v>
      </c>
      <c r="C725" s="6" t="s">
        <v>62</v>
      </c>
      <c r="D725">
        <v>4027122645</v>
      </c>
      <c r="E725">
        <v>402701001</v>
      </c>
      <c r="F725" t="s">
        <v>44</v>
      </c>
      <c r="G725">
        <v>0</v>
      </c>
      <c r="J725" s="8">
        <v>45653</v>
      </c>
      <c r="K725" s="1" t="s">
        <v>1479</v>
      </c>
      <c r="L725" t="s">
        <v>2825</v>
      </c>
      <c r="M725" t="s">
        <v>179</v>
      </c>
      <c r="N725" s="2">
        <v>16460200.560000001</v>
      </c>
      <c r="O725" t="s">
        <v>2822</v>
      </c>
      <c r="P725" s="6" t="s">
        <v>36</v>
      </c>
      <c r="R725" t="s">
        <v>48</v>
      </c>
      <c r="S725" s="9">
        <v>4751.79</v>
      </c>
      <c r="T725" s="9">
        <v>1732</v>
      </c>
      <c r="U725" s="9">
        <v>8230100.2800000003</v>
      </c>
      <c r="V725" s="6" t="s">
        <v>61</v>
      </c>
      <c r="W725" t="s">
        <v>59</v>
      </c>
      <c r="X725">
        <v>4027022305</v>
      </c>
      <c r="Y725">
        <v>402701001</v>
      </c>
      <c r="Z725" s="3">
        <v>45654.536111111112</v>
      </c>
      <c r="AA725" s="6">
        <v>2024</v>
      </c>
      <c r="AB725" s="1">
        <v>46022</v>
      </c>
    </row>
    <row r="726" spans="1:28" x14ac:dyDescent="0.3">
      <c r="A726" t="s">
        <v>2826</v>
      </c>
      <c r="B726" s="6" t="s">
        <v>1368</v>
      </c>
      <c r="C726" s="6" t="s">
        <v>1048</v>
      </c>
      <c r="D726">
        <v>2901070303</v>
      </c>
      <c r="E726">
        <v>290101001</v>
      </c>
      <c r="F726" t="s">
        <v>52</v>
      </c>
      <c r="G726" t="s">
        <v>2827</v>
      </c>
      <c r="H726" s="1">
        <v>45642</v>
      </c>
      <c r="I726" t="s">
        <v>2828</v>
      </c>
      <c r="J726" s="8">
        <v>45653</v>
      </c>
      <c r="K726" s="1" t="s">
        <v>1479</v>
      </c>
      <c r="L726" t="s">
        <v>2829</v>
      </c>
      <c r="M726" t="s">
        <v>2588</v>
      </c>
      <c r="N726" s="2">
        <v>17503200</v>
      </c>
      <c r="O726" t="s">
        <v>440</v>
      </c>
      <c r="P726" s="6" t="s">
        <v>36</v>
      </c>
      <c r="Q726" t="s">
        <v>1993</v>
      </c>
      <c r="R726" t="s">
        <v>240</v>
      </c>
      <c r="S726" s="9">
        <v>5100</v>
      </c>
      <c r="T726" s="9">
        <v>3432</v>
      </c>
      <c r="U726" s="9">
        <v>17503200</v>
      </c>
      <c r="V726" s="6" t="s">
        <v>58</v>
      </c>
      <c r="W726" t="s">
        <v>59</v>
      </c>
      <c r="X726">
        <v>5262222144</v>
      </c>
      <c r="Y726">
        <v>526201001</v>
      </c>
      <c r="Z726" s="3">
        <v>45666.541666666664</v>
      </c>
      <c r="AA726" s="6">
        <v>2024</v>
      </c>
      <c r="AB726" s="1">
        <v>45716</v>
      </c>
    </row>
    <row r="727" spans="1:28" x14ac:dyDescent="0.3">
      <c r="A727" t="s">
        <v>2830</v>
      </c>
      <c r="B727" s="6" t="s">
        <v>730</v>
      </c>
      <c r="C727" s="6" t="s">
        <v>731</v>
      </c>
      <c r="D727">
        <v>5837008741</v>
      </c>
      <c r="E727">
        <v>583701001</v>
      </c>
      <c r="F727" t="s">
        <v>52</v>
      </c>
      <c r="G727" t="s">
        <v>2831</v>
      </c>
      <c r="H727" s="1">
        <v>45642</v>
      </c>
      <c r="I727" t="s">
        <v>2828</v>
      </c>
      <c r="J727" s="8">
        <v>45653</v>
      </c>
      <c r="K727" s="1" t="s">
        <v>1479</v>
      </c>
      <c r="L727" t="s">
        <v>2832</v>
      </c>
      <c r="M727" t="s">
        <v>734</v>
      </c>
      <c r="N727" s="2">
        <v>96900</v>
      </c>
      <c r="O727" t="s">
        <v>440</v>
      </c>
      <c r="P727" s="6" t="s">
        <v>36</v>
      </c>
      <c r="R727" t="s">
        <v>240</v>
      </c>
      <c r="S727" s="9">
        <v>5100</v>
      </c>
      <c r="T727" s="9">
        <v>19</v>
      </c>
      <c r="U727" s="9">
        <v>96900</v>
      </c>
      <c r="V727" s="6" t="s">
        <v>58</v>
      </c>
      <c r="W727" t="s">
        <v>59</v>
      </c>
      <c r="X727">
        <v>5262222144</v>
      </c>
      <c r="Y727">
        <v>526201001</v>
      </c>
      <c r="Z727" s="3">
        <v>45666.386111111111</v>
      </c>
      <c r="AA727" s="6">
        <v>2024</v>
      </c>
      <c r="AB727" s="1">
        <v>46047</v>
      </c>
    </row>
    <row r="728" spans="1:28" x14ac:dyDescent="0.3">
      <c r="A728" t="s">
        <v>2833</v>
      </c>
      <c r="B728" s="6" t="s">
        <v>1424</v>
      </c>
      <c r="C728" s="6" t="s">
        <v>132</v>
      </c>
      <c r="D728">
        <v>6027024000</v>
      </c>
      <c r="E728">
        <v>602701001</v>
      </c>
      <c r="F728" t="s">
        <v>149</v>
      </c>
      <c r="G728" t="s">
        <v>2834</v>
      </c>
      <c r="H728" s="1">
        <v>45650</v>
      </c>
      <c r="I728" t="s">
        <v>2835</v>
      </c>
      <c r="J728" s="8">
        <v>45653</v>
      </c>
      <c r="K728" s="1" t="s">
        <v>1479</v>
      </c>
      <c r="L728" t="s">
        <v>2836</v>
      </c>
      <c r="M728" t="s">
        <v>273</v>
      </c>
      <c r="N728" s="2">
        <v>1544103</v>
      </c>
      <c r="O728" t="s">
        <v>440</v>
      </c>
      <c r="P728" s="6" t="s">
        <v>36</v>
      </c>
      <c r="R728" t="s">
        <v>240</v>
      </c>
      <c r="S728" s="9">
        <v>5199</v>
      </c>
      <c r="T728" s="9">
        <v>297</v>
      </c>
      <c r="U728" s="9">
        <v>1544103</v>
      </c>
      <c r="V728" s="6" t="s">
        <v>39</v>
      </c>
      <c r="W728" t="s">
        <v>40</v>
      </c>
      <c r="X728">
        <v>7810687137</v>
      </c>
      <c r="Y728">
        <v>781401001</v>
      </c>
      <c r="Z728" s="3">
        <v>45677.459722222222</v>
      </c>
      <c r="AA728" s="6">
        <v>2024</v>
      </c>
      <c r="AB728" s="1">
        <v>45658</v>
      </c>
    </row>
    <row r="729" spans="1:28" x14ac:dyDescent="0.3">
      <c r="A729" t="s">
        <v>2837</v>
      </c>
      <c r="B729" s="6" t="s">
        <v>61</v>
      </c>
      <c r="C729" s="6" t="s">
        <v>62</v>
      </c>
      <c r="D729">
        <v>4027022305</v>
      </c>
      <c r="E729">
        <v>402701001</v>
      </c>
      <c r="F729" t="s">
        <v>52</v>
      </c>
      <c r="G729" t="s">
        <v>2838</v>
      </c>
      <c r="H729" s="1">
        <v>45642</v>
      </c>
      <c r="I729" t="s">
        <v>2828</v>
      </c>
      <c r="J729" s="8">
        <v>45653</v>
      </c>
      <c r="K729" s="1" t="s">
        <v>1479</v>
      </c>
      <c r="L729" t="s">
        <v>2838</v>
      </c>
      <c r="M729" t="s">
        <v>1553</v>
      </c>
      <c r="N729" s="2">
        <v>17827154.66</v>
      </c>
      <c r="O729" t="s">
        <v>494</v>
      </c>
      <c r="P729" s="6" t="s">
        <v>36</v>
      </c>
      <c r="R729" t="s">
        <v>38</v>
      </c>
      <c r="S729" s="9">
        <v>3959.83</v>
      </c>
      <c r="T729" s="9">
        <v>2251</v>
      </c>
      <c r="U729" s="9">
        <v>8913577.3300000001</v>
      </c>
      <c r="V729" s="6" t="s">
        <v>111</v>
      </c>
      <c r="W729" t="s">
        <v>59</v>
      </c>
      <c r="X729">
        <v>5262258091</v>
      </c>
      <c r="Y729">
        <v>526201001</v>
      </c>
      <c r="Z729" s="3">
        <v>45654.444444444445</v>
      </c>
      <c r="AA729" s="6">
        <v>2024</v>
      </c>
      <c r="AB729" s="1">
        <v>46022</v>
      </c>
    </row>
    <row r="730" spans="1:28" x14ac:dyDescent="0.3">
      <c r="A730" t="s">
        <v>2839</v>
      </c>
      <c r="B730" s="6" t="s">
        <v>61</v>
      </c>
      <c r="C730" s="6" t="s">
        <v>62</v>
      </c>
      <c r="D730">
        <v>4027022305</v>
      </c>
      <c r="E730">
        <v>402701001</v>
      </c>
      <c r="F730" t="s">
        <v>52</v>
      </c>
      <c r="G730" t="s">
        <v>2840</v>
      </c>
      <c r="H730" s="1">
        <v>45642</v>
      </c>
      <c r="I730" t="s">
        <v>2828</v>
      </c>
      <c r="J730" s="8">
        <v>45653</v>
      </c>
      <c r="K730" s="1" t="s">
        <v>1479</v>
      </c>
      <c r="L730" t="s">
        <v>2840</v>
      </c>
      <c r="M730" t="s">
        <v>1553</v>
      </c>
      <c r="N730" s="2">
        <v>16274901.300000001</v>
      </c>
      <c r="O730" t="s">
        <v>377</v>
      </c>
      <c r="P730" s="6" t="s">
        <v>36</v>
      </c>
      <c r="R730" t="s">
        <v>38</v>
      </c>
      <c r="S730" s="9">
        <v>3959.83</v>
      </c>
      <c r="T730" s="9">
        <v>1484</v>
      </c>
      <c r="U730" s="9">
        <v>5876387.7199999997</v>
      </c>
      <c r="V730" s="6" t="s">
        <v>111</v>
      </c>
      <c r="W730" t="s">
        <v>59</v>
      </c>
      <c r="X730">
        <v>5262258091</v>
      </c>
      <c r="Y730">
        <v>526201001</v>
      </c>
      <c r="Z730" s="3">
        <v>45654.418055555558</v>
      </c>
      <c r="AA730" s="6">
        <v>2024</v>
      </c>
      <c r="AB730" s="1">
        <v>46022</v>
      </c>
    </row>
    <row r="731" spans="1:28" x14ac:dyDescent="0.3">
      <c r="A731" t="s">
        <v>2839</v>
      </c>
      <c r="B731" s="6" t="s">
        <v>61</v>
      </c>
      <c r="C731" s="6" t="s">
        <v>62</v>
      </c>
      <c r="D731">
        <v>4027022305</v>
      </c>
      <c r="E731">
        <v>402701001</v>
      </c>
      <c r="F731" t="s">
        <v>52</v>
      </c>
      <c r="G731" t="s">
        <v>2840</v>
      </c>
      <c r="H731" s="1">
        <v>45642</v>
      </c>
      <c r="I731" t="s">
        <v>2828</v>
      </c>
      <c r="J731" s="8">
        <v>45653</v>
      </c>
      <c r="K731" s="1" t="s">
        <v>1479</v>
      </c>
      <c r="L731" t="s">
        <v>2840</v>
      </c>
      <c r="M731" t="s">
        <v>1553</v>
      </c>
      <c r="N731" s="2">
        <v>16274901.300000001</v>
      </c>
      <c r="O731" t="s">
        <v>494</v>
      </c>
      <c r="P731" s="6" t="s">
        <v>36</v>
      </c>
      <c r="R731" t="s">
        <v>38</v>
      </c>
      <c r="S731" s="9">
        <v>3959.83</v>
      </c>
      <c r="T731" s="9">
        <v>1484</v>
      </c>
      <c r="U731" s="9">
        <v>5876387.7199999997</v>
      </c>
      <c r="V731" s="6" t="s">
        <v>111</v>
      </c>
      <c r="W731" t="s">
        <v>59</v>
      </c>
      <c r="X731">
        <v>5262258091</v>
      </c>
      <c r="Y731">
        <v>526201001</v>
      </c>
      <c r="Z731" s="3">
        <v>45654.418055555558</v>
      </c>
      <c r="AA731" s="6">
        <v>2024</v>
      </c>
      <c r="AB731" s="1">
        <v>46022</v>
      </c>
    </row>
    <row r="732" spans="1:28" x14ac:dyDescent="0.3">
      <c r="A732" t="s">
        <v>2839</v>
      </c>
      <c r="B732" s="6" t="s">
        <v>61</v>
      </c>
      <c r="C732" s="6" t="s">
        <v>62</v>
      </c>
      <c r="D732">
        <v>4027022305</v>
      </c>
      <c r="E732">
        <v>402701001</v>
      </c>
      <c r="F732" t="s">
        <v>52</v>
      </c>
      <c r="G732" t="s">
        <v>2840</v>
      </c>
      <c r="H732" s="1">
        <v>45642</v>
      </c>
      <c r="I732" t="s">
        <v>2828</v>
      </c>
      <c r="J732" s="8">
        <v>45653</v>
      </c>
      <c r="K732" s="1" t="s">
        <v>1479</v>
      </c>
      <c r="L732" t="s">
        <v>2840</v>
      </c>
      <c r="M732" t="s">
        <v>1553</v>
      </c>
      <c r="N732" s="2">
        <v>16274901.300000001</v>
      </c>
      <c r="O732" t="s">
        <v>377</v>
      </c>
      <c r="P732" s="6" t="s">
        <v>36</v>
      </c>
      <c r="R732" t="s">
        <v>38</v>
      </c>
      <c r="S732" s="9">
        <v>3959.83</v>
      </c>
      <c r="T732" s="9">
        <v>1142</v>
      </c>
      <c r="U732" s="9">
        <v>4522125.8600000003</v>
      </c>
      <c r="V732" s="6" t="s">
        <v>111</v>
      </c>
      <c r="W732" t="s">
        <v>59</v>
      </c>
      <c r="X732">
        <v>5262258091</v>
      </c>
      <c r="Y732">
        <v>526201001</v>
      </c>
      <c r="Z732" s="3">
        <v>45654.418055555558</v>
      </c>
      <c r="AA732" s="6">
        <v>2024</v>
      </c>
      <c r="AB732" s="1">
        <v>46022</v>
      </c>
    </row>
    <row r="733" spans="1:28" x14ac:dyDescent="0.3">
      <c r="A733" t="s">
        <v>2837</v>
      </c>
      <c r="B733" s="6" t="s">
        <v>61</v>
      </c>
      <c r="C733" s="6" t="s">
        <v>62</v>
      </c>
      <c r="D733">
        <v>4027022305</v>
      </c>
      <c r="E733">
        <v>402701001</v>
      </c>
      <c r="F733" t="s">
        <v>52</v>
      </c>
      <c r="G733" t="s">
        <v>2838</v>
      </c>
      <c r="H733" s="1">
        <v>45642</v>
      </c>
      <c r="I733" t="s">
        <v>2828</v>
      </c>
      <c r="J733" s="8">
        <v>45653</v>
      </c>
      <c r="K733" s="1" t="s">
        <v>1479</v>
      </c>
      <c r="L733" t="s">
        <v>2841</v>
      </c>
      <c r="M733" t="s">
        <v>1553</v>
      </c>
      <c r="N733" s="2">
        <v>17827154.66</v>
      </c>
      <c r="O733" t="s">
        <v>377</v>
      </c>
      <c r="P733" s="6" t="s">
        <v>891</v>
      </c>
      <c r="Q733" t="s">
        <v>1993</v>
      </c>
      <c r="R733" t="s">
        <v>38</v>
      </c>
      <c r="S733" s="9">
        <v>3959.83</v>
      </c>
      <c r="T733" s="9">
        <v>2251</v>
      </c>
      <c r="U733" s="9">
        <v>8913577.3300000001</v>
      </c>
      <c r="V733" s="6" t="s">
        <v>111</v>
      </c>
      <c r="W733" t="s">
        <v>59</v>
      </c>
      <c r="X733">
        <v>5262258091</v>
      </c>
      <c r="Y733">
        <v>526201001</v>
      </c>
      <c r="Z733" s="3">
        <v>45654.444444444445</v>
      </c>
      <c r="AA733" s="6">
        <v>2024</v>
      </c>
      <c r="AB733" s="1">
        <v>46022</v>
      </c>
    </row>
    <row r="734" spans="1:28" x14ac:dyDescent="0.3">
      <c r="A734" t="s">
        <v>2824</v>
      </c>
      <c r="B734" s="6" t="s">
        <v>177</v>
      </c>
      <c r="C734" s="6" t="s">
        <v>62</v>
      </c>
      <c r="D734">
        <v>4027122645</v>
      </c>
      <c r="E734">
        <v>402701001</v>
      </c>
      <c r="F734" t="s">
        <v>44</v>
      </c>
      <c r="G734">
        <v>0</v>
      </c>
      <c r="J734" s="8">
        <v>45653</v>
      </c>
      <c r="K734" s="1" t="s">
        <v>1479</v>
      </c>
      <c r="L734" t="s">
        <v>2825</v>
      </c>
      <c r="M734" t="s">
        <v>179</v>
      </c>
      <c r="N734" s="2">
        <v>16460200.560000001</v>
      </c>
      <c r="O734" t="s">
        <v>2842</v>
      </c>
      <c r="P734" s="6" t="s">
        <v>891</v>
      </c>
      <c r="Q734" t="s">
        <v>1993</v>
      </c>
      <c r="R734" t="s">
        <v>48</v>
      </c>
      <c r="S734" s="9">
        <v>4751.79</v>
      </c>
      <c r="T734" s="9">
        <v>1732</v>
      </c>
      <c r="U734" s="9">
        <v>8230100.2800000003</v>
      </c>
      <c r="V734" s="6" t="s">
        <v>61</v>
      </c>
      <c r="W734" t="s">
        <v>59</v>
      </c>
      <c r="X734">
        <v>4027022305</v>
      </c>
      <c r="Y734">
        <v>402701001</v>
      </c>
      <c r="Z734" s="3">
        <v>45654.536111111112</v>
      </c>
      <c r="AA734" s="6">
        <v>2025</v>
      </c>
      <c r="AB734" s="1">
        <v>46022</v>
      </c>
    </row>
    <row r="735" spans="1:28" x14ac:dyDescent="0.3">
      <c r="A735" t="s">
        <v>2820</v>
      </c>
      <c r="B735" s="6" t="s">
        <v>177</v>
      </c>
      <c r="C735" s="6" t="s">
        <v>62</v>
      </c>
      <c r="D735">
        <v>4027122645</v>
      </c>
      <c r="E735">
        <v>402701001</v>
      </c>
      <c r="F735" t="s">
        <v>44</v>
      </c>
      <c r="G735">
        <v>0</v>
      </c>
      <c r="J735" s="8">
        <v>45653</v>
      </c>
      <c r="K735" s="1" t="s">
        <v>1479</v>
      </c>
      <c r="L735" t="s">
        <v>2821</v>
      </c>
      <c r="M735" t="s">
        <v>179</v>
      </c>
      <c r="N735" s="2">
        <v>16415017.74</v>
      </c>
      <c r="O735" t="s">
        <v>2842</v>
      </c>
      <c r="P735" s="6" t="s">
        <v>891</v>
      </c>
      <c r="Q735" t="s">
        <v>1993</v>
      </c>
      <c r="R735" t="s">
        <v>48</v>
      </c>
      <c r="S735" s="9">
        <v>4751.79</v>
      </c>
      <c r="T735" s="9">
        <v>519</v>
      </c>
      <c r="U735" s="9">
        <v>2466179.0099999998</v>
      </c>
      <c r="V735" s="6" t="s">
        <v>61</v>
      </c>
      <c r="W735" t="s">
        <v>59</v>
      </c>
      <c r="X735">
        <v>4027022305</v>
      </c>
      <c r="Y735">
        <v>402701001</v>
      </c>
      <c r="Z735" s="3">
        <v>45654.534722222219</v>
      </c>
      <c r="AA735" s="6">
        <v>2025</v>
      </c>
      <c r="AB735" s="1">
        <v>46022</v>
      </c>
    </row>
    <row r="736" spans="1:28" x14ac:dyDescent="0.3">
      <c r="A736" t="s">
        <v>2843</v>
      </c>
      <c r="B736" s="6" t="s">
        <v>394</v>
      </c>
      <c r="C736" s="6" t="s">
        <v>395</v>
      </c>
      <c r="D736">
        <v>7203000249</v>
      </c>
      <c r="E736">
        <v>720301001</v>
      </c>
      <c r="F736" t="s">
        <v>149</v>
      </c>
      <c r="G736" t="s">
        <v>2844</v>
      </c>
      <c r="H736" s="1">
        <v>45651</v>
      </c>
      <c r="J736" s="8">
        <v>45654</v>
      </c>
      <c r="K736" s="1" t="s">
        <v>1479</v>
      </c>
      <c r="L736" t="s">
        <v>2845</v>
      </c>
      <c r="M736" t="s">
        <v>273</v>
      </c>
      <c r="N736" s="2">
        <v>174988.79999999999</v>
      </c>
      <c r="O736" t="s">
        <v>273</v>
      </c>
      <c r="P736" s="6" t="s">
        <v>36</v>
      </c>
      <c r="R736" t="s">
        <v>240</v>
      </c>
      <c r="S736" s="9">
        <v>5644.8</v>
      </c>
      <c r="T736" s="9">
        <v>31</v>
      </c>
      <c r="U736" s="9">
        <v>174988.79999999999</v>
      </c>
      <c r="V736" s="6" t="s">
        <v>401</v>
      </c>
      <c r="W736" t="s">
        <v>402</v>
      </c>
      <c r="X736">
        <v>720208302235</v>
      </c>
      <c r="Z736" s="3">
        <v>45654.36041666667</v>
      </c>
      <c r="AA736" s="6">
        <v>2024</v>
      </c>
      <c r="AB736" s="1">
        <v>45716</v>
      </c>
    </row>
    <row r="737" spans="1:28" x14ac:dyDescent="0.3">
      <c r="A737" t="s">
        <v>2846</v>
      </c>
      <c r="B737" s="6" t="s">
        <v>394</v>
      </c>
      <c r="C737" s="6" t="s">
        <v>395</v>
      </c>
      <c r="D737">
        <v>7203000249</v>
      </c>
      <c r="E737">
        <v>720301001</v>
      </c>
      <c r="F737" t="s">
        <v>149</v>
      </c>
      <c r="G737" t="s">
        <v>2847</v>
      </c>
      <c r="H737" s="1">
        <v>45651</v>
      </c>
      <c r="J737" s="8">
        <v>45654</v>
      </c>
      <c r="K737" s="1" t="s">
        <v>1479</v>
      </c>
      <c r="L737" t="s">
        <v>2848</v>
      </c>
      <c r="M737" t="s">
        <v>273</v>
      </c>
      <c r="N737" s="2">
        <v>1765516.05</v>
      </c>
      <c r="O737" t="s">
        <v>273</v>
      </c>
      <c r="P737" s="6" t="s">
        <v>36</v>
      </c>
      <c r="R737" t="s">
        <v>240</v>
      </c>
      <c r="S737" s="9">
        <v>5500.05</v>
      </c>
      <c r="T737" s="9">
        <v>321</v>
      </c>
      <c r="U737" s="9">
        <v>1765516.05</v>
      </c>
      <c r="V737" s="6" t="s">
        <v>401</v>
      </c>
      <c r="W737" t="s">
        <v>402</v>
      </c>
      <c r="X737">
        <v>720208302235</v>
      </c>
      <c r="Z737" s="3">
        <v>45674.445138888892</v>
      </c>
      <c r="AA737" s="6">
        <v>2024</v>
      </c>
      <c r="AB737" s="1">
        <v>45716</v>
      </c>
    </row>
    <row r="738" spans="1:28" x14ac:dyDescent="0.3">
      <c r="A738" t="s">
        <v>2849</v>
      </c>
      <c r="B738" s="6" t="s">
        <v>857</v>
      </c>
      <c r="C738" s="6" t="s">
        <v>388</v>
      </c>
      <c r="D738">
        <v>3808172327</v>
      </c>
      <c r="E738">
        <v>380801001</v>
      </c>
      <c r="F738" t="s">
        <v>149</v>
      </c>
      <c r="G738" t="s">
        <v>2850</v>
      </c>
      <c r="H738" s="1">
        <v>45651</v>
      </c>
      <c r="I738" t="s">
        <v>2851</v>
      </c>
      <c r="J738" s="8">
        <v>45654</v>
      </c>
      <c r="K738" s="1" t="s">
        <v>1479</v>
      </c>
      <c r="L738" t="s">
        <v>2852</v>
      </c>
      <c r="M738" t="s">
        <v>377</v>
      </c>
      <c r="N738" s="2">
        <v>1644100</v>
      </c>
      <c r="O738" t="s">
        <v>2853</v>
      </c>
      <c r="P738" s="6" t="s">
        <v>2277</v>
      </c>
      <c r="R738" t="s">
        <v>38</v>
      </c>
      <c r="S738" s="9">
        <v>4100</v>
      </c>
      <c r="T738" s="9">
        <v>401</v>
      </c>
      <c r="U738" s="9">
        <v>1644100</v>
      </c>
      <c r="V738" s="6" t="s">
        <v>2502</v>
      </c>
      <c r="W738" t="s">
        <v>2503</v>
      </c>
      <c r="X738">
        <v>381110688655</v>
      </c>
      <c r="Z738" s="3">
        <v>45667.492361111108</v>
      </c>
      <c r="AA738" s="6">
        <v>2024</v>
      </c>
      <c r="AB738" s="1">
        <v>45657</v>
      </c>
    </row>
    <row r="739" spans="1:28" x14ac:dyDescent="0.3">
      <c r="A739" t="s">
        <v>2854</v>
      </c>
      <c r="B739" s="6" t="s">
        <v>857</v>
      </c>
      <c r="C739" s="6" t="s">
        <v>388</v>
      </c>
      <c r="D739">
        <v>3808172327</v>
      </c>
      <c r="E739">
        <v>380801001</v>
      </c>
      <c r="F739" t="s">
        <v>149</v>
      </c>
      <c r="G739" t="s">
        <v>2855</v>
      </c>
      <c r="H739" s="1">
        <v>45651</v>
      </c>
      <c r="I739" t="s">
        <v>2851</v>
      </c>
      <c r="J739" s="8">
        <v>45654</v>
      </c>
      <c r="K739" s="1" t="s">
        <v>1479</v>
      </c>
      <c r="L739" t="s">
        <v>2856</v>
      </c>
      <c r="M739" t="s">
        <v>377</v>
      </c>
      <c r="N739" s="2">
        <v>1713800</v>
      </c>
      <c r="O739" t="s">
        <v>2853</v>
      </c>
      <c r="P739" s="6" t="s">
        <v>2277</v>
      </c>
      <c r="R739" t="s">
        <v>38</v>
      </c>
      <c r="S739" s="9">
        <v>4100</v>
      </c>
      <c r="T739" s="9">
        <v>418</v>
      </c>
      <c r="U739" s="9">
        <v>1713800</v>
      </c>
      <c r="V739" s="6" t="s">
        <v>2502</v>
      </c>
      <c r="W739" t="s">
        <v>2503</v>
      </c>
      <c r="X739">
        <v>381110688655</v>
      </c>
      <c r="Z739" s="3">
        <v>45667.495138888888</v>
      </c>
      <c r="AA739" s="6">
        <v>2024</v>
      </c>
      <c r="AB739" s="1">
        <v>45657</v>
      </c>
    </row>
    <row r="740" spans="1:28" x14ac:dyDescent="0.3">
      <c r="A740" t="s">
        <v>2857</v>
      </c>
      <c r="B740" s="6" t="s">
        <v>2858</v>
      </c>
      <c r="C740" s="6" t="s">
        <v>114</v>
      </c>
      <c r="D740">
        <v>8601004445</v>
      </c>
      <c r="E740">
        <v>860101001</v>
      </c>
      <c r="F740" t="s">
        <v>52</v>
      </c>
      <c r="G740" t="s">
        <v>2859</v>
      </c>
      <c r="H740" s="1">
        <v>45643</v>
      </c>
      <c r="J740" s="8">
        <v>45654</v>
      </c>
      <c r="K740" s="1" t="s">
        <v>1479</v>
      </c>
      <c r="L740" t="s">
        <v>2859</v>
      </c>
      <c r="M740" t="s">
        <v>457</v>
      </c>
      <c r="N740" s="2">
        <v>1014150</v>
      </c>
      <c r="O740" t="s">
        <v>2860</v>
      </c>
      <c r="P740" s="6" t="s">
        <v>36</v>
      </c>
      <c r="R740" t="s">
        <v>240</v>
      </c>
      <c r="S740" s="9">
        <v>6685.5</v>
      </c>
      <c r="T740" s="9">
        <v>60</v>
      </c>
      <c r="U740" s="9">
        <v>401130</v>
      </c>
      <c r="V740" s="6" t="s">
        <v>119</v>
      </c>
      <c r="W740" t="s">
        <v>59</v>
      </c>
      <c r="X740">
        <v>7810776309</v>
      </c>
      <c r="Y740">
        <v>780601001</v>
      </c>
      <c r="Z740" s="3">
        <v>45666.284722222219</v>
      </c>
      <c r="AA740" s="6">
        <v>2024</v>
      </c>
      <c r="AB740" s="1">
        <v>46022</v>
      </c>
    </row>
    <row r="741" spans="1:28" x14ac:dyDescent="0.3">
      <c r="A741" t="s">
        <v>2861</v>
      </c>
      <c r="B741" s="6" t="s">
        <v>113</v>
      </c>
      <c r="C741" s="6" t="s">
        <v>114</v>
      </c>
      <c r="D741">
        <v>8601035838</v>
      </c>
      <c r="E741">
        <v>860201001</v>
      </c>
      <c r="F741" t="s">
        <v>52</v>
      </c>
      <c r="G741" t="s">
        <v>2862</v>
      </c>
      <c r="H741" s="1">
        <v>45643</v>
      </c>
      <c r="J741" s="8">
        <v>45654</v>
      </c>
      <c r="K741" s="1" t="s">
        <v>1479</v>
      </c>
      <c r="L741">
        <v>24007715</v>
      </c>
      <c r="M741" t="s">
        <v>2863</v>
      </c>
      <c r="N741" s="2">
        <v>1723800</v>
      </c>
      <c r="O741" t="s">
        <v>2864</v>
      </c>
      <c r="P741" s="6" t="s">
        <v>36</v>
      </c>
      <c r="R741" t="s">
        <v>240</v>
      </c>
      <c r="S741" s="9">
        <v>5100</v>
      </c>
      <c r="T741" s="9">
        <v>338</v>
      </c>
      <c r="U741" s="9">
        <v>1723800</v>
      </c>
      <c r="V741" s="6" t="s">
        <v>119</v>
      </c>
      <c r="W741" t="s">
        <v>59</v>
      </c>
      <c r="X741">
        <v>7810776309</v>
      </c>
      <c r="Y741">
        <v>780601001</v>
      </c>
      <c r="Z741" s="3">
        <v>45654.398611111108</v>
      </c>
      <c r="AA741" s="6">
        <v>2024</v>
      </c>
      <c r="AB741" s="1">
        <v>45876</v>
      </c>
    </row>
    <row r="742" spans="1:28" x14ac:dyDescent="0.3">
      <c r="A742" t="s">
        <v>2865</v>
      </c>
      <c r="B742" s="6" t="s">
        <v>1776</v>
      </c>
      <c r="C742" s="6" t="s">
        <v>460</v>
      </c>
      <c r="D742">
        <v>4632286337</v>
      </c>
      <c r="E742">
        <v>463201001</v>
      </c>
      <c r="F742" t="s">
        <v>94</v>
      </c>
      <c r="G742" t="s">
        <v>2866</v>
      </c>
      <c r="H742" s="1">
        <v>45651</v>
      </c>
      <c r="I742" t="s">
        <v>2867</v>
      </c>
      <c r="J742" s="8">
        <v>45654</v>
      </c>
      <c r="K742" s="1" t="s">
        <v>1479</v>
      </c>
      <c r="L742">
        <v>161958</v>
      </c>
      <c r="M742" t="s">
        <v>2868</v>
      </c>
      <c r="N742" s="2">
        <v>3980000</v>
      </c>
      <c r="O742" t="s">
        <v>1912</v>
      </c>
      <c r="P742" s="6" t="s">
        <v>891</v>
      </c>
      <c r="Q742" t="s">
        <v>1993</v>
      </c>
      <c r="R742" t="s">
        <v>38</v>
      </c>
      <c r="S742" s="9">
        <v>3980</v>
      </c>
      <c r="T742" s="9">
        <v>1000</v>
      </c>
      <c r="U742" s="9">
        <v>3980000</v>
      </c>
      <c r="V742" s="6" t="s">
        <v>1612</v>
      </c>
      <c r="W742" t="s">
        <v>1613</v>
      </c>
      <c r="X742">
        <v>9727026181</v>
      </c>
      <c r="Y742">
        <v>770601001</v>
      </c>
      <c r="Z742" s="3">
        <v>45671.447916666664</v>
      </c>
      <c r="AA742" s="6">
        <v>2024</v>
      </c>
      <c r="AB742" s="1">
        <v>45854</v>
      </c>
    </row>
    <row r="743" spans="1:28" x14ac:dyDescent="0.3">
      <c r="A743" t="s">
        <v>2869</v>
      </c>
      <c r="B743" s="6" t="s">
        <v>61</v>
      </c>
      <c r="C743" s="6" t="s">
        <v>62</v>
      </c>
      <c r="D743">
        <v>4027022305</v>
      </c>
      <c r="E743">
        <v>402701001</v>
      </c>
      <c r="F743" t="s">
        <v>52</v>
      </c>
      <c r="G743" t="s">
        <v>2870</v>
      </c>
      <c r="H743" s="1">
        <v>45644</v>
      </c>
      <c r="I743" t="s">
        <v>2871</v>
      </c>
      <c r="J743" s="8">
        <v>45666</v>
      </c>
      <c r="K743" s="1" t="s">
        <v>2872</v>
      </c>
      <c r="L743" t="s">
        <v>2870</v>
      </c>
      <c r="M743" t="s">
        <v>1553</v>
      </c>
      <c r="N743" s="2">
        <v>9873600</v>
      </c>
      <c r="O743" t="s">
        <v>377</v>
      </c>
      <c r="P743" s="6" t="s">
        <v>464</v>
      </c>
      <c r="Q743" t="s">
        <v>37</v>
      </c>
      <c r="R743" t="s">
        <v>38</v>
      </c>
      <c r="S743" s="9">
        <v>5100</v>
      </c>
      <c r="T743" s="9">
        <v>842</v>
      </c>
      <c r="U743" s="9">
        <v>4294200</v>
      </c>
      <c r="V743" s="6" t="s">
        <v>111</v>
      </c>
      <c r="W743" t="s">
        <v>59</v>
      </c>
      <c r="X743">
        <v>5262258091</v>
      </c>
      <c r="Y743">
        <v>526201001</v>
      </c>
      <c r="Z743" s="3">
        <v>45694.606944444444</v>
      </c>
      <c r="AA743" s="6">
        <v>2025</v>
      </c>
      <c r="AB743" s="1">
        <v>46022</v>
      </c>
    </row>
    <row r="744" spans="1:28" x14ac:dyDescent="0.3">
      <c r="A744" t="s">
        <v>2869</v>
      </c>
      <c r="B744" s="6" t="s">
        <v>61</v>
      </c>
      <c r="C744" s="6" t="s">
        <v>62</v>
      </c>
      <c r="D744">
        <v>4027022305</v>
      </c>
      <c r="E744">
        <v>402701001</v>
      </c>
      <c r="F744" t="s">
        <v>52</v>
      </c>
      <c r="G744" t="s">
        <v>2870</v>
      </c>
      <c r="H744" s="1">
        <v>45644</v>
      </c>
      <c r="I744" t="s">
        <v>2871</v>
      </c>
      <c r="J744" s="8">
        <v>45666</v>
      </c>
      <c r="K744" s="1" t="s">
        <v>2872</v>
      </c>
      <c r="L744" t="s">
        <v>2870</v>
      </c>
      <c r="M744" t="s">
        <v>1553</v>
      </c>
      <c r="N744" s="2">
        <v>9873600</v>
      </c>
      <c r="O744" t="s">
        <v>494</v>
      </c>
      <c r="P744" s="6" t="s">
        <v>36</v>
      </c>
      <c r="R744" t="s">
        <v>38</v>
      </c>
      <c r="S744" s="9">
        <v>5100</v>
      </c>
      <c r="T744" s="9">
        <v>1094</v>
      </c>
      <c r="U744" s="9">
        <v>5579400</v>
      </c>
      <c r="V744" s="6" t="s">
        <v>111</v>
      </c>
      <c r="W744" t="s">
        <v>59</v>
      </c>
      <c r="X744">
        <v>5262258091</v>
      </c>
      <c r="Y744">
        <v>526201001</v>
      </c>
      <c r="Z744" s="3">
        <v>45694.606944444444</v>
      </c>
      <c r="AA744" s="6">
        <v>2025</v>
      </c>
      <c r="AB744" s="1">
        <v>46022</v>
      </c>
    </row>
    <row r="745" spans="1:28" x14ac:dyDescent="0.3">
      <c r="A745" t="s">
        <v>2873</v>
      </c>
      <c r="B745" s="6" t="s">
        <v>42</v>
      </c>
      <c r="C745" s="6" t="s">
        <v>43</v>
      </c>
      <c r="D745">
        <v>5609027223</v>
      </c>
      <c r="E745">
        <v>560901001</v>
      </c>
      <c r="F745" t="s">
        <v>44</v>
      </c>
      <c r="G745" t="s">
        <v>2874</v>
      </c>
      <c r="H745" s="1">
        <v>45666</v>
      </c>
      <c r="J745" s="8">
        <v>45666</v>
      </c>
      <c r="K745" s="1" t="s">
        <v>2872</v>
      </c>
      <c r="L745" t="s">
        <v>2875</v>
      </c>
      <c r="M745" t="s">
        <v>2697</v>
      </c>
      <c r="N745" s="2">
        <v>4127142</v>
      </c>
      <c r="O745" t="s">
        <v>36</v>
      </c>
      <c r="P745" s="6" t="s">
        <v>891</v>
      </c>
      <c r="Q745" t="s">
        <v>1993</v>
      </c>
      <c r="R745" t="s">
        <v>48</v>
      </c>
      <c r="S745" s="9">
        <v>5298</v>
      </c>
      <c r="T745" s="9">
        <v>779</v>
      </c>
      <c r="U745" s="9">
        <v>4127142</v>
      </c>
      <c r="V745" s="6" t="s">
        <v>39</v>
      </c>
      <c r="W745" t="s">
        <v>40</v>
      </c>
      <c r="AA745" s="6">
        <v>2025</v>
      </c>
      <c r="AB745" s="1">
        <v>46022</v>
      </c>
    </row>
    <row r="746" spans="1:28" x14ac:dyDescent="0.3">
      <c r="A746" t="s">
        <v>2876</v>
      </c>
      <c r="B746" s="6" t="s">
        <v>2877</v>
      </c>
      <c r="C746" s="6" t="s">
        <v>666</v>
      </c>
      <c r="D746">
        <v>5753003306</v>
      </c>
      <c r="E746">
        <v>575301001</v>
      </c>
      <c r="F746" t="s">
        <v>52</v>
      </c>
      <c r="G746" t="s">
        <v>2878</v>
      </c>
      <c r="H746" s="1">
        <v>45651</v>
      </c>
      <c r="J746" s="8">
        <v>45667</v>
      </c>
      <c r="K746" s="1" t="s">
        <v>2872</v>
      </c>
      <c r="L746" t="s">
        <v>2879</v>
      </c>
      <c r="M746" t="s">
        <v>2880</v>
      </c>
      <c r="N746" s="2">
        <v>151195.25</v>
      </c>
      <c r="O746" t="s">
        <v>1886</v>
      </c>
      <c r="P746" s="6" t="s">
        <v>36</v>
      </c>
      <c r="R746" t="s">
        <v>66</v>
      </c>
      <c r="S746" s="9">
        <v>6047.81</v>
      </c>
      <c r="T746" s="9">
        <v>25</v>
      </c>
      <c r="U746" s="9">
        <v>151195.25</v>
      </c>
      <c r="V746" s="6" t="s">
        <v>750</v>
      </c>
      <c r="W746" t="s">
        <v>59</v>
      </c>
      <c r="X746">
        <v>540123954976</v>
      </c>
      <c r="Z746" s="3">
        <v>45688.418055555558</v>
      </c>
      <c r="AA746" s="6">
        <v>2025</v>
      </c>
      <c r="AB746" s="1">
        <v>45747</v>
      </c>
    </row>
    <row r="747" spans="1:28" x14ac:dyDescent="0.3">
      <c r="A747" t="s">
        <v>2876</v>
      </c>
      <c r="B747" s="6" t="s">
        <v>2877</v>
      </c>
      <c r="C747" s="6" t="s">
        <v>666</v>
      </c>
      <c r="D747">
        <v>5753003306</v>
      </c>
      <c r="E747">
        <v>575301001</v>
      </c>
      <c r="F747" t="s">
        <v>52</v>
      </c>
      <c r="G747" t="s">
        <v>2878</v>
      </c>
      <c r="H747" s="1">
        <v>45651</v>
      </c>
      <c r="J747" s="8">
        <v>45667</v>
      </c>
      <c r="K747" s="1" t="s">
        <v>2872</v>
      </c>
      <c r="L747" t="s">
        <v>2879</v>
      </c>
      <c r="M747" t="s">
        <v>2880</v>
      </c>
      <c r="N747" s="2">
        <v>151195.25</v>
      </c>
      <c r="O747" t="s">
        <v>1886</v>
      </c>
      <c r="P747" s="6" t="s">
        <v>36</v>
      </c>
      <c r="R747" t="s">
        <v>66</v>
      </c>
      <c r="S747" s="9">
        <v>6047.81</v>
      </c>
      <c r="T747" s="9">
        <v>25</v>
      </c>
      <c r="U747" s="9">
        <v>151195.25</v>
      </c>
      <c r="V747" s="6" t="s">
        <v>750</v>
      </c>
      <c r="W747" t="s">
        <v>59</v>
      </c>
      <c r="X747">
        <v>540123954976</v>
      </c>
      <c r="Z747" s="3">
        <v>45667.379861111112</v>
      </c>
      <c r="AA747" s="6">
        <v>2024</v>
      </c>
      <c r="AB747" s="1">
        <v>45747</v>
      </c>
    </row>
    <row r="748" spans="1:28" x14ac:dyDescent="0.3">
      <c r="A748" t="s">
        <v>2881</v>
      </c>
      <c r="B748" s="6" t="s">
        <v>1399</v>
      </c>
      <c r="C748" s="6" t="s">
        <v>93</v>
      </c>
      <c r="D748">
        <v>4501025099</v>
      </c>
      <c r="E748">
        <v>450101001</v>
      </c>
      <c r="F748" t="s">
        <v>149</v>
      </c>
      <c r="G748" t="s">
        <v>2882</v>
      </c>
      <c r="H748" s="1">
        <v>45653</v>
      </c>
      <c r="J748" s="8">
        <v>45667</v>
      </c>
      <c r="K748" s="1" t="s">
        <v>2872</v>
      </c>
      <c r="L748" t="s">
        <v>2883</v>
      </c>
      <c r="M748" t="s">
        <v>273</v>
      </c>
      <c r="N748" s="2">
        <v>70700</v>
      </c>
      <c r="O748" t="s">
        <v>273</v>
      </c>
      <c r="P748" s="6" t="s">
        <v>36</v>
      </c>
      <c r="R748" t="s">
        <v>240</v>
      </c>
      <c r="S748" s="9">
        <v>5050</v>
      </c>
      <c r="T748" s="9">
        <v>14</v>
      </c>
      <c r="U748" s="9">
        <v>70700</v>
      </c>
      <c r="V748" s="6" t="s">
        <v>39</v>
      </c>
      <c r="W748" t="s">
        <v>40</v>
      </c>
      <c r="X748">
        <v>7810687137</v>
      </c>
      <c r="Y748">
        <v>781401001</v>
      </c>
      <c r="Z748" s="3">
        <v>45700.613194444442</v>
      </c>
      <c r="AA748" s="6">
        <v>2025</v>
      </c>
      <c r="AB748" s="1">
        <v>45747</v>
      </c>
    </row>
    <row r="749" spans="1:28" x14ac:dyDescent="0.3">
      <c r="A749" t="s">
        <v>2881</v>
      </c>
      <c r="B749" s="6" t="s">
        <v>1399</v>
      </c>
      <c r="C749" s="6" t="s">
        <v>93</v>
      </c>
      <c r="D749">
        <v>4501025099</v>
      </c>
      <c r="E749">
        <v>450101001</v>
      </c>
      <c r="F749" t="s">
        <v>149</v>
      </c>
      <c r="G749" t="s">
        <v>2882</v>
      </c>
      <c r="H749" s="1">
        <v>45653</v>
      </c>
      <c r="J749" s="8">
        <v>45667</v>
      </c>
      <c r="K749" s="1" t="s">
        <v>2872</v>
      </c>
      <c r="L749" t="s">
        <v>2883</v>
      </c>
      <c r="M749" t="s">
        <v>273</v>
      </c>
      <c r="N749" s="2">
        <v>70700</v>
      </c>
      <c r="O749" t="s">
        <v>273</v>
      </c>
      <c r="P749" s="6" t="s">
        <v>36</v>
      </c>
      <c r="R749" t="s">
        <v>240</v>
      </c>
      <c r="S749" s="9">
        <v>5050</v>
      </c>
      <c r="T749" s="9">
        <v>14</v>
      </c>
      <c r="U749" s="9">
        <v>70700</v>
      </c>
      <c r="V749" s="6" t="s">
        <v>39</v>
      </c>
      <c r="W749" t="s">
        <v>40</v>
      </c>
      <c r="X749">
        <v>7810687137</v>
      </c>
      <c r="Y749">
        <v>781401001</v>
      </c>
      <c r="Z749" s="3">
        <v>45672.475694444445</v>
      </c>
      <c r="AA749" s="6">
        <v>2024</v>
      </c>
      <c r="AB749" s="1">
        <v>45747</v>
      </c>
    </row>
    <row r="750" spans="1:28" x14ac:dyDescent="0.3">
      <c r="A750" t="s">
        <v>2884</v>
      </c>
      <c r="B750" s="6" t="s">
        <v>924</v>
      </c>
      <c r="C750" s="6" t="s">
        <v>925</v>
      </c>
      <c r="D750">
        <v>4205349664</v>
      </c>
      <c r="E750">
        <v>420501001</v>
      </c>
      <c r="F750" t="s">
        <v>94</v>
      </c>
      <c r="G750" t="s">
        <v>2885</v>
      </c>
      <c r="H750" s="1">
        <v>45654</v>
      </c>
      <c r="I750" t="s">
        <v>2886</v>
      </c>
      <c r="J750" s="8">
        <v>45670</v>
      </c>
      <c r="K750" s="1" t="s">
        <v>2872</v>
      </c>
      <c r="L750" t="s">
        <v>2887</v>
      </c>
      <c r="M750" t="s">
        <v>179</v>
      </c>
      <c r="N750" s="2">
        <v>1122000</v>
      </c>
      <c r="O750" t="s">
        <v>440</v>
      </c>
      <c r="P750" s="6" t="s">
        <v>36</v>
      </c>
      <c r="R750" t="s">
        <v>240</v>
      </c>
      <c r="S750" s="9">
        <v>5100</v>
      </c>
      <c r="T750" s="9">
        <v>220</v>
      </c>
      <c r="U750" s="9">
        <v>1122000</v>
      </c>
      <c r="V750" s="6" t="s">
        <v>1798</v>
      </c>
      <c r="W750" t="s">
        <v>59</v>
      </c>
      <c r="X750">
        <v>4205233684</v>
      </c>
      <c r="Y750">
        <v>420501001</v>
      </c>
      <c r="Z750" s="3">
        <v>45670.374305555553</v>
      </c>
      <c r="AA750" s="6">
        <v>2024</v>
      </c>
      <c r="AB750" s="1">
        <v>46022</v>
      </c>
    </row>
    <row r="751" spans="1:28" x14ac:dyDescent="0.3">
      <c r="A751" t="s">
        <v>2884</v>
      </c>
      <c r="B751" s="6" t="s">
        <v>924</v>
      </c>
      <c r="C751" s="6" t="s">
        <v>925</v>
      </c>
      <c r="D751">
        <v>4205349664</v>
      </c>
      <c r="E751">
        <v>420501001</v>
      </c>
      <c r="F751" t="s">
        <v>94</v>
      </c>
      <c r="G751" t="s">
        <v>2885</v>
      </c>
      <c r="H751" s="1">
        <v>45654</v>
      </c>
      <c r="I751" t="s">
        <v>2886</v>
      </c>
      <c r="J751" s="8">
        <v>45670</v>
      </c>
      <c r="K751" s="1" t="s">
        <v>2872</v>
      </c>
      <c r="L751" t="s">
        <v>2887</v>
      </c>
      <c r="M751" t="s">
        <v>179</v>
      </c>
      <c r="N751" s="2">
        <v>1122000</v>
      </c>
      <c r="O751" t="s">
        <v>440</v>
      </c>
      <c r="P751" s="6" t="s">
        <v>36</v>
      </c>
      <c r="R751" t="s">
        <v>240</v>
      </c>
      <c r="S751" s="9">
        <v>5100</v>
      </c>
      <c r="T751" s="9">
        <v>220</v>
      </c>
      <c r="U751" s="9">
        <v>1122000</v>
      </c>
      <c r="V751" s="6" t="s">
        <v>1798</v>
      </c>
      <c r="W751" t="s">
        <v>59</v>
      </c>
      <c r="X751">
        <v>4205233684</v>
      </c>
      <c r="Y751">
        <v>420501001</v>
      </c>
      <c r="Z751" s="3">
        <v>45694.604166666664</v>
      </c>
      <c r="AA751" s="6">
        <v>2025</v>
      </c>
      <c r="AB751" s="1">
        <v>46022</v>
      </c>
    </row>
    <row r="752" spans="1:28" x14ac:dyDescent="0.3">
      <c r="A752" t="s">
        <v>2888</v>
      </c>
      <c r="B752" s="6" t="s">
        <v>2889</v>
      </c>
      <c r="C752" s="6" t="s">
        <v>568</v>
      </c>
      <c r="D752">
        <v>4909045334</v>
      </c>
      <c r="E752">
        <v>490901001</v>
      </c>
      <c r="F752" t="s">
        <v>94</v>
      </c>
      <c r="G752" t="s">
        <v>2890</v>
      </c>
      <c r="H752" s="1">
        <v>45672</v>
      </c>
      <c r="J752" s="8">
        <v>45677</v>
      </c>
      <c r="K752" s="1" t="s">
        <v>2872</v>
      </c>
      <c r="L752" t="s">
        <v>2890</v>
      </c>
      <c r="M752" t="s">
        <v>2891</v>
      </c>
      <c r="N752" s="2">
        <v>52000</v>
      </c>
      <c r="O752" t="s">
        <v>440</v>
      </c>
      <c r="P752" s="6" t="s">
        <v>36</v>
      </c>
      <c r="Q752" t="s">
        <v>37</v>
      </c>
      <c r="R752" t="s">
        <v>240</v>
      </c>
      <c r="S752" s="9">
        <v>5200</v>
      </c>
      <c r="T752" s="9">
        <v>10</v>
      </c>
      <c r="U752" s="9">
        <v>52000</v>
      </c>
      <c r="V752" s="6" t="s">
        <v>39</v>
      </c>
      <c r="W752" t="s">
        <v>40</v>
      </c>
      <c r="X752">
        <v>7810687137</v>
      </c>
      <c r="Y752">
        <v>781401001</v>
      </c>
      <c r="Z752" s="3">
        <v>45678.587500000001</v>
      </c>
      <c r="AA752" s="6">
        <v>2025</v>
      </c>
      <c r="AB752" s="1">
        <v>46022</v>
      </c>
    </row>
    <row r="753" spans="1:28" x14ac:dyDescent="0.3">
      <c r="A753" t="s">
        <v>2892</v>
      </c>
      <c r="B753" s="6" t="s">
        <v>524</v>
      </c>
      <c r="C753" s="6" t="s">
        <v>525</v>
      </c>
      <c r="D753">
        <v>721060278</v>
      </c>
      <c r="E753">
        <v>72501001</v>
      </c>
      <c r="F753" t="s">
        <v>149</v>
      </c>
      <c r="G753" t="s">
        <v>2893</v>
      </c>
      <c r="H753" s="1">
        <v>45674</v>
      </c>
      <c r="I753" t="s">
        <v>2894</v>
      </c>
      <c r="J753" s="8">
        <v>45679</v>
      </c>
      <c r="K753" s="1" t="s">
        <v>2872</v>
      </c>
      <c r="L753" t="s">
        <v>2895</v>
      </c>
      <c r="M753" t="s">
        <v>273</v>
      </c>
      <c r="N753" s="2">
        <v>518304</v>
      </c>
      <c r="O753" t="s">
        <v>1923</v>
      </c>
      <c r="P753" s="6" t="s">
        <v>36</v>
      </c>
      <c r="R753" t="s">
        <v>240</v>
      </c>
      <c r="S753" s="9">
        <v>5399</v>
      </c>
      <c r="T753" s="9">
        <v>96</v>
      </c>
      <c r="U753" s="9">
        <v>518304</v>
      </c>
      <c r="V753" s="6" t="s">
        <v>2896</v>
      </c>
      <c r="W753" t="s">
        <v>40</v>
      </c>
      <c r="X753">
        <v>601023179</v>
      </c>
      <c r="Y753">
        <v>60101001</v>
      </c>
      <c r="Z753" s="3">
        <v>45679.422222222223</v>
      </c>
      <c r="AA753" s="6">
        <v>2024</v>
      </c>
      <c r="AB753" s="1">
        <v>46022</v>
      </c>
    </row>
    <row r="754" spans="1:28" x14ac:dyDescent="0.3">
      <c r="A754" t="s">
        <v>2892</v>
      </c>
      <c r="B754" s="6" t="s">
        <v>524</v>
      </c>
      <c r="C754" s="6" t="s">
        <v>525</v>
      </c>
      <c r="D754">
        <v>721060278</v>
      </c>
      <c r="E754">
        <v>72501001</v>
      </c>
      <c r="F754" t="s">
        <v>149</v>
      </c>
      <c r="G754" t="s">
        <v>2893</v>
      </c>
      <c r="H754" s="1">
        <v>45674</v>
      </c>
      <c r="I754" t="s">
        <v>2894</v>
      </c>
      <c r="J754" s="8">
        <v>45679</v>
      </c>
      <c r="K754" s="1" t="s">
        <v>2872</v>
      </c>
      <c r="L754" t="s">
        <v>2895</v>
      </c>
      <c r="M754" t="s">
        <v>273</v>
      </c>
      <c r="N754" s="2">
        <v>518304</v>
      </c>
      <c r="O754" t="s">
        <v>1923</v>
      </c>
      <c r="P754" s="6" t="s">
        <v>36</v>
      </c>
      <c r="R754" t="s">
        <v>240</v>
      </c>
      <c r="S754" s="9">
        <v>5399</v>
      </c>
      <c r="T754" s="9">
        <v>96</v>
      </c>
      <c r="U754" s="9">
        <v>518304</v>
      </c>
      <c r="V754" s="6" t="s">
        <v>2896</v>
      </c>
      <c r="W754" t="s">
        <v>40</v>
      </c>
      <c r="X754">
        <v>601023179</v>
      </c>
      <c r="Y754">
        <v>60101001</v>
      </c>
      <c r="Z754" s="3">
        <v>45679.422222222223</v>
      </c>
      <c r="AA754" s="6">
        <v>2025</v>
      </c>
      <c r="AB754" s="1">
        <v>46022</v>
      </c>
    </row>
    <row r="755" spans="1:28" x14ac:dyDescent="0.3">
      <c r="A755" t="s">
        <v>2897</v>
      </c>
      <c r="B755" s="6" t="s">
        <v>524</v>
      </c>
      <c r="C755" s="6" t="s">
        <v>525</v>
      </c>
      <c r="D755">
        <v>721060278</v>
      </c>
      <c r="E755">
        <v>72501001</v>
      </c>
      <c r="F755" t="s">
        <v>149</v>
      </c>
      <c r="G755" t="s">
        <v>2898</v>
      </c>
      <c r="H755" s="1">
        <v>45674</v>
      </c>
      <c r="I755" t="s">
        <v>2894</v>
      </c>
      <c r="J755" s="8">
        <v>45679</v>
      </c>
      <c r="K755" s="1" t="s">
        <v>2872</v>
      </c>
      <c r="L755" t="s">
        <v>2899</v>
      </c>
      <c r="M755" t="s">
        <v>273</v>
      </c>
      <c r="N755" s="2">
        <v>4861863</v>
      </c>
      <c r="O755" t="s">
        <v>1366</v>
      </c>
      <c r="P755" s="6" t="s">
        <v>36</v>
      </c>
      <c r="R755" t="s">
        <v>240</v>
      </c>
      <c r="S755" s="9">
        <v>5402.07</v>
      </c>
      <c r="T755" s="9">
        <v>900</v>
      </c>
      <c r="U755" s="9">
        <v>4861863</v>
      </c>
      <c r="V755" s="6" t="s">
        <v>39</v>
      </c>
      <c r="W755" t="s">
        <v>40</v>
      </c>
      <c r="X755">
        <v>7810687137</v>
      </c>
      <c r="Y755">
        <v>781401001</v>
      </c>
      <c r="Z755" s="3">
        <v>45679.419444444444</v>
      </c>
      <c r="AA755" s="6">
        <v>2024</v>
      </c>
      <c r="AB755" s="1">
        <v>46022</v>
      </c>
    </row>
    <row r="756" spans="1:28" x14ac:dyDescent="0.3">
      <c r="A756" t="s">
        <v>2897</v>
      </c>
      <c r="B756" s="6" t="s">
        <v>524</v>
      </c>
      <c r="C756" s="6" t="s">
        <v>525</v>
      </c>
      <c r="D756">
        <v>721060278</v>
      </c>
      <c r="E756">
        <v>72501001</v>
      </c>
      <c r="F756" t="s">
        <v>149</v>
      </c>
      <c r="G756" t="s">
        <v>2898</v>
      </c>
      <c r="H756" s="1">
        <v>45674</v>
      </c>
      <c r="I756" t="s">
        <v>2894</v>
      </c>
      <c r="J756" s="8">
        <v>45679</v>
      </c>
      <c r="K756" s="1" t="s">
        <v>2872</v>
      </c>
      <c r="L756" t="s">
        <v>2899</v>
      </c>
      <c r="M756" t="s">
        <v>273</v>
      </c>
      <c r="N756" s="2">
        <v>4861863</v>
      </c>
      <c r="O756" t="s">
        <v>1366</v>
      </c>
      <c r="P756" s="6" t="s">
        <v>36</v>
      </c>
      <c r="R756" t="s">
        <v>240</v>
      </c>
      <c r="S756" s="9">
        <v>5402.07</v>
      </c>
      <c r="T756" s="9">
        <v>900</v>
      </c>
      <c r="U756" s="9">
        <v>4861863</v>
      </c>
      <c r="V756" s="6" t="s">
        <v>39</v>
      </c>
      <c r="W756" t="s">
        <v>40</v>
      </c>
      <c r="X756">
        <v>7810687137</v>
      </c>
      <c r="Y756">
        <v>781401001</v>
      </c>
      <c r="Z756" s="3">
        <v>45679.419444444444</v>
      </c>
      <c r="AA756" s="6">
        <v>2025</v>
      </c>
      <c r="AB756" s="1">
        <v>46022</v>
      </c>
    </row>
    <row r="757" spans="1:28" x14ac:dyDescent="0.3">
      <c r="A757" t="s">
        <v>2900</v>
      </c>
      <c r="B757" s="6" t="s">
        <v>177</v>
      </c>
      <c r="C757" s="6" t="s">
        <v>62</v>
      </c>
      <c r="D757">
        <v>4027122645</v>
      </c>
      <c r="E757">
        <v>402701001</v>
      </c>
      <c r="F757" t="s">
        <v>44</v>
      </c>
      <c r="G757">
        <v>0</v>
      </c>
      <c r="J757" s="8">
        <v>45679</v>
      </c>
      <c r="K757" s="1" t="s">
        <v>2872</v>
      </c>
      <c r="L757" t="s">
        <v>2901</v>
      </c>
      <c r="M757" t="s">
        <v>179</v>
      </c>
      <c r="N757" s="2">
        <v>10021533</v>
      </c>
      <c r="O757" t="s">
        <v>2822</v>
      </c>
      <c r="P757" s="6" t="s">
        <v>36</v>
      </c>
      <c r="R757" t="s">
        <v>48</v>
      </c>
      <c r="S757" s="9">
        <v>4751.79</v>
      </c>
      <c r="T757" s="9">
        <v>700</v>
      </c>
      <c r="U757" s="9">
        <v>3326253</v>
      </c>
      <c r="V757" s="6" t="s">
        <v>61</v>
      </c>
      <c r="W757" t="s">
        <v>59</v>
      </c>
      <c r="X757">
        <v>4027022305</v>
      </c>
      <c r="Y757">
        <v>402701001</v>
      </c>
      <c r="Z757" s="3">
        <v>45699.584027777775</v>
      </c>
      <c r="AA757" s="6">
        <v>2025</v>
      </c>
      <c r="AB757" s="1">
        <v>46022</v>
      </c>
    </row>
    <row r="758" spans="1:28" x14ac:dyDescent="0.3">
      <c r="A758" t="s">
        <v>2900</v>
      </c>
      <c r="B758" s="6" t="s">
        <v>177</v>
      </c>
      <c r="C758" s="6" t="s">
        <v>62</v>
      </c>
      <c r="D758">
        <v>4027122645</v>
      </c>
      <c r="E758">
        <v>402701001</v>
      </c>
      <c r="F758" t="s">
        <v>44</v>
      </c>
      <c r="G758">
        <v>0</v>
      </c>
      <c r="J758" s="8">
        <v>45679</v>
      </c>
      <c r="K758" s="1" t="s">
        <v>2872</v>
      </c>
      <c r="L758" t="s">
        <v>2901</v>
      </c>
      <c r="M758" t="s">
        <v>179</v>
      </c>
      <c r="N758" s="2">
        <v>10021533</v>
      </c>
      <c r="O758" t="s">
        <v>2822</v>
      </c>
      <c r="P758" s="6" t="s">
        <v>36</v>
      </c>
      <c r="R758" t="s">
        <v>48</v>
      </c>
      <c r="S758" s="9">
        <v>6120</v>
      </c>
      <c r="T758" s="9">
        <v>1094</v>
      </c>
      <c r="U758" s="9">
        <v>6695280</v>
      </c>
      <c r="V758" s="6" t="s">
        <v>61</v>
      </c>
      <c r="W758" t="s">
        <v>59</v>
      </c>
      <c r="X758">
        <v>4027022305</v>
      </c>
      <c r="Y758">
        <v>402701001</v>
      </c>
      <c r="Z758" s="3">
        <v>45699.584027777775</v>
      </c>
      <c r="AA758" s="6">
        <v>2025</v>
      </c>
      <c r="AB758" s="1">
        <v>46022</v>
      </c>
    </row>
    <row r="759" spans="1:28" x14ac:dyDescent="0.3">
      <c r="A759" t="s">
        <v>2902</v>
      </c>
      <c r="B759" s="6" t="s">
        <v>924</v>
      </c>
      <c r="C759" s="6" t="s">
        <v>925</v>
      </c>
      <c r="D759">
        <v>4205349664</v>
      </c>
      <c r="E759">
        <v>420501001</v>
      </c>
      <c r="F759" t="s">
        <v>52</v>
      </c>
      <c r="G759" t="s">
        <v>2903</v>
      </c>
      <c r="H759" s="1">
        <v>45670</v>
      </c>
      <c r="I759" t="s">
        <v>2904</v>
      </c>
      <c r="J759" s="8">
        <v>45681</v>
      </c>
      <c r="K759" s="1" t="s">
        <v>2872</v>
      </c>
      <c r="L759" t="s">
        <v>2905</v>
      </c>
      <c r="M759" t="s">
        <v>179</v>
      </c>
      <c r="N759" s="2">
        <v>11615000</v>
      </c>
      <c r="O759" t="s">
        <v>1851</v>
      </c>
      <c r="P759" s="6" t="s">
        <v>464</v>
      </c>
      <c r="Q759" t="s">
        <v>37</v>
      </c>
      <c r="R759" t="s">
        <v>38</v>
      </c>
      <c r="S759" s="9">
        <v>5050</v>
      </c>
      <c r="T759" s="9">
        <v>500</v>
      </c>
      <c r="U759" s="9">
        <v>2525000</v>
      </c>
      <c r="V759" s="6" t="s">
        <v>111</v>
      </c>
      <c r="W759" t="s">
        <v>59</v>
      </c>
      <c r="X759">
        <v>5262258091</v>
      </c>
      <c r="Y759">
        <v>526201001</v>
      </c>
      <c r="Z759" s="3">
        <v>45700.46597222222</v>
      </c>
      <c r="AA759" s="6">
        <v>2025</v>
      </c>
      <c r="AB759" s="1">
        <v>46022</v>
      </c>
    </row>
    <row r="760" spans="1:28" x14ac:dyDescent="0.3">
      <c r="A760" t="s">
        <v>2902</v>
      </c>
      <c r="B760" s="6" t="s">
        <v>924</v>
      </c>
      <c r="C760" s="6" t="s">
        <v>925</v>
      </c>
      <c r="D760">
        <v>4205349664</v>
      </c>
      <c r="E760">
        <v>420501001</v>
      </c>
      <c r="F760" t="s">
        <v>52</v>
      </c>
      <c r="G760" t="s">
        <v>2903</v>
      </c>
      <c r="H760" s="1">
        <v>45670</v>
      </c>
      <c r="I760" t="s">
        <v>2904</v>
      </c>
      <c r="J760" s="8">
        <v>45681</v>
      </c>
      <c r="K760" s="1" t="s">
        <v>2872</v>
      </c>
      <c r="L760" t="s">
        <v>2905</v>
      </c>
      <c r="M760" t="s">
        <v>179</v>
      </c>
      <c r="N760" s="2">
        <v>11615000</v>
      </c>
      <c r="O760" t="s">
        <v>1851</v>
      </c>
      <c r="P760" s="6" t="s">
        <v>2277</v>
      </c>
      <c r="R760" t="s">
        <v>38</v>
      </c>
      <c r="S760" s="9">
        <v>5050</v>
      </c>
      <c r="T760" s="9">
        <v>500</v>
      </c>
      <c r="U760" s="9">
        <v>2525000</v>
      </c>
      <c r="V760" s="6" t="s">
        <v>111</v>
      </c>
      <c r="W760" t="s">
        <v>59</v>
      </c>
      <c r="X760">
        <v>5262258091</v>
      </c>
      <c r="Y760">
        <v>526201001</v>
      </c>
      <c r="Z760" s="3">
        <v>45700.46597222222</v>
      </c>
      <c r="AA760" s="6">
        <v>2025</v>
      </c>
      <c r="AB760" s="1">
        <v>46022</v>
      </c>
    </row>
    <row r="761" spans="1:28" x14ac:dyDescent="0.3">
      <c r="A761" t="s">
        <v>2906</v>
      </c>
      <c r="B761" s="6" t="s">
        <v>452</v>
      </c>
      <c r="C761" s="6" t="s">
        <v>453</v>
      </c>
      <c r="D761">
        <v>2209011865</v>
      </c>
      <c r="E761">
        <v>220901001</v>
      </c>
      <c r="F761" t="s">
        <v>52</v>
      </c>
      <c r="G761" t="s">
        <v>2907</v>
      </c>
      <c r="H761" s="1">
        <v>45670</v>
      </c>
      <c r="I761" t="s">
        <v>2904</v>
      </c>
      <c r="J761" s="8">
        <v>45681</v>
      </c>
      <c r="K761" s="1" t="s">
        <v>2872</v>
      </c>
      <c r="L761" t="s">
        <v>2907</v>
      </c>
      <c r="M761" t="s">
        <v>457</v>
      </c>
      <c r="N761" s="2">
        <v>1069300</v>
      </c>
      <c r="O761" t="s">
        <v>2908</v>
      </c>
      <c r="P761" s="6" t="s">
        <v>36</v>
      </c>
      <c r="R761" t="s">
        <v>240</v>
      </c>
      <c r="S761" s="9">
        <v>6400</v>
      </c>
      <c r="T761" s="9">
        <v>25</v>
      </c>
      <c r="U761" s="9">
        <v>160000</v>
      </c>
      <c r="V761" s="6" t="s">
        <v>401</v>
      </c>
      <c r="W761" t="s">
        <v>402</v>
      </c>
      <c r="X761">
        <v>720208302235</v>
      </c>
      <c r="Z761" s="3">
        <v>45681.21597222222</v>
      </c>
      <c r="AA761" s="6">
        <v>2025</v>
      </c>
      <c r="AB761" s="1">
        <v>45894</v>
      </c>
    </row>
    <row r="762" spans="1:28" x14ac:dyDescent="0.3">
      <c r="A762" t="s">
        <v>2909</v>
      </c>
      <c r="B762" s="6" t="s">
        <v>220</v>
      </c>
      <c r="C762" s="6" t="s">
        <v>221</v>
      </c>
      <c r="D762">
        <v>5024068656</v>
      </c>
      <c r="E762">
        <v>502401001</v>
      </c>
      <c r="F762" t="s">
        <v>52</v>
      </c>
      <c r="G762" t="s">
        <v>2910</v>
      </c>
      <c r="H762" s="1">
        <v>45670</v>
      </c>
      <c r="J762" s="8">
        <v>45681</v>
      </c>
      <c r="K762" s="1" t="s">
        <v>2872</v>
      </c>
      <c r="L762" t="s">
        <v>2910</v>
      </c>
      <c r="M762" t="s">
        <v>2911</v>
      </c>
      <c r="N762" s="2">
        <v>443375.25</v>
      </c>
      <c r="O762" t="s">
        <v>494</v>
      </c>
      <c r="P762" s="6" t="s">
        <v>36</v>
      </c>
      <c r="R762" t="s">
        <v>38</v>
      </c>
      <c r="S762" s="9">
        <v>5911.67</v>
      </c>
      <c r="T762" s="9">
        <v>75</v>
      </c>
      <c r="U762" s="9">
        <v>443375.25</v>
      </c>
      <c r="V762" s="6" t="s">
        <v>128</v>
      </c>
      <c r="W762" t="s">
        <v>129</v>
      </c>
      <c r="X762">
        <v>274110679</v>
      </c>
      <c r="Y762">
        <v>500801001</v>
      </c>
      <c r="Z762" s="3">
        <v>45701.022916666669</v>
      </c>
      <c r="AA762" s="6">
        <v>2025</v>
      </c>
      <c r="AB762" s="1">
        <v>45713</v>
      </c>
    </row>
    <row r="763" spans="1:28" x14ac:dyDescent="0.3">
      <c r="A763" t="s">
        <v>2902</v>
      </c>
      <c r="B763" s="6" t="s">
        <v>924</v>
      </c>
      <c r="C763" s="6" t="s">
        <v>925</v>
      </c>
      <c r="D763">
        <v>4205349664</v>
      </c>
      <c r="E763">
        <v>420501001</v>
      </c>
      <c r="F763" t="s">
        <v>52</v>
      </c>
      <c r="G763" t="s">
        <v>2903</v>
      </c>
      <c r="H763" s="1">
        <v>45670</v>
      </c>
      <c r="I763" t="s">
        <v>2904</v>
      </c>
      <c r="J763" s="8">
        <v>45681</v>
      </c>
      <c r="K763" s="1" t="s">
        <v>2872</v>
      </c>
      <c r="L763" t="s">
        <v>2905</v>
      </c>
      <c r="M763" t="s">
        <v>179</v>
      </c>
      <c r="N763" s="2">
        <v>11615000</v>
      </c>
      <c r="O763" t="s">
        <v>377</v>
      </c>
      <c r="P763" s="6" t="s">
        <v>891</v>
      </c>
      <c r="Q763" t="s">
        <v>37</v>
      </c>
      <c r="R763" t="s">
        <v>38</v>
      </c>
      <c r="S763" s="9">
        <v>5050</v>
      </c>
      <c r="T763" s="9">
        <v>1300</v>
      </c>
      <c r="U763" s="9">
        <v>6565000</v>
      </c>
      <c r="V763" s="6" t="s">
        <v>111</v>
      </c>
      <c r="W763" t="s">
        <v>59</v>
      </c>
      <c r="X763">
        <v>5262258091</v>
      </c>
      <c r="Y763">
        <v>526201001</v>
      </c>
      <c r="Z763" s="3">
        <v>45700.46597222222</v>
      </c>
      <c r="AA763" s="6">
        <v>2025</v>
      </c>
      <c r="AB763" s="1">
        <v>46022</v>
      </c>
    </row>
    <row r="764" spans="1:28" x14ac:dyDescent="0.3">
      <c r="A764" t="s">
        <v>2912</v>
      </c>
      <c r="B764" s="6" t="s">
        <v>964</v>
      </c>
      <c r="C764" s="6" t="s">
        <v>965</v>
      </c>
      <c r="D764">
        <v>7021021653</v>
      </c>
      <c r="E764">
        <v>701701001</v>
      </c>
      <c r="F764" t="s">
        <v>52</v>
      </c>
      <c r="G764" t="s">
        <v>2913</v>
      </c>
      <c r="H764" s="1">
        <v>45672</v>
      </c>
      <c r="I764" t="s">
        <v>2914</v>
      </c>
      <c r="J764" s="8">
        <v>45684</v>
      </c>
      <c r="K764" s="1" t="s">
        <v>2872</v>
      </c>
      <c r="L764" t="s">
        <v>2915</v>
      </c>
      <c r="M764" t="s">
        <v>1496</v>
      </c>
      <c r="N764" s="2">
        <v>21356700</v>
      </c>
      <c r="O764" t="s">
        <v>377</v>
      </c>
      <c r="P764" s="6" t="s">
        <v>1814</v>
      </c>
      <c r="R764" t="s">
        <v>38</v>
      </c>
      <c r="S764" s="9">
        <v>5540</v>
      </c>
      <c r="T764" s="9">
        <v>1300</v>
      </c>
      <c r="U764" s="9">
        <v>7202000</v>
      </c>
      <c r="V764" s="6" t="s">
        <v>58</v>
      </c>
      <c r="W764" t="s">
        <v>59</v>
      </c>
      <c r="X764">
        <v>5262222144</v>
      </c>
      <c r="Y764">
        <v>526201001</v>
      </c>
      <c r="Z764" s="3">
        <v>45700.295138888891</v>
      </c>
      <c r="AA764" s="6">
        <v>2025</v>
      </c>
      <c r="AB764" s="1">
        <v>45777</v>
      </c>
    </row>
    <row r="765" spans="1:28" x14ac:dyDescent="0.3">
      <c r="A765" t="s">
        <v>2912</v>
      </c>
      <c r="B765" s="6" t="s">
        <v>964</v>
      </c>
      <c r="C765" s="6" t="s">
        <v>965</v>
      </c>
      <c r="D765">
        <v>7021021653</v>
      </c>
      <c r="E765">
        <v>701701001</v>
      </c>
      <c r="F765" t="s">
        <v>52</v>
      </c>
      <c r="G765" t="s">
        <v>2913</v>
      </c>
      <c r="H765" s="1">
        <v>45672</v>
      </c>
      <c r="I765" t="s">
        <v>2914</v>
      </c>
      <c r="J765" s="8">
        <v>45684</v>
      </c>
      <c r="K765" s="1" t="s">
        <v>2872</v>
      </c>
      <c r="L765" t="s">
        <v>2915</v>
      </c>
      <c r="M765" t="s">
        <v>1496</v>
      </c>
      <c r="N765" s="2">
        <v>21356700</v>
      </c>
      <c r="O765" t="s">
        <v>2916</v>
      </c>
      <c r="P765" s="6" t="s">
        <v>36</v>
      </c>
      <c r="R765" t="s">
        <v>38</v>
      </c>
      <c r="S765" s="9">
        <v>5540</v>
      </c>
      <c r="T765" s="9">
        <v>1755</v>
      </c>
      <c r="U765" s="9">
        <v>9722700</v>
      </c>
      <c r="V765" s="6" t="s">
        <v>58</v>
      </c>
      <c r="W765" t="s">
        <v>59</v>
      </c>
      <c r="X765">
        <v>5262222144</v>
      </c>
      <c r="Y765">
        <v>526201001</v>
      </c>
      <c r="Z765" s="3">
        <v>45700.295138888891</v>
      </c>
      <c r="AA765" s="6">
        <v>2025</v>
      </c>
      <c r="AB765" s="1">
        <v>45777</v>
      </c>
    </row>
    <row r="766" spans="1:28" x14ac:dyDescent="0.3">
      <c r="A766" t="s">
        <v>2912</v>
      </c>
      <c r="B766" s="6" t="s">
        <v>964</v>
      </c>
      <c r="C766" s="6" t="s">
        <v>965</v>
      </c>
      <c r="D766">
        <v>7021021653</v>
      </c>
      <c r="E766">
        <v>701701001</v>
      </c>
      <c r="F766" t="s">
        <v>52</v>
      </c>
      <c r="G766" t="s">
        <v>2913</v>
      </c>
      <c r="H766" s="1">
        <v>45672</v>
      </c>
      <c r="I766" t="s">
        <v>2914</v>
      </c>
      <c r="J766" s="8">
        <v>45684</v>
      </c>
      <c r="K766" s="1" t="s">
        <v>2872</v>
      </c>
      <c r="L766" t="s">
        <v>2915</v>
      </c>
      <c r="M766" t="s">
        <v>1496</v>
      </c>
      <c r="N766" s="2">
        <v>21356700</v>
      </c>
      <c r="O766" t="s">
        <v>377</v>
      </c>
      <c r="P766" s="6" t="s">
        <v>2277</v>
      </c>
      <c r="R766" t="s">
        <v>38</v>
      </c>
      <c r="S766" s="9">
        <v>5540</v>
      </c>
      <c r="T766" s="9">
        <v>800</v>
      </c>
      <c r="U766" s="9">
        <v>4432000</v>
      </c>
      <c r="V766" s="6" t="s">
        <v>58</v>
      </c>
      <c r="W766" t="s">
        <v>59</v>
      </c>
      <c r="X766">
        <v>5262222144</v>
      </c>
      <c r="Y766">
        <v>526201001</v>
      </c>
      <c r="Z766" s="3">
        <v>45700.295138888891</v>
      </c>
      <c r="AA766" s="6">
        <v>2025</v>
      </c>
      <c r="AB766" s="1">
        <v>45777</v>
      </c>
    </row>
    <row r="767" spans="1:28" x14ac:dyDescent="0.3">
      <c r="A767" t="s">
        <v>2917</v>
      </c>
      <c r="B767" s="6" t="s">
        <v>163</v>
      </c>
      <c r="C767" s="6" t="s">
        <v>164</v>
      </c>
      <c r="D767">
        <v>7705004254</v>
      </c>
      <c r="E767">
        <v>770501001</v>
      </c>
      <c r="F767" t="s">
        <v>52</v>
      </c>
      <c r="G767" t="s">
        <v>2918</v>
      </c>
      <c r="H767" s="1">
        <v>45671</v>
      </c>
      <c r="I767" t="s">
        <v>2919</v>
      </c>
      <c r="J767" s="8">
        <v>45684</v>
      </c>
      <c r="K767" s="1" t="s">
        <v>2872</v>
      </c>
      <c r="L767" t="s">
        <v>2920</v>
      </c>
      <c r="M767" t="s">
        <v>483</v>
      </c>
      <c r="N767" s="2">
        <v>1370000</v>
      </c>
      <c r="O767" t="s">
        <v>440</v>
      </c>
      <c r="P767" s="6" t="s">
        <v>36</v>
      </c>
      <c r="R767" t="s">
        <v>240</v>
      </c>
      <c r="S767" s="9">
        <v>5480</v>
      </c>
      <c r="T767" s="9">
        <v>250</v>
      </c>
      <c r="U767" s="9">
        <v>1370000</v>
      </c>
      <c r="V767" s="6" t="s">
        <v>111</v>
      </c>
      <c r="W767" t="s">
        <v>59</v>
      </c>
      <c r="X767">
        <v>5262258091</v>
      </c>
      <c r="Y767">
        <v>526201001</v>
      </c>
      <c r="Z767" s="3">
        <v>45698.720833333333</v>
      </c>
      <c r="AA767" s="6">
        <v>2025</v>
      </c>
      <c r="AB767" s="1">
        <v>46022</v>
      </c>
    </row>
    <row r="768" spans="1:28" x14ac:dyDescent="0.3">
      <c r="A768" t="s">
        <v>2921</v>
      </c>
      <c r="B768" s="6" t="s">
        <v>516</v>
      </c>
      <c r="C768" s="6" t="s">
        <v>517</v>
      </c>
      <c r="D768">
        <v>9204023281</v>
      </c>
      <c r="E768">
        <v>920401001</v>
      </c>
      <c r="F768" t="s">
        <v>94</v>
      </c>
      <c r="G768" t="s">
        <v>2922</v>
      </c>
      <c r="H768" s="1">
        <v>45680</v>
      </c>
      <c r="J768" s="8">
        <v>45685</v>
      </c>
      <c r="K768" s="1" t="s">
        <v>2872</v>
      </c>
      <c r="L768" t="s">
        <v>2922</v>
      </c>
      <c r="M768" t="s">
        <v>2923</v>
      </c>
      <c r="N768" s="2">
        <v>1999000</v>
      </c>
      <c r="O768" t="s">
        <v>377</v>
      </c>
      <c r="P768" s="6" t="s">
        <v>1814</v>
      </c>
      <c r="R768" t="s">
        <v>38</v>
      </c>
      <c r="S768" s="9">
        <v>3998</v>
      </c>
      <c r="T768" s="9">
        <v>500</v>
      </c>
      <c r="U768" s="9">
        <v>1999000</v>
      </c>
      <c r="V768" s="6" t="s">
        <v>39</v>
      </c>
      <c r="W768" t="s">
        <v>40</v>
      </c>
      <c r="X768">
        <v>7810687137</v>
      </c>
      <c r="Y768">
        <v>781401001</v>
      </c>
      <c r="Z768" s="3">
        <v>45702.715277777781</v>
      </c>
      <c r="AA768" s="6">
        <v>2025</v>
      </c>
      <c r="AB768" s="1">
        <v>45859</v>
      </c>
    </row>
    <row r="769" spans="1:28" x14ac:dyDescent="0.3">
      <c r="A769" s="4" t="s">
        <v>2924</v>
      </c>
      <c r="B769" s="6" t="s">
        <v>113</v>
      </c>
      <c r="C769" s="6" t="s">
        <v>114</v>
      </c>
      <c r="D769">
        <v>8601035838</v>
      </c>
      <c r="E769">
        <v>860201001</v>
      </c>
      <c r="F769" t="s">
        <v>52</v>
      </c>
      <c r="G769" t="s">
        <v>2925</v>
      </c>
      <c r="H769" s="1">
        <v>45674</v>
      </c>
      <c r="J769" s="8">
        <v>45685</v>
      </c>
      <c r="K769" s="1" t="s">
        <v>2872</v>
      </c>
      <c r="L769">
        <v>24008655</v>
      </c>
      <c r="M769" t="s">
        <v>2926</v>
      </c>
      <c r="N769" s="2">
        <v>18335250</v>
      </c>
      <c r="O769" t="s">
        <v>2853</v>
      </c>
      <c r="P769" s="6" t="s">
        <v>2277</v>
      </c>
      <c r="R769" t="s">
        <v>38</v>
      </c>
      <c r="S769" s="9">
        <v>4074.5</v>
      </c>
      <c r="T769" s="9">
        <v>4500</v>
      </c>
      <c r="U769" s="9">
        <v>18335250</v>
      </c>
      <c r="V769" s="6" t="s">
        <v>2927</v>
      </c>
      <c r="W769" t="s">
        <v>2928</v>
      </c>
      <c r="X769">
        <v>7707440087</v>
      </c>
      <c r="Y769">
        <v>770701001</v>
      </c>
      <c r="Z769" s="3">
        <v>45685.631944444445</v>
      </c>
      <c r="AA769" s="6">
        <v>2025</v>
      </c>
      <c r="AB769" s="1">
        <v>45876</v>
      </c>
    </row>
    <row r="770" spans="1:28" x14ac:dyDescent="0.3">
      <c r="A770" t="s">
        <v>2929</v>
      </c>
      <c r="B770" s="6" t="s">
        <v>394</v>
      </c>
      <c r="C770" s="6" t="s">
        <v>395</v>
      </c>
      <c r="D770">
        <v>7203000249</v>
      </c>
      <c r="E770">
        <v>720301001</v>
      </c>
      <c r="F770" t="s">
        <v>52</v>
      </c>
      <c r="G770" t="s">
        <v>2930</v>
      </c>
      <c r="H770" s="1">
        <v>45679</v>
      </c>
      <c r="J770" s="8">
        <v>45691</v>
      </c>
      <c r="K770" s="1" t="s">
        <v>2872</v>
      </c>
      <c r="L770" t="s">
        <v>2931</v>
      </c>
      <c r="M770" t="s">
        <v>2932</v>
      </c>
      <c r="N770" s="2">
        <v>699375</v>
      </c>
      <c r="O770" t="s">
        <v>273</v>
      </c>
      <c r="P770" s="6" t="s">
        <v>36</v>
      </c>
      <c r="Q770" t="s">
        <v>37</v>
      </c>
      <c r="R770" t="s">
        <v>240</v>
      </c>
      <c r="S770" s="9">
        <v>4662.5</v>
      </c>
      <c r="T770" s="9">
        <v>150</v>
      </c>
      <c r="U770" s="9">
        <v>699375</v>
      </c>
      <c r="V770" s="6" t="s">
        <v>401</v>
      </c>
      <c r="W770" t="s">
        <v>402</v>
      </c>
      <c r="X770">
        <v>720208302235</v>
      </c>
      <c r="Z770" s="3">
        <v>45702.522222222222</v>
      </c>
      <c r="AA770" s="6">
        <v>2025</v>
      </c>
      <c r="AB770" s="1">
        <v>46022</v>
      </c>
    </row>
    <row r="771" spans="1:28" x14ac:dyDescent="0.3">
      <c r="A771" t="s">
        <v>2933</v>
      </c>
      <c r="B771" s="6" t="s">
        <v>314</v>
      </c>
      <c r="C771" s="6" t="s">
        <v>164</v>
      </c>
      <c r="D771">
        <v>7733046721</v>
      </c>
      <c r="E771">
        <v>773301001</v>
      </c>
      <c r="F771" t="s">
        <v>52</v>
      </c>
      <c r="G771" t="s">
        <v>2934</v>
      </c>
      <c r="H771" s="1">
        <v>45679</v>
      </c>
      <c r="J771" s="8">
        <v>45691</v>
      </c>
      <c r="K771" s="1" t="s">
        <v>2872</v>
      </c>
      <c r="L771" t="s">
        <v>2935</v>
      </c>
      <c r="M771" t="s">
        <v>2936</v>
      </c>
      <c r="N771" s="2">
        <v>1050666</v>
      </c>
      <c r="O771" t="s">
        <v>440</v>
      </c>
      <c r="P771" s="6" t="s">
        <v>36</v>
      </c>
      <c r="R771" t="s">
        <v>240</v>
      </c>
      <c r="S771" s="9">
        <v>5253.33</v>
      </c>
      <c r="T771" s="9">
        <v>200</v>
      </c>
      <c r="U771" s="9">
        <v>1050666</v>
      </c>
      <c r="V771" s="6" t="s">
        <v>111</v>
      </c>
      <c r="W771" t="s">
        <v>59</v>
      </c>
      <c r="X771">
        <v>5262258091</v>
      </c>
      <c r="Y771">
        <v>526201001</v>
      </c>
      <c r="Z771" s="3">
        <v>45691.410416666666</v>
      </c>
      <c r="AA771" s="6">
        <v>2025</v>
      </c>
      <c r="AB771" s="1">
        <v>46022</v>
      </c>
    </row>
    <row r="772" spans="1:28" x14ac:dyDescent="0.3">
      <c r="A772" t="s">
        <v>2937</v>
      </c>
      <c r="B772" s="6" t="s">
        <v>361</v>
      </c>
      <c r="C772" s="6" t="s">
        <v>164</v>
      </c>
      <c r="D772">
        <v>7714338609</v>
      </c>
      <c r="E772">
        <v>771401001</v>
      </c>
      <c r="F772" t="s">
        <v>94</v>
      </c>
      <c r="G772" t="s">
        <v>2938</v>
      </c>
      <c r="H772" s="1">
        <v>45691</v>
      </c>
      <c r="J772" s="8">
        <v>45694</v>
      </c>
      <c r="K772" s="1" t="s">
        <v>2872</v>
      </c>
      <c r="L772" t="s">
        <v>2939</v>
      </c>
      <c r="M772" t="s">
        <v>2940</v>
      </c>
      <c r="N772" s="2">
        <v>19999800</v>
      </c>
      <c r="O772" t="s">
        <v>377</v>
      </c>
      <c r="P772" s="6" t="s">
        <v>2941</v>
      </c>
      <c r="Q772" t="s">
        <v>2942</v>
      </c>
      <c r="R772" t="s">
        <v>38</v>
      </c>
      <c r="S772" s="9">
        <v>3850</v>
      </c>
      <c r="T772" s="9">
        <f>U772/S772</f>
        <v>5194.7532467532465</v>
      </c>
      <c r="U772" s="9">
        <v>19999800</v>
      </c>
      <c r="V772" s="6" t="s">
        <v>251</v>
      </c>
      <c r="W772" t="s">
        <v>252</v>
      </c>
      <c r="X772">
        <v>5027262517</v>
      </c>
      <c r="Y772">
        <v>502701001</v>
      </c>
      <c r="Z772" s="3">
        <v>45695.612500000003</v>
      </c>
      <c r="AA772" s="6">
        <v>2025</v>
      </c>
      <c r="AB772" s="1">
        <v>46022</v>
      </c>
    </row>
    <row r="773" spans="1:28" x14ac:dyDescent="0.3">
      <c r="A773" t="s">
        <v>2943</v>
      </c>
      <c r="B773" s="6" t="s">
        <v>361</v>
      </c>
      <c r="C773" s="6" t="s">
        <v>164</v>
      </c>
      <c r="D773">
        <v>7714338609</v>
      </c>
      <c r="E773">
        <v>771401001</v>
      </c>
      <c r="F773" t="s">
        <v>94</v>
      </c>
      <c r="G773" t="s">
        <v>2938</v>
      </c>
      <c r="H773" s="1">
        <v>45691</v>
      </c>
      <c r="I773" t="s">
        <v>2944</v>
      </c>
      <c r="J773" s="8">
        <v>45694</v>
      </c>
      <c r="K773" s="1" t="s">
        <v>2872</v>
      </c>
      <c r="L773" t="s">
        <v>2945</v>
      </c>
      <c r="M773" t="s">
        <v>2946</v>
      </c>
      <c r="N773" s="2">
        <v>19999800</v>
      </c>
      <c r="O773" t="s">
        <v>2853</v>
      </c>
      <c r="P773" s="6" t="s">
        <v>2277</v>
      </c>
      <c r="Q773" t="s">
        <v>37</v>
      </c>
      <c r="R773" t="s">
        <v>38</v>
      </c>
      <c r="S773" s="9">
        <v>3695</v>
      </c>
      <c r="T773" s="9">
        <f>U773/S773</f>
        <v>5412.6657645466848</v>
      </c>
      <c r="U773" s="9">
        <v>19999800</v>
      </c>
      <c r="V773" s="6" t="s">
        <v>2947</v>
      </c>
      <c r="W773" t="s">
        <v>2948</v>
      </c>
      <c r="X773">
        <v>7720727040</v>
      </c>
      <c r="Y773">
        <v>772001001</v>
      </c>
      <c r="Z773" s="3">
        <v>45702.463194444441</v>
      </c>
      <c r="AA773" s="6">
        <v>2025</v>
      </c>
      <c r="AB773" s="1">
        <v>46022</v>
      </c>
    </row>
    <row r="774" spans="1:28" x14ac:dyDescent="0.3">
      <c r="A774" t="s">
        <v>2949</v>
      </c>
      <c r="B774" s="6" t="s">
        <v>147</v>
      </c>
      <c r="C774" s="6" t="s">
        <v>148</v>
      </c>
      <c r="D774">
        <v>274019476</v>
      </c>
      <c r="E774">
        <v>27401001</v>
      </c>
      <c r="F774" t="s">
        <v>149</v>
      </c>
      <c r="G774" t="s">
        <v>2177</v>
      </c>
      <c r="H774" s="1">
        <v>45691</v>
      </c>
      <c r="J774" s="8">
        <v>45694</v>
      </c>
      <c r="K774" s="1" t="s">
        <v>2872</v>
      </c>
      <c r="L774" t="s">
        <v>2950</v>
      </c>
      <c r="M774" t="s">
        <v>377</v>
      </c>
      <c r="N774" s="2">
        <v>132000</v>
      </c>
      <c r="O774" t="s">
        <v>2951</v>
      </c>
      <c r="P774" s="6" t="s">
        <v>36</v>
      </c>
      <c r="R774" t="s">
        <v>38</v>
      </c>
      <c r="S774" s="9">
        <v>8800</v>
      </c>
      <c r="T774" s="9">
        <v>15</v>
      </c>
      <c r="U774" s="9">
        <v>132000</v>
      </c>
      <c r="V774" s="6" t="s">
        <v>155</v>
      </c>
      <c r="W774" t="s">
        <v>59</v>
      </c>
      <c r="X774">
        <v>24202357780</v>
      </c>
      <c r="Z774" s="3">
        <v>45702.396527777775</v>
      </c>
      <c r="AA774" s="6">
        <v>2025</v>
      </c>
      <c r="AB774" s="1">
        <v>46022</v>
      </c>
    </row>
    <row r="775" spans="1:28" x14ac:dyDescent="0.3">
      <c r="A775" t="s">
        <v>2952</v>
      </c>
      <c r="B775" s="6" t="s">
        <v>121</v>
      </c>
      <c r="C775" s="6" t="s">
        <v>122</v>
      </c>
      <c r="D775">
        <v>5402155123</v>
      </c>
      <c r="E775">
        <v>540201001</v>
      </c>
      <c r="F775" t="s">
        <v>94</v>
      </c>
      <c r="G775" t="s">
        <v>2953</v>
      </c>
      <c r="H775" s="1">
        <v>45692</v>
      </c>
      <c r="I775" t="s">
        <v>2954</v>
      </c>
      <c r="J775" s="8">
        <v>45695</v>
      </c>
      <c r="K775" s="1" t="s">
        <v>2872</v>
      </c>
      <c r="L775" t="s">
        <v>2955</v>
      </c>
      <c r="M775" t="s">
        <v>2956</v>
      </c>
      <c r="N775" s="2">
        <v>462600</v>
      </c>
      <c r="O775" t="s">
        <v>494</v>
      </c>
      <c r="P775" s="6" t="s">
        <v>36</v>
      </c>
      <c r="R775" t="s">
        <v>38</v>
      </c>
      <c r="S775" s="9">
        <v>5140</v>
      </c>
      <c r="T775" s="9">
        <v>90</v>
      </c>
      <c r="U775" s="9">
        <v>462600</v>
      </c>
      <c r="V775" s="6" t="s">
        <v>1594</v>
      </c>
      <c r="W775" t="s">
        <v>59</v>
      </c>
      <c r="X775">
        <v>7716871971</v>
      </c>
      <c r="Y775">
        <v>450001001</v>
      </c>
      <c r="Z775" s="3">
        <v>45705.418749999997</v>
      </c>
      <c r="AA775" s="6">
        <v>2025</v>
      </c>
      <c r="AB775" s="1">
        <v>45991</v>
      </c>
    </row>
    <row r="776" spans="1:28" x14ac:dyDescent="0.3">
      <c r="A776" s="4" t="s">
        <v>2957</v>
      </c>
      <c r="B776" s="6" t="s">
        <v>361</v>
      </c>
      <c r="C776" s="6" t="s">
        <v>164</v>
      </c>
      <c r="D776">
        <v>7714338609</v>
      </c>
      <c r="E776">
        <v>771401001</v>
      </c>
      <c r="F776" t="s">
        <v>94</v>
      </c>
      <c r="G776" t="s">
        <v>2938</v>
      </c>
      <c r="H776" s="1">
        <v>45692</v>
      </c>
      <c r="J776" s="8">
        <v>45695</v>
      </c>
      <c r="K776" s="1" t="s">
        <v>2872</v>
      </c>
      <c r="L776" t="s">
        <v>2958</v>
      </c>
      <c r="M776" t="s">
        <v>2959</v>
      </c>
      <c r="N776" s="2">
        <v>19999800</v>
      </c>
      <c r="O776" t="s">
        <v>2853</v>
      </c>
      <c r="P776" s="6" t="s">
        <v>2277</v>
      </c>
      <c r="Q776" t="s">
        <v>37</v>
      </c>
      <c r="R776" t="s">
        <v>38</v>
      </c>
      <c r="S776" s="9">
        <v>3695</v>
      </c>
      <c r="T776" s="9">
        <f>U776/S776</f>
        <v>5412.6657645466848</v>
      </c>
      <c r="U776" s="9">
        <v>19999800</v>
      </c>
      <c r="V776" s="6" t="s">
        <v>2947</v>
      </c>
      <c r="W776" t="s">
        <v>2948</v>
      </c>
      <c r="X776">
        <v>7720727040</v>
      </c>
      <c r="Y776">
        <v>772001001</v>
      </c>
      <c r="Z776" s="3">
        <v>45698.340277777781</v>
      </c>
      <c r="AA776" s="6">
        <v>2025</v>
      </c>
      <c r="AB776" s="1">
        <v>46022</v>
      </c>
    </row>
    <row r="777" spans="1:28" x14ac:dyDescent="0.3">
      <c r="A777" t="s">
        <v>2960</v>
      </c>
      <c r="B777" s="6" t="s">
        <v>623</v>
      </c>
      <c r="C777" s="6" t="s">
        <v>164</v>
      </c>
      <c r="D777">
        <v>7734115329</v>
      </c>
      <c r="E777">
        <v>773401001</v>
      </c>
      <c r="F777" t="s">
        <v>52</v>
      </c>
      <c r="G777" t="s">
        <v>2961</v>
      </c>
      <c r="H777" s="1">
        <v>45684</v>
      </c>
      <c r="I777" t="s">
        <v>2962</v>
      </c>
      <c r="J777" s="8">
        <v>45695</v>
      </c>
      <c r="K777" s="1" t="s">
        <v>2872</v>
      </c>
      <c r="L777" t="s">
        <v>2963</v>
      </c>
      <c r="M777" t="s">
        <v>627</v>
      </c>
      <c r="N777" s="2">
        <v>280800</v>
      </c>
      <c r="O777" t="s">
        <v>273</v>
      </c>
      <c r="P777" s="6" t="s">
        <v>36</v>
      </c>
      <c r="R777" t="s">
        <v>240</v>
      </c>
      <c r="S777" s="9">
        <v>5200</v>
      </c>
      <c r="T777" s="9">
        <v>54</v>
      </c>
      <c r="U777" s="9">
        <v>280800</v>
      </c>
      <c r="V777" s="6" t="s">
        <v>111</v>
      </c>
      <c r="W777" t="s">
        <v>59</v>
      </c>
      <c r="X777">
        <v>5262258091</v>
      </c>
      <c r="Y777">
        <v>526201001</v>
      </c>
      <c r="Z777" s="3">
        <v>45699.257638888892</v>
      </c>
      <c r="AA777" s="6">
        <v>2025</v>
      </c>
      <c r="AB777" s="1">
        <v>46090</v>
      </c>
    </row>
    <row r="778" spans="1:28" x14ac:dyDescent="0.3">
      <c r="A778" t="s">
        <v>2964</v>
      </c>
      <c r="B778" s="6" t="s">
        <v>234</v>
      </c>
      <c r="C778" s="6" t="s">
        <v>235</v>
      </c>
      <c r="D778">
        <v>1501024759</v>
      </c>
      <c r="E778">
        <v>151601001</v>
      </c>
      <c r="F778" t="s">
        <v>52</v>
      </c>
      <c r="G778" t="s">
        <v>2965</v>
      </c>
      <c r="H778" s="1">
        <v>45686</v>
      </c>
      <c r="J778" s="8">
        <v>45698</v>
      </c>
      <c r="K778" s="1" t="s">
        <v>2872</v>
      </c>
      <c r="L778" t="s">
        <v>2966</v>
      </c>
      <c r="M778" t="s">
        <v>2967</v>
      </c>
      <c r="N778" s="2">
        <v>11301672.359999999</v>
      </c>
      <c r="O778" t="s">
        <v>2968</v>
      </c>
      <c r="P778" s="6" t="s">
        <v>36</v>
      </c>
      <c r="Q778" t="s">
        <v>37</v>
      </c>
      <c r="R778" t="s">
        <v>38</v>
      </c>
      <c r="S778" s="9">
        <v>8857.11</v>
      </c>
      <c r="T778" s="9">
        <v>1276</v>
      </c>
      <c r="U778" s="9">
        <v>11301672.359999999</v>
      </c>
      <c r="V778" s="6" t="s">
        <v>2969</v>
      </c>
      <c r="W778" t="s">
        <v>40</v>
      </c>
      <c r="X778">
        <v>1513065326</v>
      </c>
      <c r="Y778">
        <v>151301001</v>
      </c>
      <c r="Z778" s="3">
        <v>45698.53125</v>
      </c>
      <c r="AA778" s="6">
        <v>2025</v>
      </c>
      <c r="AB778" s="1">
        <v>45875</v>
      </c>
    </row>
    <row r="779" spans="1:28" x14ac:dyDescent="0.3">
      <c r="A779" t="s">
        <v>2970</v>
      </c>
      <c r="B779" s="6" t="s">
        <v>177</v>
      </c>
      <c r="C779" s="6" t="s">
        <v>62</v>
      </c>
      <c r="D779">
        <v>4027122645</v>
      </c>
      <c r="E779">
        <v>402701001</v>
      </c>
      <c r="F779" t="s">
        <v>44</v>
      </c>
      <c r="G779">
        <v>0</v>
      </c>
      <c r="J779" s="8">
        <v>45700</v>
      </c>
      <c r="K779" s="1" t="s">
        <v>2872</v>
      </c>
      <c r="L779" t="s">
        <v>2971</v>
      </c>
      <c r="M779" t="s">
        <v>179</v>
      </c>
      <c r="N779" s="2">
        <v>245000</v>
      </c>
      <c r="O779" t="s">
        <v>2842</v>
      </c>
      <c r="P779" s="6" t="s">
        <v>891</v>
      </c>
      <c r="Q779" t="s">
        <v>1993</v>
      </c>
      <c r="R779" t="s">
        <v>48</v>
      </c>
      <c r="S779" s="9">
        <v>6125</v>
      </c>
      <c r="T779" s="9">
        <v>40</v>
      </c>
      <c r="U779" s="9">
        <v>245000</v>
      </c>
      <c r="V779" s="6" t="s">
        <v>61</v>
      </c>
      <c r="W779" t="s">
        <v>59</v>
      </c>
      <c r="X779">
        <v>4027022305</v>
      </c>
      <c r="Y779">
        <v>402701001</v>
      </c>
      <c r="Z779" s="3">
        <v>45700.588194444441</v>
      </c>
      <c r="AA779" s="6">
        <v>2025</v>
      </c>
      <c r="AB779" s="1">
        <v>45777</v>
      </c>
    </row>
    <row r="780" spans="1:28" x14ac:dyDescent="0.3">
      <c r="A780" t="s">
        <v>2972</v>
      </c>
      <c r="B780" s="6" t="s">
        <v>42</v>
      </c>
      <c r="C780" s="6" t="s">
        <v>43</v>
      </c>
      <c r="D780">
        <v>5609027223</v>
      </c>
      <c r="E780">
        <v>560901001</v>
      </c>
      <c r="F780" t="s">
        <v>44</v>
      </c>
      <c r="G780" t="s">
        <v>2973</v>
      </c>
      <c r="H780" s="1">
        <v>45701</v>
      </c>
      <c r="J780" s="8">
        <v>45701</v>
      </c>
      <c r="K780" s="1" t="s">
        <v>2872</v>
      </c>
      <c r="L780" t="s">
        <v>2974</v>
      </c>
      <c r="M780" t="s">
        <v>2975</v>
      </c>
      <c r="N780" s="2">
        <v>25290000</v>
      </c>
      <c r="P780" s="6" t="s">
        <v>36</v>
      </c>
      <c r="Q780" t="s">
        <v>37</v>
      </c>
      <c r="R780" t="s">
        <v>48</v>
      </c>
      <c r="S780" s="9">
        <v>5058</v>
      </c>
      <c r="T780" s="9">
        <v>5000</v>
      </c>
      <c r="U780" s="9">
        <v>25290000</v>
      </c>
      <c r="V780" s="6" t="s">
        <v>39</v>
      </c>
      <c r="W780" t="s">
        <v>40</v>
      </c>
      <c r="AA780" s="6">
        <v>2025</v>
      </c>
      <c r="AB780" s="1">
        <v>46022</v>
      </c>
    </row>
    <row r="781" spans="1:28" x14ac:dyDescent="0.3">
      <c r="A781" t="s">
        <v>2976</v>
      </c>
      <c r="B781" s="6" t="s">
        <v>851</v>
      </c>
      <c r="C781" s="6" t="s">
        <v>852</v>
      </c>
      <c r="D781">
        <v>1435360610</v>
      </c>
      <c r="E781">
        <v>143501001</v>
      </c>
      <c r="F781" t="s">
        <v>94</v>
      </c>
      <c r="G781" t="s">
        <v>2977</v>
      </c>
      <c r="H781" s="1">
        <v>45698</v>
      </c>
      <c r="J781" s="8">
        <v>45701</v>
      </c>
      <c r="K781" s="1" t="s">
        <v>2872</v>
      </c>
      <c r="L781" t="s">
        <v>2977</v>
      </c>
      <c r="M781" t="s">
        <v>2978</v>
      </c>
      <c r="N781" s="2">
        <v>6408720</v>
      </c>
      <c r="O781" t="s">
        <v>494</v>
      </c>
      <c r="P781" s="6" t="s">
        <v>36</v>
      </c>
      <c r="R781" t="s">
        <v>38</v>
      </c>
      <c r="S781" s="9">
        <v>4140</v>
      </c>
      <c r="T781" s="9">
        <v>1548</v>
      </c>
      <c r="U781" s="9">
        <v>6408720</v>
      </c>
      <c r="V781" s="6" t="s">
        <v>39</v>
      </c>
      <c r="W781" t="s">
        <v>40</v>
      </c>
      <c r="X781">
        <v>7810687137</v>
      </c>
      <c r="Y781">
        <v>781401001</v>
      </c>
      <c r="Z781" s="3">
        <v>45702.359722222223</v>
      </c>
      <c r="AA781" s="6">
        <v>2025</v>
      </c>
      <c r="AB781" s="1">
        <v>46022</v>
      </c>
    </row>
    <row r="782" spans="1:28" x14ac:dyDescent="0.3">
      <c r="A782" t="s">
        <v>2976</v>
      </c>
      <c r="B782" s="6" t="s">
        <v>851</v>
      </c>
      <c r="C782" s="6" t="s">
        <v>852</v>
      </c>
      <c r="D782">
        <v>1435360610</v>
      </c>
      <c r="E782">
        <v>143501001</v>
      </c>
      <c r="F782" t="s">
        <v>94</v>
      </c>
      <c r="G782" t="s">
        <v>2977</v>
      </c>
      <c r="H782" s="1">
        <v>45698</v>
      </c>
      <c r="J782" s="8">
        <v>45701</v>
      </c>
      <c r="K782" s="1" t="s">
        <v>2872</v>
      </c>
      <c r="L782" t="s">
        <v>2977</v>
      </c>
      <c r="M782" t="s">
        <v>2978</v>
      </c>
      <c r="N782" s="2">
        <v>6408720</v>
      </c>
      <c r="P782" s="6" t="s">
        <v>36</v>
      </c>
      <c r="R782" t="s">
        <v>38</v>
      </c>
      <c r="S782" s="9">
        <v>4140</v>
      </c>
      <c r="T782" s="9">
        <v>1548</v>
      </c>
      <c r="U782" s="9">
        <v>6408720</v>
      </c>
      <c r="V782" s="6" t="s">
        <v>39</v>
      </c>
      <c r="W782" t="s">
        <v>40</v>
      </c>
      <c r="X782">
        <v>7810687137</v>
      </c>
      <c r="Y782">
        <v>781401001</v>
      </c>
      <c r="Z782">
        <v>45702.359722222223</v>
      </c>
      <c r="AA782" s="6">
        <v>2025</v>
      </c>
      <c r="AB782" s="1">
        <v>46022</v>
      </c>
    </row>
    <row r="783" spans="1:28" x14ac:dyDescent="0.3">
      <c r="A783" t="s">
        <v>2979</v>
      </c>
      <c r="B783" s="6" t="s">
        <v>501</v>
      </c>
      <c r="C783" s="6" t="s">
        <v>502</v>
      </c>
      <c r="D783">
        <v>6318197367</v>
      </c>
      <c r="E783">
        <v>631801001</v>
      </c>
      <c r="F783" t="s">
        <v>52</v>
      </c>
      <c r="G783" t="s">
        <v>2980</v>
      </c>
      <c r="H783" s="1">
        <v>45694</v>
      </c>
      <c r="I783" t="s">
        <v>2981</v>
      </c>
      <c r="J783" s="8">
        <v>45705</v>
      </c>
      <c r="K783" s="1" t="s">
        <v>2872</v>
      </c>
      <c r="L783" t="s">
        <v>2982</v>
      </c>
      <c r="M783" t="s">
        <v>2983</v>
      </c>
      <c r="N783" s="2">
        <v>1425900</v>
      </c>
      <c r="O783" t="s">
        <v>2236</v>
      </c>
      <c r="P783" s="6" t="s">
        <v>36</v>
      </c>
      <c r="R783" t="s">
        <v>48</v>
      </c>
      <c r="S783" s="9">
        <v>4900</v>
      </c>
      <c r="T783" s="9">
        <v>291</v>
      </c>
      <c r="U783" s="9">
        <v>1425900</v>
      </c>
      <c r="V783" s="6" t="s">
        <v>507</v>
      </c>
      <c r="W783" t="s">
        <v>59</v>
      </c>
      <c r="X783">
        <v>6950229110</v>
      </c>
      <c r="Y783">
        <v>695001001</v>
      </c>
      <c r="Z783" s="3">
        <v>45707.370833333334</v>
      </c>
      <c r="AA783" s="6">
        <v>2025</v>
      </c>
      <c r="AB783" s="1">
        <v>46022</v>
      </c>
    </row>
    <row r="784" spans="1:28" x14ac:dyDescent="0.3">
      <c r="A784" t="s">
        <v>2984</v>
      </c>
      <c r="B784" s="6" t="s">
        <v>752</v>
      </c>
      <c r="C784" s="6" t="s">
        <v>213</v>
      </c>
      <c r="D784">
        <v>1654017170</v>
      </c>
      <c r="E784">
        <v>165501001</v>
      </c>
      <c r="F784" t="s">
        <v>52</v>
      </c>
      <c r="G784" t="s">
        <v>2985</v>
      </c>
      <c r="H784" s="1">
        <v>45695</v>
      </c>
      <c r="I784" t="s">
        <v>2986</v>
      </c>
      <c r="J784" s="8">
        <v>45706</v>
      </c>
      <c r="K784" s="1" t="s">
        <v>2872</v>
      </c>
      <c r="L784" t="s">
        <v>2985</v>
      </c>
      <c r="M784" t="s">
        <v>2987</v>
      </c>
      <c r="N784" s="2">
        <v>145529714.90000001</v>
      </c>
      <c r="O784" t="s">
        <v>1912</v>
      </c>
      <c r="P784" s="6" t="s">
        <v>891</v>
      </c>
      <c r="Q784" t="s">
        <v>37</v>
      </c>
      <c r="R784" t="s">
        <v>38</v>
      </c>
      <c r="S784" s="9">
        <v>3960.1</v>
      </c>
      <c r="T784" s="9">
        <v>12250</v>
      </c>
      <c r="U784" s="9">
        <v>48511225</v>
      </c>
      <c r="V784" s="6" t="s">
        <v>90</v>
      </c>
      <c r="W784" t="s">
        <v>59</v>
      </c>
      <c r="X784">
        <v>5259153331</v>
      </c>
      <c r="Y784">
        <v>525901001</v>
      </c>
      <c r="Z784" s="3">
        <v>45706.688194444447</v>
      </c>
      <c r="AA784" s="6">
        <v>2025</v>
      </c>
      <c r="AB784" s="1">
        <v>45985</v>
      </c>
    </row>
    <row r="785" spans="1:28" x14ac:dyDescent="0.3">
      <c r="A785" s="4" t="s">
        <v>2988</v>
      </c>
      <c r="B785" s="6" t="s">
        <v>524</v>
      </c>
      <c r="C785" s="6" t="s">
        <v>525</v>
      </c>
      <c r="D785">
        <v>721060278</v>
      </c>
      <c r="E785">
        <v>72501001</v>
      </c>
      <c r="F785" t="s">
        <v>149</v>
      </c>
      <c r="G785" t="s">
        <v>2989</v>
      </c>
      <c r="H785" s="1">
        <v>45701</v>
      </c>
      <c r="I785" t="s">
        <v>2990</v>
      </c>
      <c r="J785" s="8">
        <v>45706</v>
      </c>
      <c r="K785" s="1" t="s">
        <v>2872</v>
      </c>
      <c r="L785" t="s">
        <v>2991</v>
      </c>
      <c r="M785" t="s">
        <v>377</v>
      </c>
      <c r="N785" s="2">
        <v>5352.67</v>
      </c>
      <c r="O785" t="s">
        <v>377</v>
      </c>
      <c r="P785" s="6" t="s">
        <v>36</v>
      </c>
      <c r="R785" t="s">
        <v>38</v>
      </c>
      <c r="S785" s="9">
        <v>5352.67</v>
      </c>
      <c r="T785" s="9">
        <v>1</v>
      </c>
      <c r="U785" s="9">
        <v>5352.67</v>
      </c>
      <c r="V785" s="6" t="s">
        <v>39</v>
      </c>
      <c r="W785" t="s">
        <v>40</v>
      </c>
      <c r="X785">
        <v>7810687137</v>
      </c>
      <c r="Y785">
        <v>781401001</v>
      </c>
      <c r="Z785" s="3">
        <v>45706.491666666669</v>
      </c>
      <c r="AA785" s="6">
        <v>2025</v>
      </c>
      <c r="AB785" s="1">
        <v>46022</v>
      </c>
    </row>
    <row r="786" spans="1:28" x14ac:dyDescent="0.3">
      <c r="A786" s="4" t="s">
        <v>2992</v>
      </c>
      <c r="B786" s="6" t="s">
        <v>524</v>
      </c>
      <c r="C786" s="6" t="s">
        <v>525</v>
      </c>
      <c r="D786">
        <v>721060278</v>
      </c>
      <c r="E786">
        <v>72501001</v>
      </c>
      <c r="F786" t="s">
        <v>149</v>
      </c>
      <c r="G786" t="s">
        <v>2993</v>
      </c>
      <c r="H786" s="1">
        <v>45701</v>
      </c>
      <c r="I786" t="s">
        <v>2990</v>
      </c>
      <c r="J786" s="8">
        <v>45706</v>
      </c>
      <c r="K786" s="1" t="s">
        <v>2872</v>
      </c>
      <c r="L786" t="s">
        <v>2994</v>
      </c>
      <c r="M786" t="s">
        <v>377</v>
      </c>
      <c r="N786" s="2">
        <v>1593681.96</v>
      </c>
      <c r="O786" t="s">
        <v>377</v>
      </c>
      <c r="P786" s="6" t="s">
        <v>36</v>
      </c>
      <c r="R786" t="s">
        <v>38</v>
      </c>
      <c r="S786" s="9">
        <v>5330.04</v>
      </c>
      <c r="T786" s="9">
        <v>299</v>
      </c>
      <c r="U786" s="9">
        <v>1593681.96</v>
      </c>
      <c r="V786" s="6" t="s">
        <v>39</v>
      </c>
      <c r="W786" t="s">
        <v>40</v>
      </c>
      <c r="X786">
        <v>7810687137</v>
      </c>
      <c r="Y786">
        <v>781401001</v>
      </c>
      <c r="Z786" s="3">
        <v>45706.48541666667</v>
      </c>
      <c r="AA786" s="6">
        <v>2025</v>
      </c>
      <c r="AB786" s="1">
        <v>46022</v>
      </c>
    </row>
    <row r="787" spans="1:28" x14ac:dyDescent="0.3">
      <c r="A787" s="4" t="s">
        <v>2995</v>
      </c>
      <c r="B787" s="6" t="s">
        <v>524</v>
      </c>
      <c r="C787" s="6" t="s">
        <v>525</v>
      </c>
      <c r="D787">
        <v>721060278</v>
      </c>
      <c r="E787">
        <v>72501001</v>
      </c>
      <c r="F787" t="s">
        <v>149</v>
      </c>
      <c r="G787" t="s">
        <v>2996</v>
      </c>
      <c r="H787" s="1">
        <v>45701</v>
      </c>
      <c r="I787" t="s">
        <v>2990</v>
      </c>
      <c r="J787" s="8">
        <v>45706</v>
      </c>
      <c r="K787" s="1" t="s">
        <v>2872</v>
      </c>
      <c r="L787" t="s">
        <v>2997</v>
      </c>
      <c r="M787" t="s">
        <v>377</v>
      </c>
      <c r="N787" s="2">
        <v>4797036</v>
      </c>
      <c r="O787" t="s">
        <v>377</v>
      </c>
      <c r="P787" s="6" t="s">
        <v>36</v>
      </c>
      <c r="R787" t="s">
        <v>38</v>
      </c>
      <c r="S787" s="9">
        <v>5330.04</v>
      </c>
      <c r="T787" s="9">
        <v>900</v>
      </c>
      <c r="U787" s="9">
        <v>4797036</v>
      </c>
      <c r="V787" s="6" t="s">
        <v>39</v>
      </c>
      <c r="W787" t="s">
        <v>40</v>
      </c>
      <c r="X787">
        <v>7810687137</v>
      </c>
      <c r="Y787">
        <v>781401001</v>
      </c>
      <c r="Z787" s="3">
        <v>45706.488194444442</v>
      </c>
      <c r="AA787" s="6">
        <v>2025</v>
      </c>
      <c r="AB787" s="1">
        <v>46022</v>
      </c>
    </row>
    <row r="788" spans="1:28" x14ac:dyDescent="0.3">
      <c r="A788" s="4" t="s">
        <v>2998</v>
      </c>
      <c r="B788" s="6" t="s">
        <v>524</v>
      </c>
      <c r="C788" s="6" t="s">
        <v>525</v>
      </c>
      <c r="D788">
        <v>721060278</v>
      </c>
      <c r="E788">
        <v>72501001</v>
      </c>
      <c r="F788" t="s">
        <v>149</v>
      </c>
      <c r="G788" t="s">
        <v>2999</v>
      </c>
      <c r="H788" s="1">
        <v>45701</v>
      </c>
      <c r="I788" t="s">
        <v>2990</v>
      </c>
      <c r="J788" s="8">
        <v>45706</v>
      </c>
      <c r="K788" s="1" t="s">
        <v>2872</v>
      </c>
      <c r="L788" t="s">
        <v>3000</v>
      </c>
      <c r="M788" t="s">
        <v>377</v>
      </c>
      <c r="N788" s="2">
        <v>4530534</v>
      </c>
      <c r="O788" t="s">
        <v>377</v>
      </c>
      <c r="P788" s="6" t="s">
        <v>36</v>
      </c>
      <c r="R788" t="s">
        <v>38</v>
      </c>
      <c r="S788" s="9">
        <v>5330.04</v>
      </c>
      <c r="T788" s="9">
        <v>850</v>
      </c>
      <c r="U788" s="9">
        <v>4530534</v>
      </c>
      <c r="V788" s="6" t="s">
        <v>39</v>
      </c>
      <c r="W788" t="s">
        <v>40</v>
      </c>
      <c r="X788">
        <v>7810687137</v>
      </c>
      <c r="Y788">
        <v>781401001</v>
      </c>
      <c r="Z788" s="3">
        <v>45706.488888888889</v>
      </c>
      <c r="AA788" s="6">
        <v>2025</v>
      </c>
      <c r="AB788" s="1">
        <v>46022</v>
      </c>
    </row>
    <row r="789" spans="1:28" x14ac:dyDescent="0.3">
      <c r="A789" s="4" t="s">
        <v>3001</v>
      </c>
      <c r="B789" s="6" t="s">
        <v>524</v>
      </c>
      <c r="C789" s="6" t="s">
        <v>525</v>
      </c>
      <c r="D789">
        <v>721060278</v>
      </c>
      <c r="E789">
        <v>72501001</v>
      </c>
      <c r="F789" t="s">
        <v>149</v>
      </c>
      <c r="G789" t="s">
        <v>3002</v>
      </c>
      <c r="H789" s="1">
        <v>45701</v>
      </c>
      <c r="I789" t="s">
        <v>2990</v>
      </c>
      <c r="J789" s="8">
        <v>45706</v>
      </c>
      <c r="K789" s="1" t="s">
        <v>2872</v>
      </c>
      <c r="L789" t="s">
        <v>3003</v>
      </c>
      <c r="M789" t="s">
        <v>377</v>
      </c>
      <c r="N789" s="2">
        <v>4956937.2</v>
      </c>
      <c r="O789" t="s">
        <v>377</v>
      </c>
      <c r="P789" s="6" t="s">
        <v>36</v>
      </c>
      <c r="R789" t="s">
        <v>38</v>
      </c>
      <c r="S789" s="9">
        <v>5330.04</v>
      </c>
      <c r="T789" s="9">
        <v>930</v>
      </c>
      <c r="U789" s="9">
        <v>4956937.2</v>
      </c>
      <c r="V789" s="6" t="s">
        <v>39</v>
      </c>
      <c r="W789" t="s">
        <v>40</v>
      </c>
      <c r="X789">
        <v>7810687137</v>
      </c>
      <c r="Y789">
        <v>781401001</v>
      </c>
      <c r="Z789" s="3">
        <v>45706.484027777777</v>
      </c>
      <c r="AA789" s="6">
        <v>2025</v>
      </c>
      <c r="AB789" s="1">
        <v>46022</v>
      </c>
    </row>
    <row r="790" spans="1:28" x14ac:dyDescent="0.3">
      <c r="A790" s="4" t="s">
        <v>3004</v>
      </c>
      <c r="B790" s="6" t="s">
        <v>524</v>
      </c>
      <c r="C790" s="6" t="s">
        <v>525</v>
      </c>
      <c r="D790">
        <v>721060278</v>
      </c>
      <c r="E790">
        <v>72501001</v>
      </c>
      <c r="F790" t="s">
        <v>149</v>
      </c>
      <c r="G790" t="s">
        <v>3005</v>
      </c>
      <c r="H790" s="1">
        <v>45701</v>
      </c>
      <c r="I790" t="s">
        <v>2990</v>
      </c>
      <c r="J790" s="8">
        <v>45706</v>
      </c>
      <c r="K790" s="1" t="s">
        <v>2872</v>
      </c>
      <c r="L790" t="s">
        <v>3006</v>
      </c>
      <c r="M790" t="s">
        <v>377</v>
      </c>
      <c r="N790" s="2">
        <v>4903636.8</v>
      </c>
      <c r="O790" t="s">
        <v>377</v>
      </c>
      <c r="P790" s="6" t="s">
        <v>36</v>
      </c>
      <c r="R790" t="s">
        <v>38</v>
      </c>
      <c r="S790" s="9">
        <v>5330.04</v>
      </c>
      <c r="T790" s="9">
        <v>920</v>
      </c>
      <c r="U790" s="9">
        <v>4903636.8</v>
      </c>
      <c r="V790" s="6" t="s">
        <v>39</v>
      </c>
      <c r="W790" t="s">
        <v>40</v>
      </c>
      <c r="X790">
        <v>7810687137</v>
      </c>
      <c r="Y790">
        <v>781401001</v>
      </c>
      <c r="Z790" s="3">
        <v>45706.482638888891</v>
      </c>
      <c r="AA790" s="6">
        <v>2025</v>
      </c>
      <c r="AB790" s="1">
        <v>46022</v>
      </c>
    </row>
    <row r="791" spans="1:28" x14ac:dyDescent="0.3">
      <c r="A791" s="4" t="s">
        <v>3007</v>
      </c>
      <c r="B791" s="6" t="s">
        <v>524</v>
      </c>
      <c r="C791" s="6" t="s">
        <v>525</v>
      </c>
      <c r="D791">
        <v>721060278</v>
      </c>
      <c r="E791">
        <v>72501001</v>
      </c>
      <c r="F791" t="s">
        <v>149</v>
      </c>
      <c r="G791" t="s">
        <v>3008</v>
      </c>
      <c r="H791" s="1">
        <v>45701</v>
      </c>
      <c r="I791" t="s">
        <v>2990</v>
      </c>
      <c r="J791" s="8">
        <v>45706</v>
      </c>
      <c r="K791" s="1" t="s">
        <v>2872</v>
      </c>
      <c r="L791" t="s">
        <v>3009</v>
      </c>
      <c r="M791" t="s">
        <v>377</v>
      </c>
      <c r="N791" s="2">
        <v>4876986.5999999996</v>
      </c>
      <c r="O791" t="s">
        <v>377</v>
      </c>
      <c r="P791" s="6" t="s">
        <v>36</v>
      </c>
      <c r="R791" t="s">
        <v>38</v>
      </c>
      <c r="S791" s="9">
        <v>5330.04</v>
      </c>
      <c r="T791" s="9">
        <v>915</v>
      </c>
      <c r="U791" s="9">
        <v>4876986.5999999996</v>
      </c>
      <c r="V791" s="6" t="s">
        <v>39</v>
      </c>
      <c r="W791" t="s">
        <v>40</v>
      </c>
      <c r="X791">
        <v>7810687137</v>
      </c>
      <c r="Y791">
        <v>781401001</v>
      </c>
      <c r="Z791" s="3">
        <v>45706.486111111109</v>
      </c>
      <c r="AA791" s="6">
        <v>2025</v>
      </c>
      <c r="AB791" s="1">
        <v>46022</v>
      </c>
    </row>
    <row r="792" spans="1:28" x14ac:dyDescent="0.3">
      <c r="A792" s="4" t="s">
        <v>3010</v>
      </c>
      <c r="B792" s="6" t="s">
        <v>524</v>
      </c>
      <c r="C792" s="6" t="s">
        <v>525</v>
      </c>
      <c r="D792">
        <v>721060278</v>
      </c>
      <c r="E792">
        <v>72501001</v>
      </c>
      <c r="F792" t="s">
        <v>149</v>
      </c>
      <c r="G792" t="s">
        <v>2996</v>
      </c>
      <c r="H792" s="1">
        <v>45701</v>
      </c>
      <c r="I792" t="s">
        <v>2990</v>
      </c>
      <c r="J792" s="8">
        <v>45706</v>
      </c>
      <c r="K792" s="1" t="s">
        <v>2872</v>
      </c>
      <c r="L792" t="s">
        <v>3011</v>
      </c>
      <c r="M792" t="s">
        <v>377</v>
      </c>
      <c r="N792" s="2">
        <v>4797036</v>
      </c>
      <c r="O792" t="s">
        <v>377</v>
      </c>
      <c r="P792" s="6" t="s">
        <v>36</v>
      </c>
      <c r="R792" t="s">
        <v>38</v>
      </c>
      <c r="S792" s="9">
        <v>5330.04</v>
      </c>
      <c r="T792" s="9">
        <v>900</v>
      </c>
      <c r="U792" s="9">
        <v>4797036</v>
      </c>
      <c r="V792" s="6" t="s">
        <v>39</v>
      </c>
      <c r="W792" t="s">
        <v>40</v>
      </c>
      <c r="X792">
        <v>7810687137</v>
      </c>
      <c r="Y792">
        <v>781401001</v>
      </c>
      <c r="Z792" s="3">
        <v>45706.484722222223</v>
      </c>
      <c r="AA792" s="6">
        <v>2025</v>
      </c>
      <c r="AB792" s="1">
        <v>46022</v>
      </c>
    </row>
    <row r="793" spans="1:28" x14ac:dyDescent="0.3">
      <c r="A793" t="s">
        <v>3012</v>
      </c>
      <c r="B793" s="6" t="s">
        <v>524</v>
      </c>
      <c r="C793" s="6" t="s">
        <v>525</v>
      </c>
      <c r="D793">
        <v>721060278</v>
      </c>
      <c r="E793">
        <v>72501001</v>
      </c>
      <c r="F793" t="s">
        <v>149</v>
      </c>
      <c r="G793" t="s">
        <v>3013</v>
      </c>
      <c r="H793" s="1">
        <v>45701</v>
      </c>
      <c r="I793" t="s">
        <v>2990</v>
      </c>
      <c r="J793" s="8">
        <v>45706</v>
      </c>
      <c r="K793" s="1" t="s">
        <v>2872</v>
      </c>
      <c r="L793" t="s">
        <v>3014</v>
      </c>
      <c r="M793" t="s">
        <v>377</v>
      </c>
      <c r="N793" s="2">
        <v>4983596.75</v>
      </c>
      <c r="O793" t="s">
        <v>377</v>
      </c>
      <c r="P793" s="6" t="s">
        <v>36</v>
      </c>
      <c r="Q793" t="s">
        <v>1993</v>
      </c>
      <c r="R793" t="s">
        <v>38</v>
      </c>
      <c r="S793" s="9">
        <v>5330.05</v>
      </c>
      <c r="T793" s="9">
        <v>935</v>
      </c>
      <c r="U793" s="9">
        <v>4983596.75</v>
      </c>
      <c r="V793" s="6" t="s">
        <v>39</v>
      </c>
      <c r="W793" t="s">
        <v>40</v>
      </c>
      <c r="X793">
        <v>7810687137</v>
      </c>
      <c r="Y793">
        <v>781401001</v>
      </c>
      <c r="Z793" s="3">
        <v>45706.497916666667</v>
      </c>
      <c r="AA793" s="6">
        <v>2025</v>
      </c>
      <c r="AB793" s="1">
        <v>46022</v>
      </c>
    </row>
    <row r="794" spans="1:28" x14ac:dyDescent="0.3">
      <c r="A794" s="4" t="s">
        <v>3015</v>
      </c>
      <c r="B794" s="6" t="s">
        <v>752</v>
      </c>
      <c r="C794" s="6" t="s">
        <v>213</v>
      </c>
      <c r="D794">
        <v>1654017170</v>
      </c>
      <c r="E794">
        <v>165501001</v>
      </c>
      <c r="F794" t="s">
        <v>52</v>
      </c>
      <c r="G794" t="s">
        <v>2985</v>
      </c>
      <c r="H794" s="1">
        <v>45695</v>
      </c>
      <c r="I794" t="s">
        <v>2986</v>
      </c>
      <c r="J794" s="8">
        <v>45706</v>
      </c>
      <c r="K794" s="1" t="s">
        <v>2872</v>
      </c>
      <c r="L794" t="s">
        <v>2985</v>
      </c>
      <c r="M794" t="s">
        <v>2987</v>
      </c>
      <c r="N794" s="2">
        <v>145529714.90000001</v>
      </c>
      <c r="O794" t="s">
        <v>3016</v>
      </c>
      <c r="P794" s="6" t="s">
        <v>1814</v>
      </c>
      <c r="Q794" t="s">
        <v>37</v>
      </c>
      <c r="R794" t="s">
        <v>38</v>
      </c>
      <c r="S794" s="9">
        <v>3960.1</v>
      </c>
      <c r="T794" s="9">
        <v>12250</v>
      </c>
      <c r="U794" s="9">
        <v>48511225</v>
      </c>
      <c r="V794" s="6" t="s">
        <v>90</v>
      </c>
      <c r="W794" t="s">
        <v>59</v>
      </c>
      <c r="X794">
        <v>5259153331</v>
      </c>
      <c r="Y794">
        <v>525901001</v>
      </c>
      <c r="Z794" s="3">
        <v>45706.688194444447</v>
      </c>
      <c r="AA794" s="6">
        <v>2025</v>
      </c>
      <c r="AB794" s="1">
        <v>45985</v>
      </c>
    </row>
    <row r="795" spans="1:28" x14ac:dyDescent="0.3">
      <c r="A795" t="s">
        <v>2984</v>
      </c>
      <c r="B795" s="6" t="s">
        <v>752</v>
      </c>
      <c r="C795" s="6" t="s">
        <v>213</v>
      </c>
      <c r="D795">
        <v>1654017170</v>
      </c>
      <c r="E795">
        <v>165501001</v>
      </c>
      <c r="F795" t="s">
        <v>52</v>
      </c>
      <c r="G795" t="s">
        <v>2985</v>
      </c>
      <c r="H795" s="1">
        <v>45695</v>
      </c>
      <c r="I795" t="s">
        <v>2986</v>
      </c>
      <c r="J795" s="8">
        <v>45706</v>
      </c>
      <c r="K795" s="1" t="s">
        <v>2872</v>
      </c>
      <c r="L795" t="s">
        <v>2985</v>
      </c>
      <c r="M795" t="s">
        <v>2987</v>
      </c>
      <c r="N795" s="2">
        <v>145529714.90000001</v>
      </c>
      <c r="O795" t="s">
        <v>3016</v>
      </c>
      <c r="P795" s="6" t="s">
        <v>2277</v>
      </c>
      <c r="R795" t="s">
        <v>38</v>
      </c>
      <c r="S795" s="9">
        <v>3960.1</v>
      </c>
      <c r="T795" s="9">
        <v>12249</v>
      </c>
      <c r="U795" s="9">
        <v>48507264.899999999</v>
      </c>
      <c r="V795" s="6" t="s">
        <v>90</v>
      </c>
      <c r="W795" t="s">
        <v>59</v>
      </c>
      <c r="X795">
        <v>5259153331</v>
      </c>
      <c r="Y795">
        <v>525901001</v>
      </c>
      <c r="Z795" s="3">
        <v>45706.688194444447</v>
      </c>
      <c r="AA795" s="6">
        <v>2025</v>
      </c>
      <c r="AB795" s="1">
        <v>45985</v>
      </c>
    </row>
    <row r="796" spans="1:28" x14ac:dyDescent="0.3">
      <c r="A796" t="s">
        <v>3017</v>
      </c>
      <c r="B796" s="6" t="s">
        <v>42</v>
      </c>
      <c r="C796" s="6" t="s">
        <v>43</v>
      </c>
      <c r="D796">
        <v>5609027223</v>
      </c>
      <c r="E796">
        <v>560901001</v>
      </c>
      <c r="F796" t="s">
        <v>44</v>
      </c>
      <c r="G796" t="s">
        <v>3018</v>
      </c>
      <c r="H796" s="1">
        <v>45706</v>
      </c>
      <c r="I796" t="s">
        <v>3019</v>
      </c>
      <c r="J796" s="8">
        <v>45706</v>
      </c>
      <c r="K796" s="1" t="s">
        <v>2872</v>
      </c>
      <c r="L796" t="s">
        <v>3020</v>
      </c>
      <c r="M796" t="s">
        <v>3021</v>
      </c>
      <c r="N796" s="2">
        <v>430100</v>
      </c>
      <c r="O796" t="s">
        <v>3022</v>
      </c>
      <c r="P796" s="6" t="s">
        <v>891</v>
      </c>
      <c r="Q796" t="s">
        <v>37</v>
      </c>
      <c r="R796" t="s">
        <v>48</v>
      </c>
      <c r="S796" s="9">
        <v>5060</v>
      </c>
      <c r="T796" s="9">
        <v>85</v>
      </c>
      <c r="U796" s="9">
        <v>430100</v>
      </c>
      <c r="V796" s="6" t="s">
        <v>39</v>
      </c>
      <c r="W796" t="s">
        <v>40</v>
      </c>
      <c r="Z796" s="3"/>
      <c r="AA796" s="6">
        <v>2025</v>
      </c>
      <c r="AB796" s="1">
        <v>46022</v>
      </c>
    </row>
    <row r="797" spans="1:28" x14ac:dyDescent="0.3">
      <c r="A797" t="s">
        <v>3023</v>
      </c>
      <c r="B797" s="6" t="s">
        <v>725</v>
      </c>
      <c r="C797" s="6" t="s">
        <v>164</v>
      </c>
      <c r="D797">
        <v>7731038690</v>
      </c>
      <c r="E797">
        <v>773101001</v>
      </c>
      <c r="F797" t="s">
        <v>149</v>
      </c>
      <c r="G797" t="s">
        <v>3024</v>
      </c>
      <c r="H797" s="1">
        <v>45702</v>
      </c>
      <c r="J797" s="8">
        <v>45707</v>
      </c>
      <c r="K797" s="1" t="s">
        <v>2872</v>
      </c>
      <c r="L797" t="s">
        <v>3025</v>
      </c>
      <c r="M797" t="s">
        <v>377</v>
      </c>
      <c r="N797" s="2">
        <v>456000</v>
      </c>
      <c r="O797" t="s">
        <v>2568</v>
      </c>
      <c r="P797" s="6" t="s">
        <v>36</v>
      </c>
      <c r="R797" t="s">
        <v>38</v>
      </c>
      <c r="S797" s="9">
        <v>5700</v>
      </c>
      <c r="T797" s="9">
        <v>80</v>
      </c>
      <c r="U797" s="9">
        <v>456000</v>
      </c>
      <c r="V797" s="6" t="s">
        <v>1635</v>
      </c>
      <c r="W797" t="s">
        <v>129</v>
      </c>
      <c r="X797">
        <v>7721754712</v>
      </c>
      <c r="Y797">
        <v>502701001</v>
      </c>
      <c r="Z797" s="3">
        <v>45707.62777777778</v>
      </c>
      <c r="AA797" s="6">
        <v>2025</v>
      </c>
      <c r="AB797" s="1">
        <v>46023</v>
      </c>
    </row>
    <row r="798" spans="1:28" x14ac:dyDescent="0.3">
      <c r="A798" t="s">
        <v>3026</v>
      </c>
      <c r="B798" s="6" t="s">
        <v>220</v>
      </c>
      <c r="C798" s="6" t="s">
        <v>221</v>
      </c>
      <c r="D798">
        <v>5024068656</v>
      </c>
      <c r="E798">
        <v>502401001</v>
      </c>
      <c r="F798" t="s">
        <v>52</v>
      </c>
      <c r="G798" t="s">
        <v>3027</v>
      </c>
      <c r="H798" s="1">
        <v>45693</v>
      </c>
      <c r="J798" s="8">
        <v>45707</v>
      </c>
      <c r="K798" s="1" t="s">
        <v>2872</v>
      </c>
      <c r="L798" t="s">
        <v>3028</v>
      </c>
      <c r="M798" t="s">
        <v>3029</v>
      </c>
      <c r="N798" s="2">
        <v>268405.74</v>
      </c>
      <c r="O798" t="s">
        <v>494</v>
      </c>
      <c r="P798" s="6" t="s">
        <v>36</v>
      </c>
      <c r="R798" t="s">
        <v>38</v>
      </c>
      <c r="S798" s="9">
        <v>4970.4799999999996</v>
      </c>
      <c r="T798" s="9">
        <v>54</v>
      </c>
      <c r="U798" s="9">
        <v>268405.74</v>
      </c>
      <c r="V798" s="6" t="s">
        <v>128</v>
      </c>
      <c r="W798" t="s">
        <v>129</v>
      </c>
      <c r="X798">
        <v>274110679</v>
      </c>
      <c r="Y798">
        <v>500801001</v>
      </c>
      <c r="Z798" s="3">
        <v>45707.629166666666</v>
      </c>
      <c r="AA798" s="6">
        <v>2025</v>
      </c>
      <c r="AB798" s="1">
        <v>45749</v>
      </c>
    </row>
    <row r="799" spans="1:28" x14ac:dyDescent="0.3">
      <c r="A799" t="s">
        <v>3030</v>
      </c>
      <c r="B799" s="6" t="s">
        <v>220</v>
      </c>
      <c r="C799" s="6" t="s">
        <v>221</v>
      </c>
      <c r="D799">
        <v>5024068656</v>
      </c>
      <c r="E799">
        <v>502401001</v>
      </c>
      <c r="F799" t="s">
        <v>52</v>
      </c>
      <c r="G799" t="s">
        <v>3031</v>
      </c>
      <c r="H799" s="1">
        <v>45693</v>
      </c>
      <c r="J799" s="8">
        <v>45707</v>
      </c>
      <c r="K799" s="1" t="s">
        <v>2872</v>
      </c>
      <c r="L799" t="s">
        <v>3031</v>
      </c>
      <c r="M799" t="s">
        <v>3032</v>
      </c>
      <c r="N799" s="2">
        <v>112187.97</v>
      </c>
      <c r="O799" t="s">
        <v>494</v>
      </c>
      <c r="P799" s="6" t="s">
        <v>36</v>
      </c>
      <c r="R799" t="s">
        <v>38</v>
      </c>
      <c r="S799" s="9">
        <v>5904.63</v>
      </c>
      <c r="T799" s="9">
        <v>19</v>
      </c>
      <c r="U799" s="9">
        <v>112187.97</v>
      </c>
      <c r="V799" s="6" t="s">
        <v>128</v>
      </c>
      <c r="W799" t="s">
        <v>129</v>
      </c>
      <c r="X799">
        <v>274110679</v>
      </c>
      <c r="Y799">
        <v>500801001</v>
      </c>
      <c r="Z799" s="3">
        <v>45707.668055555558</v>
      </c>
      <c r="AA799" s="6">
        <v>2025</v>
      </c>
      <c r="AB799" s="1">
        <v>45749</v>
      </c>
    </row>
    <row r="800" spans="1:28" x14ac:dyDescent="0.3">
      <c r="A800" t="s">
        <v>3033</v>
      </c>
      <c r="B800" s="6" t="s">
        <v>220</v>
      </c>
      <c r="C800" s="6" t="s">
        <v>221</v>
      </c>
      <c r="D800">
        <v>5024068656</v>
      </c>
      <c r="E800">
        <v>502401001</v>
      </c>
      <c r="F800" t="s">
        <v>52</v>
      </c>
      <c r="G800" t="s">
        <v>3034</v>
      </c>
      <c r="H800" s="1">
        <v>45693</v>
      </c>
      <c r="J800" s="8">
        <v>45707</v>
      </c>
      <c r="K800" s="1" t="s">
        <v>2872</v>
      </c>
      <c r="L800" t="s">
        <v>3034</v>
      </c>
      <c r="M800" t="s">
        <v>3035</v>
      </c>
      <c r="N800" s="2">
        <v>201819.07</v>
      </c>
      <c r="O800" t="s">
        <v>494</v>
      </c>
      <c r="P800" s="6" t="s">
        <v>36</v>
      </c>
      <c r="R800" t="s">
        <v>38</v>
      </c>
      <c r="S800" s="9">
        <v>5045.4799999999996</v>
      </c>
      <c r="T800" s="9">
        <v>40</v>
      </c>
      <c r="U800" s="9">
        <v>201819.07</v>
      </c>
      <c r="V800" s="6" t="s">
        <v>128</v>
      </c>
      <c r="W800" t="s">
        <v>129</v>
      </c>
      <c r="X800">
        <v>274110679</v>
      </c>
      <c r="Y800">
        <v>500801001</v>
      </c>
      <c r="Z800" s="3">
        <v>45707.668749999997</v>
      </c>
      <c r="AA800" s="6">
        <v>2025</v>
      </c>
      <c r="AB800" s="1">
        <v>45749</v>
      </c>
    </row>
    <row r="801" spans="1:28" x14ac:dyDescent="0.3">
      <c r="A801" t="s">
        <v>3036</v>
      </c>
      <c r="B801" s="6" t="s">
        <v>2115</v>
      </c>
      <c r="C801" s="6" t="s">
        <v>84</v>
      </c>
      <c r="D801">
        <v>3662006088</v>
      </c>
      <c r="E801">
        <v>366201001</v>
      </c>
      <c r="F801" t="s">
        <v>149</v>
      </c>
      <c r="G801" t="s">
        <v>3037</v>
      </c>
      <c r="H801" s="1">
        <v>45705</v>
      </c>
      <c r="J801" s="8">
        <v>45708</v>
      </c>
      <c r="K801" s="1" t="s">
        <v>2872</v>
      </c>
      <c r="L801" t="s">
        <v>3038</v>
      </c>
      <c r="M801" t="s">
        <v>377</v>
      </c>
      <c r="N801" s="2">
        <v>234000</v>
      </c>
      <c r="O801" t="s">
        <v>3039</v>
      </c>
      <c r="P801" s="6" t="s">
        <v>36</v>
      </c>
      <c r="R801" t="s">
        <v>38</v>
      </c>
      <c r="S801" s="9">
        <v>5200</v>
      </c>
      <c r="T801" s="9">
        <v>45</v>
      </c>
      <c r="U801" s="9">
        <v>234000</v>
      </c>
      <c r="V801" s="6" t="s">
        <v>58</v>
      </c>
      <c r="W801" t="s">
        <v>59</v>
      </c>
      <c r="X801">
        <v>5262222144</v>
      </c>
      <c r="Y801">
        <v>526201001</v>
      </c>
      <c r="Z801" s="3">
        <v>45709.57916666667</v>
      </c>
      <c r="AA801" s="6">
        <v>2025</v>
      </c>
      <c r="AB801" s="1">
        <v>46022</v>
      </c>
    </row>
    <row r="802" spans="1:28" x14ac:dyDescent="0.3">
      <c r="A802" t="s">
        <v>3040</v>
      </c>
      <c r="B802" s="6" t="s">
        <v>1263</v>
      </c>
      <c r="C802" s="6" t="s">
        <v>1225</v>
      </c>
      <c r="D802">
        <v>2309053058</v>
      </c>
      <c r="E802">
        <v>231001001</v>
      </c>
      <c r="F802" t="s">
        <v>149</v>
      </c>
      <c r="G802" t="s">
        <v>3041</v>
      </c>
      <c r="H802" s="1">
        <v>45705</v>
      </c>
      <c r="J802" s="8">
        <v>45708</v>
      </c>
      <c r="K802" s="1" t="s">
        <v>2872</v>
      </c>
      <c r="L802" t="s">
        <v>3042</v>
      </c>
      <c r="M802" t="s">
        <v>377</v>
      </c>
      <c r="N802" s="2">
        <v>3420000</v>
      </c>
      <c r="O802" t="s">
        <v>3043</v>
      </c>
      <c r="P802" s="6" t="s">
        <v>36</v>
      </c>
      <c r="R802" t="s">
        <v>38</v>
      </c>
      <c r="S802" s="9">
        <v>5700</v>
      </c>
      <c r="T802" s="9">
        <v>600</v>
      </c>
      <c r="U802" s="9">
        <v>3420000</v>
      </c>
      <c r="V802" s="6" t="s">
        <v>1268</v>
      </c>
      <c r="W802" t="s">
        <v>1269</v>
      </c>
      <c r="X802">
        <v>2635230089</v>
      </c>
      <c r="Y802" t="s">
        <v>3044</v>
      </c>
      <c r="Z802" s="3">
        <v>45712.659722222219</v>
      </c>
      <c r="AA802" s="6">
        <v>2025</v>
      </c>
      <c r="AB802" s="1">
        <v>46022</v>
      </c>
    </row>
    <row r="803" spans="1:28" x14ac:dyDescent="0.3">
      <c r="A803" s="4" t="s">
        <v>3045</v>
      </c>
      <c r="B803" s="6" t="s">
        <v>491</v>
      </c>
      <c r="C803" s="6" t="s">
        <v>492</v>
      </c>
      <c r="D803">
        <v>2724041260</v>
      </c>
      <c r="E803">
        <v>272101001</v>
      </c>
      <c r="F803" t="s">
        <v>94</v>
      </c>
      <c r="G803" t="s">
        <v>3046</v>
      </c>
      <c r="H803" s="1">
        <v>45705</v>
      </c>
      <c r="J803" s="8">
        <v>45708</v>
      </c>
      <c r="K803" s="1" t="s">
        <v>2872</v>
      </c>
      <c r="L803" t="s">
        <v>3047</v>
      </c>
      <c r="M803" t="s">
        <v>3048</v>
      </c>
      <c r="N803" s="2">
        <v>874800</v>
      </c>
      <c r="O803" t="s">
        <v>1074</v>
      </c>
      <c r="P803" s="6" t="s">
        <v>36</v>
      </c>
      <c r="R803" t="s">
        <v>48</v>
      </c>
      <c r="S803" s="9">
        <v>5400</v>
      </c>
      <c r="T803" s="9">
        <v>162</v>
      </c>
      <c r="U803" s="9">
        <v>874800</v>
      </c>
      <c r="V803" s="6" t="s">
        <v>352</v>
      </c>
      <c r="W803" t="s">
        <v>40</v>
      </c>
      <c r="X803">
        <v>7843014747</v>
      </c>
      <c r="Y803">
        <v>781401001</v>
      </c>
      <c r="Z803" s="3">
        <v>45708.601388888892</v>
      </c>
      <c r="AA803" s="6">
        <v>2025</v>
      </c>
      <c r="AB803" s="1">
        <v>45808</v>
      </c>
    </row>
    <row r="804" spans="1:28" x14ac:dyDescent="0.3">
      <c r="A804" t="s">
        <v>3049</v>
      </c>
      <c r="B804" s="6" t="s">
        <v>3050</v>
      </c>
      <c r="C804" s="6" t="s">
        <v>336</v>
      </c>
      <c r="D804">
        <v>5902293308</v>
      </c>
      <c r="E804">
        <v>590201001</v>
      </c>
      <c r="F804" t="s">
        <v>44</v>
      </c>
      <c r="G804">
        <v>0</v>
      </c>
      <c r="J804" s="8">
        <v>45709</v>
      </c>
      <c r="K804" s="1" t="s">
        <v>2872</v>
      </c>
      <c r="L804" t="s">
        <v>3051</v>
      </c>
      <c r="M804" t="s">
        <v>3052</v>
      </c>
      <c r="N804" s="2">
        <v>128674</v>
      </c>
      <c r="O804" t="s">
        <v>3053</v>
      </c>
      <c r="P804" s="6" t="s">
        <v>36</v>
      </c>
      <c r="Q804" t="s">
        <v>37</v>
      </c>
      <c r="R804" t="s">
        <v>3054</v>
      </c>
      <c r="S804" s="9">
        <v>4949</v>
      </c>
      <c r="T804" s="9">
        <v>26</v>
      </c>
      <c r="U804" s="9">
        <v>128674</v>
      </c>
      <c r="V804" s="6" t="s">
        <v>750</v>
      </c>
      <c r="W804" t="s">
        <v>59</v>
      </c>
      <c r="X804">
        <v>540123954976</v>
      </c>
      <c r="Z804" s="3">
        <v>45714.656944444447</v>
      </c>
      <c r="AA804" s="6">
        <v>2025</v>
      </c>
      <c r="AB804" s="1">
        <v>45777</v>
      </c>
    </row>
    <row r="805" spans="1:28" x14ac:dyDescent="0.3">
      <c r="A805" t="s">
        <v>3055</v>
      </c>
      <c r="B805" s="6" t="s">
        <v>1224</v>
      </c>
      <c r="C805" s="6" t="s">
        <v>1225</v>
      </c>
      <c r="D805">
        <v>2311010502</v>
      </c>
      <c r="E805">
        <v>231101001</v>
      </c>
      <c r="F805" t="s">
        <v>52</v>
      </c>
      <c r="G805" t="s">
        <v>3056</v>
      </c>
      <c r="H805" s="1">
        <v>45699</v>
      </c>
      <c r="J805" s="8">
        <v>45712</v>
      </c>
      <c r="K805" s="1" t="s">
        <v>2872</v>
      </c>
      <c r="L805" t="s">
        <v>3057</v>
      </c>
      <c r="M805" t="s">
        <v>3058</v>
      </c>
      <c r="N805" s="2">
        <v>376474.5</v>
      </c>
      <c r="O805" t="s">
        <v>3059</v>
      </c>
      <c r="P805" s="6" t="s">
        <v>36</v>
      </c>
      <c r="R805" t="s">
        <v>66</v>
      </c>
      <c r="S805" s="9">
        <v>5019.66</v>
      </c>
      <c r="T805" s="9">
        <v>75</v>
      </c>
      <c r="U805" s="9">
        <v>376474.5</v>
      </c>
      <c r="V805" s="6" t="s">
        <v>58</v>
      </c>
      <c r="W805" t="s">
        <v>59</v>
      </c>
      <c r="X805">
        <v>5262222144</v>
      </c>
      <c r="Y805">
        <v>526201001</v>
      </c>
      <c r="Z805" s="3">
        <v>45712.545138888891</v>
      </c>
      <c r="AA805" s="6">
        <v>2025</v>
      </c>
      <c r="AB805" s="1">
        <v>46020</v>
      </c>
    </row>
    <row r="806" spans="1:28" x14ac:dyDescent="0.3">
      <c r="A806" t="s">
        <v>3060</v>
      </c>
      <c r="B806" s="6" t="s">
        <v>220</v>
      </c>
      <c r="C806" s="6" t="s">
        <v>221</v>
      </c>
      <c r="D806">
        <v>5024068656</v>
      </c>
      <c r="E806">
        <v>502401001</v>
      </c>
      <c r="F806" t="s">
        <v>52</v>
      </c>
      <c r="G806" t="s">
        <v>3061</v>
      </c>
      <c r="H806" s="1">
        <v>45699</v>
      </c>
      <c r="J806" s="8">
        <v>45713</v>
      </c>
      <c r="K806" s="1" t="s">
        <v>2872</v>
      </c>
      <c r="L806" t="s">
        <v>3061</v>
      </c>
      <c r="M806" t="s">
        <v>3062</v>
      </c>
      <c r="N806" s="2">
        <v>153520.38</v>
      </c>
      <c r="O806" t="s">
        <v>494</v>
      </c>
      <c r="P806" s="6" t="s">
        <v>36</v>
      </c>
      <c r="Q806" t="s">
        <v>37</v>
      </c>
      <c r="R806" t="s">
        <v>38</v>
      </c>
      <c r="S806" s="9">
        <v>5904.63</v>
      </c>
      <c r="T806" s="9">
        <v>26</v>
      </c>
      <c r="U806" s="9">
        <v>153520.38</v>
      </c>
      <c r="V806" s="6" t="s">
        <v>128</v>
      </c>
      <c r="W806" t="s">
        <v>129</v>
      </c>
      <c r="X806">
        <v>274110679</v>
      </c>
      <c r="Y806">
        <v>500801001</v>
      </c>
      <c r="Z806" s="3">
        <v>45714.37222222222</v>
      </c>
      <c r="AA806" s="6">
        <v>2025</v>
      </c>
      <c r="AB806" s="1">
        <v>45751</v>
      </c>
    </row>
    <row r="807" spans="1:28" x14ac:dyDescent="0.3">
      <c r="A807" t="s">
        <v>3063</v>
      </c>
      <c r="B807" s="6" t="s">
        <v>1190</v>
      </c>
      <c r="C807" s="6" t="s">
        <v>1172</v>
      </c>
      <c r="D807">
        <v>5260037940</v>
      </c>
      <c r="E807">
        <v>526001001</v>
      </c>
      <c r="F807" t="s">
        <v>52</v>
      </c>
      <c r="G807" t="s">
        <v>3064</v>
      </c>
      <c r="H807" s="1">
        <v>45702</v>
      </c>
      <c r="J807" s="8">
        <v>45713</v>
      </c>
      <c r="K807" s="1" t="s">
        <v>2872</v>
      </c>
      <c r="L807" t="s">
        <v>3065</v>
      </c>
      <c r="M807" t="s">
        <v>3066</v>
      </c>
      <c r="N807" s="2">
        <v>780000</v>
      </c>
      <c r="O807" t="s">
        <v>3067</v>
      </c>
      <c r="P807" s="6" t="s">
        <v>36</v>
      </c>
      <c r="Q807" t="s">
        <v>2942</v>
      </c>
      <c r="R807" t="s">
        <v>48</v>
      </c>
      <c r="S807" s="9">
        <v>5200</v>
      </c>
      <c r="T807" s="9">
        <v>150</v>
      </c>
      <c r="U807" s="9">
        <v>780000</v>
      </c>
      <c r="V807" s="6" t="s">
        <v>111</v>
      </c>
      <c r="W807" t="s">
        <v>59</v>
      </c>
      <c r="X807">
        <v>5262258091</v>
      </c>
      <c r="Y807">
        <v>526201001</v>
      </c>
      <c r="Z807" s="3">
        <v>45719.648611111108</v>
      </c>
      <c r="AA807" s="6">
        <v>2025</v>
      </c>
      <c r="AB807" s="1">
        <v>46069</v>
      </c>
    </row>
    <row r="808" spans="1:28" x14ac:dyDescent="0.3">
      <c r="A808" t="s">
        <v>3068</v>
      </c>
      <c r="B808" s="6" t="s">
        <v>1358</v>
      </c>
      <c r="C808" s="6" t="s">
        <v>270</v>
      </c>
      <c r="D808">
        <v>1831044979</v>
      </c>
      <c r="E808">
        <v>184101001</v>
      </c>
      <c r="F808" t="s">
        <v>44</v>
      </c>
      <c r="G808" t="s">
        <v>3069</v>
      </c>
      <c r="J808" s="8">
        <v>45714</v>
      </c>
      <c r="K808" s="1" t="s">
        <v>2872</v>
      </c>
      <c r="L808" t="s">
        <v>3070</v>
      </c>
      <c r="M808" t="s">
        <v>3071</v>
      </c>
      <c r="N808" s="2">
        <v>124750</v>
      </c>
      <c r="O808" t="s">
        <v>109</v>
      </c>
      <c r="P808" s="6" t="s">
        <v>36</v>
      </c>
      <c r="Q808" t="s">
        <v>37</v>
      </c>
      <c r="R808" t="s">
        <v>66</v>
      </c>
      <c r="S808" s="9">
        <v>4990</v>
      </c>
      <c r="T808" s="9">
        <v>25</v>
      </c>
      <c r="U808" s="9">
        <v>124750</v>
      </c>
      <c r="V808" s="6" t="s">
        <v>274</v>
      </c>
      <c r="W808" t="s">
        <v>40</v>
      </c>
      <c r="X808">
        <v>1833000350</v>
      </c>
      <c r="Y808">
        <v>184001001</v>
      </c>
      <c r="Z808" s="3">
        <v>45714.595138888886</v>
      </c>
      <c r="AA808" s="6">
        <v>2025</v>
      </c>
      <c r="AB808" s="1">
        <v>45763</v>
      </c>
    </row>
    <row r="809" spans="1:28" x14ac:dyDescent="0.3">
      <c r="A809" t="s">
        <v>3072</v>
      </c>
      <c r="B809" s="6" t="s">
        <v>1103</v>
      </c>
      <c r="C809" s="6" t="s">
        <v>1104</v>
      </c>
      <c r="D809">
        <v>4347018562</v>
      </c>
      <c r="E809">
        <v>434501001</v>
      </c>
      <c r="F809" t="s">
        <v>149</v>
      </c>
      <c r="G809" t="s">
        <v>3073</v>
      </c>
      <c r="H809" s="1">
        <v>45709</v>
      </c>
      <c r="J809" s="8">
        <v>45714</v>
      </c>
      <c r="K809" s="1" t="s">
        <v>2872</v>
      </c>
      <c r="L809" t="s">
        <v>3074</v>
      </c>
      <c r="M809" t="s">
        <v>377</v>
      </c>
      <c r="N809" s="2">
        <v>4995000</v>
      </c>
      <c r="O809" t="s">
        <v>377</v>
      </c>
      <c r="P809" s="6" t="s">
        <v>36</v>
      </c>
      <c r="Q809" t="s">
        <v>37</v>
      </c>
      <c r="R809" t="s">
        <v>38</v>
      </c>
      <c r="S809" s="9">
        <v>4995</v>
      </c>
      <c r="T809" s="9">
        <v>1000</v>
      </c>
      <c r="U809" s="9">
        <v>4995000</v>
      </c>
      <c r="V809" s="6" t="s">
        <v>58</v>
      </c>
      <c r="W809" t="s">
        <v>59</v>
      </c>
      <c r="X809">
        <v>5262222144</v>
      </c>
      <c r="Y809">
        <v>526201001</v>
      </c>
      <c r="Z809" s="3">
        <v>45714.477777777778</v>
      </c>
      <c r="AA809" s="6">
        <v>2025</v>
      </c>
      <c r="AB809" s="1">
        <v>46021</v>
      </c>
    </row>
    <row r="810" spans="1:28" x14ac:dyDescent="0.3">
      <c r="A810" t="s">
        <v>3075</v>
      </c>
      <c r="B810" s="6" t="s">
        <v>147</v>
      </c>
      <c r="C810" s="6" t="s">
        <v>148</v>
      </c>
      <c r="D810">
        <v>274019476</v>
      </c>
      <c r="E810">
        <v>27401001</v>
      </c>
      <c r="F810" t="s">
        <v>149</v>
      </c>
      <c r="G810" t="s">
        <v>3076</v>
      </c>
      <c r="H810" s="1">
        <v>45709</v>
      </c>
      <c r="J810" s="8">
        <v>45714</v>
      </c>
      <c r="K810" s="1" t="s">
        <v>2872</v>
      </c>
      <c r="L810" t="s">
        <v>3076</v>
      </c>
      <c r="M810" t="s">
        <v>377</v>
      </c>
      <c r="N810" s="2">
        <v>616000</v>
      </c>
      <c r="O810" t="s">
        <v>2951</v>
      </c>
      <c r="P810" s="6" t="s">
        <v>36</v>
      </c>
      <c r="Q810" t="s">
        <v>1993</v>
      </c>
      <c r="R810" t="s">
        <v>38</v>
      </c>
      <c r="S810" s="9">
        <v>8800</v>
      </c>
      <c r="T810" s="9">
        <v>70</v>
      </c>
      <c r="U810" s="9">
        <v>616000</v>
      </c>
      <c r="V810" s="6" t="s">
        <v>155</v>
      </c>
      <c r="W810" t="s">
        <v>59</v>
      </c>
      <c r="X810">
        <v>24202357780</v>
      </c>
      <c r="Z810" s="3">
        <v>45715.487500000003</v>
      </c>
      <c r="AA810" s="6">
        <v>2025</v>
      </c>
      <c r="AB810" s="1">
        <v>46022</v>
      </c>
    </row>
    <row r="811" spans="1:28" x14ac:dyDescent="0.3">
      <c r="A811" t="s">
        <v>3077</v>
      </c>
      <c r="B811" s="6" t="s">
        <v>1196</v>
      </c>
      <c r="C811" s="6" t="s">
        <v>1197</v>
      </c>
      <c r="D811">
        <v>411008542</v>
      </c>
      <c r="E811">
        <v>41101001</v>
      </c>
      <c r="F811" t="s">
        <v>149</v>
      </c>
      <c r="G811" t="s">
        <v>3078</v>
      </c>
      <c r="H811" s="1">
        <v>45713</v>
      </c>
      <c r="I811" t="s">
        <v>3079</v>
      </c>
      <c r="J811" s="8">
        <v>45716</v>
      </c>
      <c r="K811" s="1" t="s">
        <v>2872</v>
      </c>
      <c r="L811" t="s">
        <v>3080</v>
      </c>
      <c r="M811" t="s">
        <v>377</v>
      </c>
      <c r="N811" s="2">
        <v>4994220</v>
      </c>
      <c r="O811" t="s">
        <v>377</v>
      </c>
      <c r="P811" s="6" t="s">
        <v>36</v>
      </c>
      <c r="Q811" t="s">
        <v>37</v>
      </c>
      <c r="R811" t="s">
        <v>38</v>
      </c>
      <c r="S811" s="9">
        <v>4830</v>
      </c>
      <c r="T811" s="9">
        <v>1034</v>
      </c>
      <c r="U811" s="9">
        <v>4994220</v>
      </c>
      <c r="V811" s="6" t="s">
        <v>39</v>
      </c>
      <c r="W811" t="s">
        <v>40</v>
      </c>
      <c r="X811">
        <v>7810687137</v>
      </c>
      <c r="Y811">
        <v>781401001</v>
      </c>
      <c r="Z811" s="3">
        <v>45719.318749999999</v>
      </c>
      <c r="AA811" s="6">
        <v>2025</v>
      </c>
      <c r="AB811" s="1">
        <v>46022</v>
      </c>
    </row>
    <row r="812" spans="1:28" x14ac:dyDescent="0.3">
      <c r="A812" t="s">
        <v>3081</v>
      </c>
      <c r="B812" s="6" t="s">
        <v>1196</v>
      </c>
      <c r="C812" s="6" t="s">
        <v>1197</v>
      </c>
      <c r="D812">
        <v>411008542</v>
      </c>
      <c r="E812">
        <v>41101001</v>
      </c>
      <c r="F812" t="s">
        <v>149</v>
      </c>
      <c r="G812" t="s">
        <v>3082</v>
      </c>
      <c r="H812" s="1">
        <v>45713</v>
      </c>
      <c r="I812" t="s">
        <v>3079</v>
      </c>
      <c r="J812" s="8">
        <v>45716</v>
      </c>
      <c r="K812" s="1" t="s">
        <v>2872</v>
      </c>
      <c r="L812" t="s">
        <v>3083</v>
      </c>
      <c r="M812" t="s">
        <v>377</v>
      </c>
      <c r="N812" s="2">
        <v>4989390</v>
      </c>
      <c r="O812" t="s">
        <v>377</v>
      </c>
      <c r="P812" s="6" t="s">
        <v>36</v>
      </c>
      <c r="Q812" t="s">
        <v>37</v>
      </c>
      <c r="R812" t="s">
        <v>38</v>
      </c>
      <c r="S812" s="9">
        <v>4830</v>
      </c>
      <c r="T812" s="9">
        <v>1033</v>
      </c>
      <c r="U812" s="9">
        <v>4989390</v>
      </c>
      <c r="V812" s="6" t="s">
        <v>39</v>
      </c>
      <c r="W812" t="s">
        <v>40</v>
      </c>
      <c r="X812">
        <v>7810687137</v>
      </c>
      <c r="Y812">
        <v>781401001</v>
      </c>
      <c r="Z812" s="3">
        <v>45719.322916666664</v>
      </c>
      <c r="AA812" s="6">
        <v>2025</v>
      </c>
      <c r="AB812" s="1">
        <v>46022</v>
      </c>
    </row>
    <row r="813" spans="1:28" x14ac:dyDescent="0.3">
      <c r="A813" t="s">
        <v>3084</v>
      </c>
      <c r="B813" s="6" t="s">
        <v>61</v>
      </c>
      <c r="C813" s="6" t="s">
        <v>62</v>
      </c>
      <c r="D813">
        <v>4027022305</v>
      </c>
      <c r="E813">
        <v>402701001</v>
      </c>
      <c r="F813" t="s">
        <v>52</v>
      </c>
      <c r="G813" t="s">
        <v>3085</v>
      </c>
      <c r="H813" s="1">
        <v>45707</v>
      </c>
      <c r="J813" s="8">
        <v>45719</v>
      </c>
      <c r="K813" s="1" t="s">
        <v>2872</v>
      </c>
      <c r="L813" t="s">
        <v>3086</v>
      </c>
      <c r="M813" t="s">
        <v>1553</v>
      </c>
      <c r="N813" s="2">
        <v>51125000</v>
      </c>
      <c r="O813" t="s">
        <v>1912</v>
      </c>
      <c r="P813" s="6" t="s">
        <v>891</v>
      </c>
      <c r="Q813" t="s">
        <v>1993</v>
      </c>
      <c r="R813" t="s">
        <v>38</v>
      </c>
      <c r="S813" s="9">
        <v>5112.5</v>
      </c>
      <c r="T813" s="9">
        <v>3330</v>
      </c>
      <c r="U813" s="9">
        <v>17024625</v>
      </c>
      <c r="V813" s="6" t="s">
        <v>58</v>
      </c>
      <c r="W813" t="s">
        <v>59</v>
      </c>
      <c r="X813">
        <v>5262222144</v>
      </c>
      <c r="Y813">
        <v>526201001</v>
      </c>
      <c r="Z813" s="3">
        <v>45719.638888888891</v>
      </c>
      <c r="AA813" s="6">
        <v>2025</v>
      </c>
      <c r="AB813" s="1">
        <v>46022</v>
      </c>
    </row>
    <row r="814" spans="1:28" x14ac:dyDescent="0.3">
      <c r="A814" t="s">
        <v>3087</v>
      </c>
      <c r="B814" s="6" t="s">
        <v>212</v>
      </c>
      <c r="C814" s="6" t="s">
        <v>213</v>
      </c>
      <c r="D814" t="s">
        <v>3088</v>
      </c>
      <c r="E814" t="s">
        <v>3089</v>
      </c>
      <c r="F814" t="s">
        <v>52</v>
      </c>
      <c r="G814" t="s">
        <v>3090</v>
      </c>
      <c r="H814" s="1">
        <v>45706</v>
      </c>
      <c r="J814" s="8">
        <v>45719</v>
      </c>
      <c r="K814" s="1" t="s">
        <v>2872</v>
      </c>
      <c r="L814" t="s">
        <v>3091</v>
      </c>
      <c r="M814" t="s">
        <v>3092</v>
      </c>
      <c r="N814" s="2">
        <v>520200</v>
      </c>
      <c r="O814" t="s">
        <v>440</v>
      </c>
      <c r="P814" s="6" t="s">
        <v>36</v>
      </c>
      <c r="Q814" t="s">
        <v>37</v>
      </c>
      <c r="R814" t="s">
        <v>48</v>
      </c>
      <c r="S814" s="9">
        <v>5100</v>
      </c>
      <c r="T814" s="9">
        <v>102</v>
      </c>
      <c r="U814" s="9">
        <v>520200</v>
      </c>
      <c r="V814" s="6" t="s">
        <v>111</v>
      </c>
      <c r="W814" t="s">
        <v>59</v>
      </c>
      <c r="X814">
        <v>5262258091</v>
      </c>
      <c r="Y814">
        <v>526201001</v>
      </c>
      <c r="Z814" s="3">
        <v>45720.572916666664</v>
      </c>
      <c r="AA814" s="6">
        <v>2025</v>
      </c>
      <c r="AB814" s="1">
        <v>46021</v>
      </c>
    </row>
    <row r="815" spans="1:28" x14ac:dyDescent="0.3">
      <c r="A815" t="s">
        <v>3093</v>
      </c>
      <c r="B815" s="6" t="s">
        <v>851</v>
      </c>
      <c r="C815" s="6" t="s">
        <v>852</v>
      </c>
      <c r="D815" t="s">
        <v>3094</v>
      </c>
      <c r="E815" t="s">
        <v>3095</v>
      </c>
      <c r="F815" t="s">
        <v>52</v>
      </c>
      <c r="G815" t="s">
        <v>3096</v>
      </c>
      <c r="H815" s="1">
        <v>45706</v>
      </c>
      <c r="J815" s="8">
        <v>45719</v>
      </c>
      <c r="K815" s="1" t="s">
        <v>2872</v>
      </c>
      <c r="L815" t="s">
        <v>3096</v>
      </c>
      <c r="M815" t="s">
        <v>3097</v>
      </c>
      <c r="N815" s="2">
        <v>19075276.440000001</v>
      </c>
      <c r="O815" t="s">
        <v>3098</v>
      </c>
      <c r="P815" s="6" t="s">
        <v>2277</v>
      </c>
      <c r="Q815" t="s">
        <v>37</v>
      </c>
      <c r="R815" t="s">
        <v>38</v>
      </c>
      <c r="S815" s="9">
        <v>4107.51</v>
      </c>
      <c r="T815" s="15">
        <v>4644</v>
      </c>
      <c r="U815" s="9">
        <v>19075276.440000001</v>
      </c>
      <c r="V815" s="6" t="s">
        <v>3099</v>
      </c>
      <c r="W815" t="s">
        <v>3100</v>
      </c>
      <c r="X815">
        <v>7724871238</v>
      </c>
      <c r="Y815" s="4" t="s">
        <v>3101</v>
      </c>
      <c r="Z815" s="3">
        <v>45721.341666666667</v>
      </c>
      <c r="AA815" s="6">
        <v>2025</v>
      </c>
      <c r="AB815" s="1">
        <v>46022</v>
      </c>
    </row>
    <row r="816" spans="1:28" x14ac:dyDescent="0.3">
      <c r="A816" t="s">
        <v>3084</v>
      </c>
      <c r="B816" s="6" t="s">
        <v>61</v>
      </c>
      <c r="C816" s="6" t="s">
        <v>62</v>
      </c>
      <c r="D816">
        <v>4027022305</v>
      </c>
      <c r="E816">
        <v>402701001</v>
      </c>
      <c r="F816" t="s">
        <v>52</v>
      </c>
      <c r="G816" t="s">
        <v>3085</v>
      </c>
      <c r="H816" s="1">
        <v>45707</v>
      </c>
      <c r="J816" s="8">
        <v>45719</v>
      </c>
      <c r="K816" s="1" t="s">
        <v>2872</v>
      </c>
      <c r="L816" t="s">
        <v>3086</v>
      </c>
      <c r="M816" t="s">
        <v>1553</v>
      </c>
      <c r="N816" s="2">
        <v>51125000</v>
      </c>
      <c r="O816" t="s">
        <v>494</v>
      </c>
      <c r="P816" s="6" t="s">
        <v>36</v>
      </c>
      <c r="Q816" t="s">
        <v>1993</v>
      </c>
      <c r="R816" t="s">
        <v>38</v>
      </c>
      <c r="S816" s="9">
        <v>5112.5</v>
      </c>
      <c r="T816" s="9">
        <v>3340</v>
      </c>
      <c r="U816" s="9">
        <v>17075750</v>
      </c>
      <c r="V816" s="6" t="s">
        <v>58</v>
      </c>
      <c r="W816" t="s">
        <v>59</v>
      </c>
      <c r="X816">
        <v>5262222144</v>
      </c>
      <c r="Y816">
        <v>526201001</v>
      </c>
      <c r="Z816" s="3">
        <v>45719.638888888891</v>
      </c>
      <c r="AA816" s="6">
        <v>2025</v>
      </c>
      <c r="AB816" s="1">
        <v>46022</v>
      </c>
    </row>
    <row r="817" spans="1:28" x14ac:dyDescent="0.3">
      <c r="A817" t="s">
        <v>3084</v>
      </c>
      <c r="B817" s="6" t="s">
        <v>61</v>
      </c>
      <c r="C817" s="6" t="s">
        <v>3102</v>
      </c>
      <c r="D817">
        <v>4027022305</v>
      </c>
      <c r="E817">
        <v>402701001</v>
      </c>
      <c r="F817" t="s">
        <v>52</v>
      </c>
      <c r="G817" t="s">
        <v>3085</v>
      </c>
      <c r="H817" s="1">
        <v>45707</v>
      </c>
      <c r="J817" s="8">
        <v>45719</v>
      </c>
      <c r="K817" s="1" t="s">
        <v>2872</v>
      </c>
      <c r="L817" t="s">
        <v>3086</v>
      </c>
      <c r="M817" t="s">
        <v>1553</v>
      </c>
      <c r="N817" s="2">
        <v>51125000</v>
      </c>
      <c r="O817" t="s">
        <v>377</v>
      </c>
      <c r="P817" s="6" t="s">
        <v>2277</v>
      </c>
      <c r="R817" t="s">
        <v>38</v>
      </c>
      <c r="S817" s="9">
        <v>5112.5</v>
      </c>
      <c r="T817" s="9">
        <v>3330</v>
      </c>
      <c r="U817" s="9">
        <v>17024625</v>
      </c>
      <c r="V817" s="6" t="s">
        <v>58</v>
      </c>
      <c r="W817" t="s">
        <v>59</v>
      </c>
      <c r="X817">
        <v>5262222144</v>
      </c>
      <c r="Y817">
        <v>526201001</v>
      </c>
      <c r="Z817" s="3">
        <v>45719.638888888891</v>
      </c>
      <c r="AA817" s="6">
        <v>2025</v>
      </c>
      <c r="AB817" s="1">
        <v>46022</v>
      </c>
    </row>
    <row r="818" spans="1:28" x14ac:dyDescent="0.3">
      <c r="A818" t="s">
        <v>3103</v>
      </c>
      <c r="B818" s="6" t="s">
        <v>1263</v>
      </c>
      <c r="C818" s="6" t="s">
        <v>1225</v>
      </c>
      <c r="D818">
        <v>2309053058</v>
      </c>
      <c r="E818">
        <v>231001001</v>
      </c>
      <c r="F818" t="s">
        <v>149</v>
      </c>
      <c r="G818" t="s">
        <v>3104</v>
      </c>
      <c r="H818" s="1">
        <v>45715</v>
      </c>
      <c r="J818" s="8">
        <v>45720</v>
      </c>
      <c r="K818" s="1" t="s">
        <v>2872</v>
      </c>
      <c r="L818" t="s">
        <v>3105</v>
      </c>
      <c r="M818" t="s">
        <v>377</v>
      </c>
      <c r="N818" s="2">
        <v>3830400</v>
      </c>
      <c r="O818" t="s">
        <v>377</v>
      </c>
      <c r="P818" s="6" t="s">
        <v>36</v>
      </c>
      <c r="R818" t="s">
        <v>38</v>
      </c>
      <c r="S818" s="9">
        <f>39900/8</f>
        <v>4987.5</v>
      </c>
      <c r="T818" s="9">
        <f>96*8</f>
        <v>768</v>
      </c>
      <c r="U818" s="9">
        <v>3830400</v>
      </c>
      <c r="V818" s="6" t="s">
        <v>1268</v>
      </c>
      <c r="W818" t="s">
        <v>1269</v>
      </c>
      <c r="X818">
        <v>2635230089</v>
      </c>
      <c r="Y818">
        <v>773101001</v>
      </c>
      <c r="Z818" s="3">
        <v>45722.731249999997</v>
      </c>
      <c r="AA818" s="6">
        <v>2025</v>
      </c>
      <c r="AB818" s="1">
        <v>46022</v>
      </c>
    </row>
    <row r="819" spans="1:28" x14ac:dyDescent="0.3">
      <c r="A819" t="s">
        <v>3106</v>
      </c>
      <c r="B819" s="6" t="s">
        <v>394</v>
      </c>
      <c r="C819" s="6" t="s">
        <v>395</v>
      </c>
      <c r="D819">
        <v>7203000249</v>
      </c>
      <c r="E819">
        <v>720301001</v>
      </c>
      <c r="F819" t="s">
        <v>149</v>
      </c>
      <c r="G819" t="s">
        <v>3107</v>
      </c>
      <c r="H819" s="1">
        <v>45715</v>
      </c>
      <c r="J819" s="8">
        <v>45720</v>
      </c>
      <c r="K819" s="1" t="s">
        <v>2872</v>
      </c>
      <c r="L819" t="s">
        <v>3108</v>
      </c>
      <c r="M819" t="s">
        <v>377</v>
      </c>
      <c r="N819" s="2">
        <v>3451500</v>
      </c>
      <c r="O819" t="s">
        <v>377</v>
      </c>
      <c r="P819" s="6" t="s">
        <v>891</v>
      </c>
      <c r="Q819" t="s">
        <v>37</v>
      </c>
      <c r="R819" t="s">
        <v>38</v>
      </c>
      <c r="S819" s="9">
        <v>5850</v>
      </c>
      <c r="T819" s="9">
        <v>590</v>
      </c>
      <c r="U819" s="9">
        <v>3451500</v>
      </c>
      <c r="V819" s="6" t="s">
        <v>401</v>
      </c>
      <c r="W819" t="s">
        <v>402</v>
      </c>
      <c r="X819">
        <v>720208302235</v>
      </c>
      <c r="Z819" s="3">
        <v>45722.305555555555</v>
      </c>
      <c r="AA819" s="6">
        <v>2025</v>
      </c>
      <c r="AB819" s="1">
        <v>45808</v>
      </c>
    </row>
    <row r="820" spans="1:28" x14ac:dyDescent="0.3">
      <c r="A820" t="s">
        <v>3109</v>
      </c>
      <c r="B820" s="6" t="s">
        <v>139</v>
      </c>
      <c r="C820" s="6" t="s">
        <v>140</v>
      </c>
      <c r="D820">
        <v>3444198220</v>
      </c>
      <c r="E820">
        <v>346001001</v>
      </c>
      <c r="F820" t="s">
        <v>149</v>
      </c>
      <c r="G820" t="s">
        <v>3110</v>
      </c>
      <c r="H820" s="1">
        <v>45716</v>
      </c>
      <c r="J820" s="8">
        <v>45721</v>
      </c>
      <c r="K820" s="1" t="s">
        <v>2872</v>
      </c>
      <c r="L820" t="s">
        <v>3111</v>
      </c>
      <c r="M820" t="s">
        <v>377</v>
      </c>
      <c r="N820" s="2">
        <v>1144000</v>
      </c>
      <c r="O820" t="s">
        <v>377</v>
      </c>
      <c r="P820" s="6" t="s">
        <v>36</v>
      </c>
      <c r="R820" t="s">
        <v>38</v>
      </c>
      <c r="S820" s="9">
        <v>5200</v>
      </c>
      <c r="T820" s="9">
        <v>220</v>
      </c>
      <c r="U820" s="9">
        <v>1144000</v>
      </c>
      <c r="V820" s="6" t="s">
        <v>39</v>
      </c>
      <c r="W820" t="s">
        <v>40</v>
      </c>
      <c r="X820">
        <v>7810687137</v>
      </c>
      <c r="Y820">
        <v>781401001</v>
      </c>
      <c r="Z820" s="3">
        <v>45722.746527777781</v>
      </c>
      <c r="AA820" s="6">
        <v>2025</v>
      </c>
      <c r="AB820" s="1">
        <v>46022</v>
      </c>
    </row>
    <row r="821" spans="1:28" x14ac:dyDescent="0.3">
      <c r="A821" t="s">
        <v>3112</v>
      </c>
      <c r="B821" s="6" t="s">
        <v>3113</v>
      </c>
      <c r="C821" s="6" t="s">
        <v>843</v>
      </c>
      <c r="D821">
        <v>2129009300</v>
      </c>
      <c r="E821">
        <v>213001001</v>
      </c>
      <c r="F821" t="s">
        <v>149</v>
      </c>
      <c r="G821" t="s">
        <v>3114</v>
      </c>
      <c r="H821" s="1">
        <v>45719</v>
      </c>
      <c r="J821" s="8">
        <v>45722</v>
      </c>
      <c r="K821" s="1" t="s">
        <v>2872</v>
      </c>
      <c r="L821" t="s">
        <v>3115</v>
      </c>
      <c r="M821" t="s">
        <v>377</v>
      </c>
      <c r="N821" s="2">
        <v>146002.5</v>
      </c>
      <c r="O821" t="s">
        <v>377</v>
      </c>
      <c r="P821" s="6" t="s">
        <v>2277</v>
      </c>
      <c r="R821" t="s">
        <v>38</v>
      </c>
      <c r="S821" s="9">
        <v>4866.75</v>
      </c>
      <c r="T821" s="9">
        <v>30</v>
      </c>
      <c r="U821" s="9">
        <v>146002.5</v>
      </c>
      <c r="V821" s="6" t="s">
        <v>3116</v>
      </c>
      <c r="W821" t="s">
        <v>59</v>
      </c>
      <c r="X821">
        <v>121524787150</v>
      </c>
      <c r="Y821" s="4" t="s">
        <v>3117</v>
      </c>
      <c r="Z821" s="3">
        <v>45723.407638888886</v>
      </c>
      <c r="AA821" s="6">
        <v>2025</v>
      </c>
      <c r="AB821" s="1">
        <v>45750</v>
      </c>
    </row>
    <row r="822" spans="1:28" x14ac:dyDescent="0.3">
      <c r="A822" t="s">
        <v>3118</v>
      </c>
      <c r="B822" s="6" t="s">
        <v>1362</v>
      </c>
      <c r="C822" s="6" t="s">
        <v>164</v>
      </c>
      <c r="D822">
        <v>7716035705</v>
      </c>
      <c r="E822">
        <v>771601001</v>
      </c>
      <c r="F822" t="s">
        <v>149</v>
      </c>
      <c r="G822" t="s">
        <v>3119</v>
      </c>
      <c r="H822" s="1">
        <v>45716</v>
      </c>
      <c r="J822" s="8">
        <v>45722</v>
      </c>
      <c r="K822" s="1" t="s">
        <v>2872</v>
      </c>
      <c r="L822" t="s">
        <v>3120</v>
      </c>
      <c r="M822" t="s">
        <v>377</v>
      </c>
      <c r="N822" s="2">
        <v>684530</v>
      </c>
      <c r="O822" t="s">
        <v>2568</v>
      </c>
      <c r="P822" s="6" t="s">
        <v>36</v>
      </c>
      <c r="Q822" t="s">
        <v>3121</v>
      </c>
      <c r="R822" t="s">
        <v>38</v>
      </c>
      <c r="S822" s="9">
        <v>5390</v>
      </c>
      <c r="T822" s="9">
        <v>127</v>
      </c>
      <c r="U822" s="9">
        <v>684530</v>
      </c>
      <c r="V822" s="6" t="s">
        <v>190</v>
      </c>
      <c r="W822" t="s">
        <v>129</v>
      </c>
      <c r="X822">
        <v>5027264000</v>
      </c>
      <c r="Y822" s="4" t="s">
        <v>3122</v>
      </c>
      <c r="Z822" s="3">
        <v>45723.488194444442</v>
      </c>
      <c r="AA822" s="6">
        <v>2025</v>
      </c>
      <c r="AB822" s="1">
        <v>45765</v>
      </c>
    </row>
    <row r="823" spans="1:28" x14ac:dyDescent="0.3">
      <c r="A823" t="s">
        <v>3123</v>
      </c>
      <c r="B823" s="6" t="s">
        <v>276</v>
      </c>
      <c r="C823" s="6" t="s">
        <v>277</v>
      </c>
      <c r="D823">
        <v>9102012869</v>
      </c>
      <c r="E823">
        <v>910201001</v>
      </c>
      <c r="F823" t="s">
        <v>149</v>
      </c>
      <c r="G823" t="s">
        <v>3124</v>
      </c>
      <c r="H823" s="1">
        <v>45719</v>
      </c>
      <c r="J823" s="8">
        <v>45722</v>
      </c>
      <c r="K823" s="1" t="s">
        <v>2872</v>
      </c>
      <c r="L823" t="s">
        <v>3125</v>
      </c>
      <c r="M823" t="s">
        <v>377</v>
      </c>
      <c r="N823" s="2">
        <v>4394000</v>
      </c>
      <c r="O823" t="s">
        <v>3126</v>
      </c>
      <c r="P823" s="6" t="s">
        <v>36</v>
      </c>
      <c r="R823" t="s">
        <v>38</v>
      </c>
      <c r="S823" s="9">
        <v>6500</v>
      </c>
      <c r="T823" s="9">
        <v>676</v>
      </c>
      <c r="U823" s="9">
        <v>4394000</v>
      </c>
      <c r="V823" s="6" t="s">
        <v>3127</v>
      </c>
      <c r="W823" t="s">
        <v>40</v>
      </c>
      <c r="X823">
        <v>761104476932</v>
      </c>
      <c r="Z823" s="3">
        <v>45722.631944444445</v>
      </c>
      <c r="AA823" s="6">
        <v>2025</v>
      </c>
      <c r="AB823" s="1">
        <v>46021</v>
      </c>
    </row>
    <row r="824" spans="1:28" x14ac:dyDescent="0.3">
      <c r="A824" t="s">
        <v>3128</v>
      </c>
      <c r="B824" s="6" t="s">
        <v>501</v>
      </c>
      <c r="C824" s="6" t="s">
        <v>502</v>
      </c>
      <c r="D824">
        <v>6318197367</v>
      </c>
      <c r="E824">
        <v>631801001</v>
      </c>
      <c r="F824" t="s">
        <v>52</v>
      </c>
      <c r="G824" t="s">
        <v>3129</v>
      </c>
      <c r="H824" s="1">
        <v>45712</v>
      </c>
      <c r="I824" t="s">
        <v>3130</v>
      </c>
      <c r="J824" s="8">
        <v>45723</v>
      </c>
      <c r="K824" s="1" t="s">
        <v>2872</v>
      </c>
      <c r="L824" t="s">
        <v>3131</v>
      </c>
      <c r="M824" t="s">
        <v>3132</v>
      </c>
      <c r="N824" s="2">
        <v>49648000</v>
      </c>
      <c r="O824" t="s">
        <v>1912</v>
      </c>
      <c r="P824" s="6" t="s">
        <v>891</v>
      </c>
      <c r="Q824" t="s">
        <v>37</v>
      </c>
      <c r="R824" t="s">
        <v>48</v>
      </c>
      <c r="S824" s="9">
        <v>4280</v>
      </c>
      <c r="T824" s="9">
        <v>5800</v>
      </c>
      <c r="U824" s="9">
        <v>24824000</v>
      </c>
      <c r="V824" s="6" t="s">
        <v>58</v>
      </c>
      <c r="W824" t="s">
        <v>59</v>
      </c>
      <c r="X824">
        <v>5262222144</v>
      </c>
      <c r="Y824">
        <v>526201001</v>
      </c>
      <c r="Z824" s="3">
        <v>45726.370138888888</v>
      </c>
      <c r="AA824" s="6">
        <v>2025</v>
      </c>
      <c r="AB824" s="1">
        <v>46022</v>
      </c>
    </row>
    <row r="825" spans="1:28" x14ac:dyDescent="0.3">
      <c r="A825" t="s">
        <v>3128</v>
      </c>
      <c r="B825" s="6" t="s">
        <v>501</v>
      </c>
      <c r="C825" s="6" t="s">
        <v>502</v>
      </c>
      <c r="D825">
        <v>6318197367</v>
      </c>
      <c r="E825">
        <v>631801001</v>
      </c>
      <c r="F825" t="s">
        <v>52</v>
      </c>
      <c r="G825" t="s">
        <v>3129</v>
      </c>
      <c r="H825" s="1">
        <v>45712</v>
      </c>
      <c r="I825" t="s">
        <v>3130</v>
      </c>
      <c r="J825" s="8">
        <v>45723</v>
      </c>
      <c r="K825" s="1" t="s">
        <v>2872</v>
      </c>
      <c r="L825" t="s">
        <v>3131</v>
      </c>
      <c r="M825" t="s">
        <v>3132</v>
      </c>
      <c r="N825" s="2">
        <v>49648000</v>
      </c>
      <c r="O825" t="s">
        <v>494</v>
      </c>
      <c r="P825" s="6" t="s">
        <v>36</v>
      </c>
      <c r="R825" t="s">
        <v>48</v>
      </c>
      <c r="S825" s="9">
        <v>4280</v>
      </c>
      <c r="T825" s="9">
        <v>5800</v>
      </c>
      <c r="U825" s="9">
        <v>24824000</v>
      </c>
      <c r="V825" s="6" t="s">
        <v>58</v>
      </c>
      <c r="W825" t="s">
        <v>59</v>
      </c>
      <c r="X825">
        <v>5262222144</v>
      </c>
      <c r="Y825">
        <v>526201001</v>
      </c>
      <c r="Z825" s="3">
        <v>45726.370138888888</v>
      </c>
      <c r="AA825" s="6">
        <v>2025</v>
      </c>
      <c r="AB825" s="1">
        <v>46022</v>
      </c>
    </row>
    <row r="826" spans="1:28" x14ac:dyDescent="0.3">
      <c r="A826" t="s">
        <v>3133</v>
      </c>
      <c r="B826" s="6" t="s">
        <v>501</v>
      </c>
      <c r="C826" s="6" t="s">
        <v>502</v>
      </c>
      <c r="D826">
        <v>6318197367</v>
      </c>
      <c r="E826">
        <v>631801001</v>
      </c>
      <c r="F826" t="s">
        <v>52</v>
      </c>
      <c r="G826" t="s">
        <v>3134</v>
      </c>
      <c r="H826" s="1">
        <v>45712</v>
      </c>
      <c r="I826" t="s">
        <v>3130</v>
      </c>
      <c r="J826" s="8">
        <v>45723</v>
      </c>
      <c r="K826" s="1" t="s">
        <v>2872</v>
      </c>
      <c r="L826" t="s">
        <v>3135</v>
      </c>
      <c r="M826" t="s">
        <v>3132</v>
      </c>
      <c r="N826" s="2">
        <v>19041720</v>
      </c>
      <c r="O826" t="s">
        <v>1912</v>
      </c>
      <c r="P826" s="6" t="s">
        <v>891</v>
      </c>
      <c r="Q826" t="s">
        <v>37</v>
      </c>
      <c r="R826" t="s">
        <v>48</v>
      </c>
      <c r="S826" s="9">
        <v>4280</v>
      </c>
      <c r="T826" s="9">
        <v>2220</v>
      </c>
      <c r="U826" s="9">
        <v>9501600</v>
      </c>
      <c r="V826" s="6" t="s">
        <v>58</v>
      </c>
      <c r="W826" t="s">
        <v>59</v>
      </c>
      <c r="X826">
        <v>5262222144</v>
      </c>
      <c r="Y826">
        <v>526201001</v>
      </c>
      <c r="Z826" s="3">
        <v>45726.355555555558</v>
      </c>
      <c r="AA826" s="6">
        <v>2025</v>
      </c>
      <c r="AB826" s="1">
        <v>46022</v>
      </c>
    </row>
    <row r="827" spans="1:28" x14ac:dyDescent="0.3">
      <c r="A827" t="s">
        <v>3133</v>
      </c>
      <c r="B827" s="6" t="s">
        <v>501</v>
      </c>
      <c r="C827" s="6" t="s">
        <v>502</v>
      </c>
      <c r="D827">
        <v>6318197367</v>
      </c>
      <c r="E827">
        <v>631801001</v>
      </c>
      <c r="F827" t="s">
        <v>52</v>
      </c>
      <c r="G827" t="s">
        <v>3134</v>
      </c>
      <c r="H827" s="1">
        <v>45712</v>
      </c>
      <c r="I827" t="s">
        <v>3130</v>
      </c>
      <c r="J827" s="8">
        <v>45723</v>
      </c>
      <c r="K827" s="1" t="s">
        <v>2872</v>
      </c>
      <c r="L827" t="s">
        <v>3135</v>
      </c>
      <c r="M827" t="s">
        <v>3132</v>
      </c>
      <c r="N827" s="2">
        <v>19041720</v>
      </c>
      <c r="O827" t="s">
        <v>494</v>
      </c>
      <c r="P827" s="6" t="s">
        <v>36</v>
      </c>
      <c r="R827" t="s">
        <v>48</v>
      </c>
      <c r="S827" s="9">
        <v>4280</v>
      </c>
      <c r="T827" s="9">
        <v>2229</v>
      </c>
      <c r="U827" s="9">
        <v>9540120</v>
      </c>
      <c r="V827" s="6" t="s">
        <v>58</v>
      </c>
      <c r="W827" t="s">
        <v>59</v>
      </c>
      <c r="X827">
        <v>5262222144</v>
      </c>
      <c r="Y827">
        <v>526201001</v>
      </c>
      <c r="Z827" s="3">
        <v>45726.355555555558</v>
      </c>
      <c r="AA827" s="6">
        <v>2025</v>
      </c>
      <c r="AB827" s="1">
        <v>46022</v>
      </c>
    </row>
    <row r="828" spans="1:28" x14ac:dyDescent="0.3">
      <c r="A828" t="s">
        <v>3136</v>
      </c>
      <c r="B828" s="6" t="s">
        <v>740</v>
      </c>
      <c r="C828" s="6" t="s">
        <v>105</v>
      </c>
      <c r="D828">
        <v>6661002199</v>
      </c>
      <c r="E828">
        <v>667101001</v>
      </c>
      <c r="F828" t="s">
        <v>149</v>
      </c>
      <c r="G828" t="s">
        <v>3137</v>
      </c>
      <c r="H828" s="1">
        <v>45720</v>
      </c>
      <c r="J828" s="8">
        <v>45723</v>
      </c>
      <c r="K828" s="1" t="s">
        <v>2872</v>
      </c>
      <c r="L828" t="s">
        <v>3137</v>
      </c>
      <c r="M828" t="s">
        <v>3138</v>
      </c>
      <c r="N828" s="2">
        <v>1530000</v>
      </c>
      <c r="O828" t="s">
        <v>377</v>
      </c>
      <c r="P828" s="6" t="s">
        <v>36</v>
      </c>
      <c r="Q828" t="s">
        <v>37</v>
      </c>
      <c r="R828" t="s">
        <v>38</v>
      </c>
      <c r="S828" s="9">
        <v>5100</v>
      </c>
      <c r="T828" s="9">
        <v>300</v>
      </c>
      <c r="U828" s="9">
        <v>1530000</v>
      </c>
      <c r="V828" s="6" t="s">
        <v>90</v>
      </c>
      <c r="W828" t="s">
        <v>59</v>
      </c>
      <c r="X828">
        <v>5259153331</v>
      </c>
      <c r="Y828">
        <v>525901001</v>
      </c>
      <c r="Z828" s="3">
        <v>45723.577777777777</v>
      </c>
      <c r="AA828" s="6">
        <v>2025</v>
      </c>
      <c r="AB828" s="1">
        <v>45777</v>
      </c>
    </row>
    <row r="829" spans="1:28" x14ac:dyDescent="0.3">
      <c r="A829" s="4" t="s">
        <v>3139</v>
      </c>
      <c r="B829" s="6" t="s">
        <v>1263</v>
      </c>
      <c r="C829" s="6" t="s">
        <v>1225</v>
      </c>
      <c r="D829">
        <v>2309053058</v>
      </c>
      <c r="E829">
        <v>231001001</v>
      </c>
      <c r="F829" t="s">
        <v>149</v>
      </c>
      <c r="G829" t="s">
        <v>3140</v>
      </c>
      <c r="H829" s="1">
        <v>45720</v>
      </c>
      <c r="J829" s="8">
        <v>45723</v>
      </c>
      <c r="K829" s="1" t="s">
        <v>2872</v>
      </c>
      <c r="L829" t="s">
        <v>3141</v>
      </c>
      <c r="M829" t="s">
        <v>3138</v>
      </c>
      <c r="N829" s="2">
        <v>3431400</v>
      </c>
      <c r="O829" t="s">
        <v>377</v>
      </c>
      <c r="P829" s="6" t="s">
        <v>36</v>
      </c>
      <c r="Q829" t="s">
        <v>37</v>
      </c>
      <c r="R829" t="s">
        <v>38</v>
      </c>
      <c r="S829" s="9">
        <f>39900/8</f>
        <v>4987.5</v>
      </c>
      <c r="T829" s="9">
        <f>86*8</f>
        <v>688</v>
      </c>
      <c r="U829" s="9">
        <v>3431400</v>
      </c>
      <c r="V829" s="6" t="s">
        <v>1268</v>
      </c>
      <c r="W829" t="s">
        <v>1269</v>
      </c>
      <c r="X829">
        <v>2635230089</v>
      </c>
      <c r="Y829">
        <v>773101001</v>
      </c>
      <c r="Z829" s="3">
        <v>45726.426388888889</v>
      </c>
      <c r="AA829" s="6">
        <v>2025</v>
      </c>
      <c r="AB829" s="1">
        <v>46021</v>
      </c>
    </row>
    <row r="830" spans="1:28" x14ac:dyDescent="0.3">
      <c r="A830" t="s">
        <v>3142</v>
      </c>
      <c r="B830" s="6" t="s">
        <v>245</v>
      </c>
      <c r="C830" s="6" t="s">
        <v>246</v>
      </c>
      <c r="D830">
        <v>7107006311</v>
      </c>
      <c r="E830">
        <v>710701001</v>
      </c>
      <c r="F830" t="s">
        <v>52</v>
      </c>
      <c r="G830" t="s">
        <v>3143</v>
      </c>
      <c r="H830" s="1">
        <v>45714</v>
      </c>
      <c r="J830" s="8">
        <v>45726</v>
      </c>
      <c r="K830" s="1" t="s">
        <v>2872</v>
      </c>
      <c r="L830" t="s">
        <v>3144</v>
      </c>
      <c r="M830" t="s">
        <v>1421</v>
      </c>
      <c r="N830" s="2">
        <v>35938217.5</v>
      </c>
      <c r="O830" t="s">
        <v>377</v>
      </c>
      <c r="P830" s="6" t="s">
        <v>891</v>
      </c>
      <c r="Q830" t="s">
        <v>37</v>
      </c>
      <c r="R830" t="s">
        <v>48</v>
      </c>
      <c r="S830" s="15">
        <v>4235.5</v>
      </c>
      <c r="T830" s="9">
        <v>8485</v>
      </c>
      <c r="U830" s="9">
        <v>35938217.5</v>
      </c>
      <c r="V830" s="6" t="s">
        <v>1422</v>
      </c>
      <c r="W830" t="s">
        <v>252</v>
      </c>
      <c r="X830">
        <v>7704413624</v>
      </c>
      <c r="Y830">
        <v>507401001</v>
      </c>
      <c r="Z830" s="3">
        <v>45727.654861111114</v>
      </c>
      <c r="AA830" s="6">
        <v>2025</v>
      </c>
      <c r="AB830" s="1">
        <v>46021</v>
      </c>
    </row>
    <row r="831" spans="1:28" x14ac:dyDescent="0.3">
      <c r="A831" t="s">
        <v>3145</v>
      </c>
      <c r="B831" s="6" t="s">
        <v>245</v>
      </c>
      <c r="C831" s="6" t="s">
        <v>246</v>
      </c>
      <c r="D831">
        <v>7107006311</v>
      </c>
      <c r="E831">
        <v>710701001</v>
      </c>
      <c r="F831" t="s">
        <v>52</v>
      </c>
      <c r="G831" t="s">
        <v>3146</v>
      </c>
      <c r="H831" s="1">
        <v>45713</v>
      </c>
      <c r="J831" s="8">
        <v>45726</v>
      </c>
      <c r="K831" s="1" t="s">
        <v>2872</v>
      </c>
      <c r="L831" t="s">
        <v>3147</v>
      </c>
      <c r="M831" t="s">
        <v>1421</v>
      </c>
      <c r="N831" s="2">
        <v>35938217.5</v>
      </c>
      <c r="O831" t="s">
        <v>377</v>
      </c>
      <c r="P831" s="6" t="s">
        <v>891</v>
      </c>
      <c r="Q831" t="s">
        <v>37</v>
      </c>
      <c r="R831" t="s">
        <v>48</v>
      </c>
      <c r="S831" s="15">
        <v>4235.5</v>
      </c>
      <c r="T831" s="9">
        <v>8485</v>
      </c>
      <c r="U831" s="9">
        <v>35938217.5</v>
      </c>
      <c r="V831" s="6" t="s">
        <v>1422</v>
      </c>
      <c r="W831" t="s">
        <v>252</v>
      </c>
      <c r="X831">
        <v>7704413624</v>
      </c>
      <c r="Y831">
        <v>507401001</v>
      </c>
      <c r="Z831" s="3">
        <v>45727.510416666664</v>
      </c>
      <c r="AA831" s="6">
        <v>2025</v>
      </c>
      <c r="AB831" s="1">
        <v>46021</v>
      </c>
    </row>
    <row r="832" spans="1:28" x14ac:dyDescent="0.3">
      <c r="A832" t="s">
        <v>3148</v>
      </c>
      <c r="B832" s="6" t="s">
        <v>61</v>
      </c>
      <c r="C832" s="6" t="s">
        <v>62</v>
      </c>
      <c r="D832">
        <v>4027022305</v>
      </c>
      <c r="E832">
        <v>402701001</v>
      </c>
      <c r="F832" t="s">
        <v>52</v>
      </c>
      <c r="G832" t="s">
        <v>3149</v>
      </c>
      <c r="H832" s="1">
        <v>45715</v>
      </c>
      <c r="I832" t="s">
        <v>3150</v>
      </c>
      <c r="J832" s="8">
        <v>45726</v>
      </c>
      <c r="K832" s="1" t="s">
        <v>2872</v>
      </c>
      <c r="L832" t="s">
        <v>3149</v>
      </c>
      <c r="M832" t="s">
        <v>1553</v>
      </c>
      <c r="N832" s="2">
        <v>50161000</v>
      </c>
      <c r="O832" t="s">
        <v>1912</v>
      </c>
      <c r="P832" s="6" t="s">
        <v>891</v>
      </c>
      <c r="Q832" t="s">
        <v>37</v>
      </c>
      <c r="R832" t="s">
        <v>38</v>
      </c>
      <c r="S832" s="15">
        <v>5150</v>
      </c>
      <c r="T832" s="9">
        <v>3115</v>
      </c>
      <c r="U832" s="9">
        <v>16042250</v>
      </c>
      <c r="V832" s="6" t="s">
        <v>90</v>
      </c>
      <c r="W832" t="s">
        <v>59</v>
      </c>
      <c r="X832">
        <v>5259153331</v>
      </c>
      <c r="Y832">
        <v>525901001</v>
      </c>
      <c r="Z832" s="3">
        <v>45726.607638888891</v>
      </c>
      <c r="AA832" s="6">
        <v>2025</v>
      </c>
      <c r="AB832" s="1">
        <v>46022</v>
      </c>
    </row>
    <row r="833" spans="1:28" x14ac:dyDescent="0.3">
      <c r="A833" t="s">
        <v>3151</v>
      </c>
      <c r="B833" s="6" t="s">
        <v>554</v>
      </c>
      <c r="C833" s="6" t="s">
        <v>555</v>
      </c>
      <c r="D833">
        <v>7453135827</v>
      </c>
      <c r="E833">
        <v>745301001</v>
      </c>
      <c r="F833" t="s">
        <v>52</v>
      </c>
      <c r="G833" t="s">
        <v>3152</v>
      </c>
      <c r="H833" s="1">
        <v>45713</v>
      </c>
      <c r="J833" s="8">
        <v>45726</v>
      </c>
      <c r="K833" s="1" t="s">
        <v>2872</v>
      </c>
      <c r="L833" t="s">
        <v>3153</v>
      </c>
      <c r="M833" t="s">
        <v>3154</v>
      </c>
      <c r="N833" s="2">
        <v>45000000</v>
      </c>
      <c r="O833" t="s">
        <v>3155</v>
      </c>
      <c r="P833" s="6" t="s">
        <v>891</v>
      </c>
      <c r="Q833" t="s">
        <v>1993</v>
      </c>
      <c r="R833" t="s">
        <v>48</v>
      </c>
      <c r="S833" s="9">
        <v>5000</v>
      </c>
      <c r="T833" s="9">
        <v>3000</v>
      </c>
      <c r="U833" s="9">
        <v>15000000</v>
      </c>
      <c r="V833" s="6" t="s">
        <v>3156</v>
      </c>
      <c r="W833" t="s">
        <v>59</v>
      </c>
      <c r="X833">
        <v>6684041878</v>
      </c>
      <c r="Y833">
        <v>668401001</v>
      </c>
      <c r="Z833" s="3">
        <v>45729.652777777781</v>
      </c>
      <c r="AA833" s="6">
        <v>2025</v>
      </c>
      <c r="AB833" s="1">
        <v>46016</v>
      </c>
    </row>
    <row r="834" spans="1:28" x14ac:dyDescent="0.3">
      <c r="A834" t="s">
        <v>3157</v>
      </c>
      <c r="B834" s="6" t="s">
        <v>554</v>
      </c>
      <c r="C834" s="6" t="s">
        <v>555</v>
      </c>
      <c r="D834">
        <v>7453135827</v>
      </c>
      <c r="E834">
        <v>745301001</v>
      </c>
      <c r="F834" t="s">
        <v>52</v>
      </c>
      <c r="G834" t="s">
        <v>3158</v>
      </c>
      <c r="H834" s="1">
        <v>45713</v>
      </c>
      <c r="J834" s="8">
        <v>45726</v>
      </c>
      <c r="K834" s="1" t="s">
        <v>2872</v>
      </c>
      <c r="L834" t="s">
        <v>3159</v>
      </c>
      <c r="M834" t="s">
        <v>3154</v>
      </c>
      <c r="N834" s="2">
        <v>36015000</v>
      </c>
      <c r="O834" t="s">
        <v>3155</v>
      </c>
      <c r="P834" s="6" t="s">
        <v>891</v>
      </c>
      <c r="Q834" t="s">
        <v>1993</v>
      </c>
      <c r="R834" t="s">
        <v>48</v>
      </c>
      <c r="S834" s="9">
        <v>5145</v>
      </c>
      <c r="T834" s="9">
        <v>2667</v>
      </c>
      <c r="U834" s="9">
        <v>13721715</v>
      </c>
      <c r="V834" s="6" t="s">
        <v>3156</v>
      </c>
      <c r="W834" t="s">
        <v>59</v>
      </c>
      <c r="X834">
        <v>6684041878</v>
      </c>
      <c r="Y834">
        <v>668401001</v>
      </c>
      <c r="Z834" s="3">
        <v>45730.344444444447</v>
      </c>
      <c r="AA834" s="6">
        <v>2025</v>
      </c>
      <c r="AB834" s="1">
        <v>46016</v>
      </c>
    </row>
    <row r="835" spans="1:28" x14ac:dyDescent="0.3">
      <c r="A835" t="s">
        <v>3160</v>
      </c>
      <c r="B835" s="6" t="s">
        <v>554</v>
      </c>
      <c r="C835" s="6" t="s">
        <v>555</v>
      </c>
      <c r="D835">
        <v>7453135827</v>
      </c>
      <c r="E835">
        <v>745301001</v>
      </c>
      <c r="F835" t="s">
        <v>52</v>
      </c>
      <c r="G835" t="s">
        <v>3161</v>
      </c>
      <c r="H835" s="1">
        <v>45713</v>
      </c>
      <c r="J835" s="8">
        <v>45726</v>
      </c>
      <c r="K835" s="1" t="s">
        <v>2872</v>
      </c>
      <c r="L835" t="s">
        <v>3162</v>
      </c>
      <c r="M835" t="s">
        <v>3154</v>
      </c>
      <c r="N835" s="2">
        <v>41200000</v>
      </c>
      <c r="O835" t="s">
        <v>3155</v>
      </c>
      <c r="P835" s="6" t="s">
        <v>891</v>
      </c>
      <c r="Q835" t="s">
        <v>37</v>
      </c>
      <c r="R835" t="s">
        <v>48</v>
      </c>
      <c r="S835" s="9">
        <v>5150</v>
      </c>
      <c r="T835" s="9">
        <v>2000</v>
      </c>
      <c r="U835" s="9">
        <v>10300000</v>
      </c>
      <c r="V835" s="6" t="s">
        <v>58</v>
      </c>
      <c r="W835" t="s">
        <v>59</v>
      </c>
      <c r="X835">
        <v>5262222144</v>
      </c>
      <c r="Y835">
        <v>526201001</v>
      </c>
      <c r="Z835" s="3">
        <v>45730.415277777778</v>
      </c>
      <c r="AA835" s="6">
        <v>2025</v>
      </c>
      <c r="AB835" s="1">
        <v>45991</v>
      </c>
    </row>
    <row r="836" spans="1:28" x14ac:dyDescent="0.3">
      <c r="A836" t="s">
        <v>3163</v>
      </c>
      <c r="B836" s="6" t="s">
        <v>501</v>
      </c>
      <c r="C836" s="6" t="s">
        <v>502</v>
      </c>
      <c r="D836">
        <v>6318197367</v>
      </c>
      <c r="E836">
        <v>631801001</v>
      </c>
      <c r="F836" t="s">
        <v>52</v>
      </c>
      <c r="G836" t="s">
        <v>3164</v>
      </c>
      <c r="H836" s="1">
        <v>45713</v>
      </c>
      <c r="I836" t="s">
        <v>3165</v>
      </c>
      <c r="J836" s="8">
        <v>45726</v>
      </c>
      <c r="K836" s="1" t="s">
        <v>2872</v>
      </c>
      <c r="L836" t="s">
        <v>3166</v>
      </c>
      <c r="M836" t="s">
        <v>3167</v>
      </c>
      <c r="N836" s="2">
        <v>4347367.2</v>
      </c>
      <c r="O836" t="s">
        <v>2458</v>
      </c>
      <c r="P836" s="6" t="s">
        <v>2277</v>
      </c>
      <c r="R836" t="s">
        <v>48</v>
      </c>
      <c r="S836" s="15">
        <v>4237.2</v>
      </c>
      <c r="T836" s="9">
        <v>1026</v>
      </c>
      <c r="U836" s="9">
        <v>4347367.2</v>
      </c>
      <c r="V836" s="6" t="s">
        <v>2459</v>
      </c>
      <c r="W836" t="s">
        <v>2460</v>
      </c>
      <c r="X836">
        <v>4003032047</v>
      </c>
      <c r="Y836">
        <v>772201001</v>
      </c>
      <c r="Z836" s="3">
        <v>45726.593055555553</v>
      </c>
      <c r="AA836" s="6">
        <v>2025</v>
      </c>
      <c r="AB836" s="1">
        <v>46022</v>
      </c>
    </row>
    <row r="837" spans="1:28" x14ac:dyDescent="0.3">
      <c r="A837" t="s">
        <v>3168</v>
      </c>
      <c r="B837" s="6" t="s">
        <v>245</v>
      </c>
      <c r="C837" s="6" t="s">
        <v>246</v>
      </c>
      <c r="D837">
        <v>7107006311</v>
      </c>
      <c r="E837">
        <v>710701001</v>
      </c>
      <c r="F837" t="s">
        <v>52</v>
      </c>
      <c r="G837" t="s">
        <v>3169</v>
      </c>
      <c r="H837" s="1">
        <v>45714</v>
      </c>
      <c r="J837" s="8">
        <v>45726</v>
      </c>
      <c r="K837" s="1" t="s">
        <v>2872</v>
      </c>
      <c r="L837" t="s">
        <v>3170</v>
      </c>
      <c r="M837" t="s">
        <v>1421</v>
      </c>
      <c r="N837" s="2">
        <v>24214353.5</v>
      </c>
      <c r="O837" t="s">
        <v>377</v>
      </c>
      <c r="P837" s="6" t="s">
        <v>36</v>
      </c>
      <c r="R837" t="s">
        <v>48</v>
      </c>
      <c r="S837" s="15">
        <v>4235.5</v>
      </c>
      <c r="T837" s="9">
        <v>5717</v>
      </c>
      <c r="U837" s="9">
        <v>24214353.5</v>
      </c>
      <c r="V837" s="6" t="s">
        <v>251</v>
      </c>
      <c r="W837" t="s">
        <v>252</v>
      </c>
      <c r="X837">
        <v>5027262517</v>
      </c>
      <c r="Y837">
        <v>502701001</v>
      </c>
      <c r="Z837" s="3">
        <v>45727.655555555553</v>
      </c>
      <c r="AA837" s="6">
        <v>2025</v>
      </c>
      <c r="AB837" s="1">
        <v>46021</v>
      </c>
    </row>
    <row r="838" spans="1:28" x14ac:dyDescent="0.3">
      <c r="A838" t="s">
        <v>3171</v>
      </c>
      <c r="B838" s="6" t="s">
        <v>245</v>
      </c>
      <c r="C838" s="6" t="s">
        <v>246</v>
      </c>
      <c r="D838">
        <v>7107006311</v>
      </c>
      <c r="E838">
        <v>710701001</v>
      </c>
      <c r="F838" t="s">
        <v>52</v>
      </c>
      <c r="G838" t="s">
        <v>3172</v>
      </c>
      <c r="H838" s="1">
        <v>45713</v>
      </c>
      <c r="J838" s="8">
        <v>45726</v>
      </c>
      <c r="K838" s="1" t="s">
        <v>2872</v>
      </c>
      <c r="L838" t="s">
        <v>3173</v>
      </c>
      <c r="M838" t="s">
        <v>1421</v>
      </c>
      <c r="N838" s="2">
        <v>24210118</v>
      </c>
      <c r="O838" t="s">
        <v>377</v>
      </c>
      <c r="P838" s="6" t="s">
        <v>36</v>
      </c>
      <c r="R838" t="s">
        <v>48</v>
      </c>
      <c r="S838" s="15">
        <v>4235.5</v>
      </c>
      <c r="T838" s="9">
        <v>5716</v>
      </c>
      <c r="U838" s="9">
        <v>24210118</v>
      </c>
      <c r="V838" s="6" t="s">
        <v>251</v>
      </c>
      <c r="W838" t="s">
        <v>252</v>
      </c>
      <c r="X838">
        <v>5027262517</v>
      </c>
      <c r="Y838">
        <v>502701001</v>
      </c>
      <c r="Z838" s="3">
        <v>45727.669444444444</v>
      </c>
      <c r="AA838" s="6">
        <v>2025</v>
      </c>
      <c r="AB838" s="1">
        <v>46021</v>
      </c>
    </row>
    <row r="839" spans="1:28" x14ac:dyDescent="0.3">
      <c r="A839" t="s">
        <v>3174</v>
      </c>
      <c r="B839" s="6" t="s">
        <v>1022</v>
      </c>
      <c r="C839" s="6" t="s">
        <v>1023</v>
      </c>
      <c r="D839">
        <v>901024085</v>
      </c>
      <c r="E839">
        <v>90101001</v>
      </c>
      <c r="F839" t="s">
        <v>52</v>
      </c>
      <c r="G839" t="s">
        <v>3175</v>
      </c>
      <c r="H839" s="1">
        <v>45713</v>
      </c>
      <c r="I839" t="s">
        <v>3165</v>
      </c>
      <c r="J839" s="8">
        <v>45726</v>
      </c>
      <c r="K839" s="1" t="s">
        <v>2872</v>
      </c>
      <c r="L839" t="s">
        <v>3175</v>
      </c>
      <c r="M839" t="s">
        <v>3176</v>
      </c>
      <c r="N839" s="2">
        <v>24920152.399999999</v>
      </c>
      <c r="O839" t="s">
        <v>3177</v>
      </c>
      <c r="P839" s="6" t="s">
        <v>36</v>
      </c>
      <c r="R839" t="s">
        <v>66</v>
      </c>
      <c r="S839" s="9">
        <v>5176.6000000000004</v>
      </c>
      <c r="T839" s="9">
        <v>4814</v>
      </c>
      <c r="U839" s="9">
        <v>24920152.399999999</v>
      </c>
      <c r="V839" s="6" t="s">
        <v>58</v>
      </c>
      <c r="W839" t="s">
        <v>59</v>
      </c>
      <c r="X839">
        <v>5262222144</v>
      </c>
      <c r="Y839">
        <v>526201001</v>
      </c>
      <c r="Z839" s="3">
        <v>45726.400000000001</v>
      </c>
      <c r="AA839" s="6">
        <v>2025</v>
      </c>
      <c r="AB839" s="1">
        <v>46022</v>
      </c>
    </row>
    <row r="840" spans="1:28" x14ac:dyDescent="0.3">
      <c r="A840" t="s">
        <v>3178</v>
      </c>
      <c r="B840" s="6" t="s">
        <v>1022</v>
      </c>
      <c r="C840" s="6" t="s">
        <v>1023</v>
      </c>
      <c r="D840">
        <v>901024085</v>
      </c>
      <c r="E840">
        <v>90101001</v>
      </c>
      <c r="F840" t="s">
        <v>52</v>
      </c>
      <c r="G840" t="s">
        <v>3179</v>
      </c>
      <c r="H840" s="1">
        <v>45713</v>
      </c>
      <c r="J840" s="8">
        <v>45726</v>
      </c>
      <c r="K840" s="1" t="s">
        <v>2872</v>
      </c>
      <c r="L840" t="s">
        <v>3179</v>
      </c>
      <c r="M840" t="s">
        <v>3180</v>
      </c>
      <c r="N840" s="2">
        <v>2174201.4</v>
      </c>
      <c r="O840" t="s">
        <v>494</v>
      </c>
      <c r="P840" s="6" t="s">
        <v>36</v>
      </c>
      <c r="R840" t="s">
        <v>66</v>
      </c>
      <c r="S840" s="9">
        <v>5176.67</v>
      </c>
      <c r="T840" s="9">
        <v>420</v>
      </c>
      <c r="U840" s="9">
        <v>2174201.4</v>
      </c>
      <c r="V840" s="6" t="s">
        <v>58</v>
      </c>
      <c r="W840" t="s">
        <v>59</v>
      </c>
      <c r="X840" s="4" t="s">
        <v>3181</v>
      </c>
      <c r="Y840">
        <v>526201001</v>
      </c>
      <c r="Z840" s="3">
        <v>45726.443749999999</v>
      </c>
      <c r="AA840" s="6">
        <v>2025</v>
      </c>
      <c r="AB840" s="1">
        <v>46022</v>
      </c>
    </row>
    <row r="841" spans="1:28" x14ac:dyDescent="0.3">
      <c r="A841" t="s">
        <v>3182</v>
      </c>
      <c r="B841" s="6" t="s">
        <v>1022</v>
      </c>
      <c r="C841" s="6" t="s">
        <v>1023</v>
      </c>
      <c r="D841">
        <v>901024085</v>
      </c>
      <c r="E841">
        <v>90101001</v>
      </c>
      <c r="F841" t="s">
        <v>52</v>
      </c>
      <c r="G841" t="s">
        <v>3183</v>
      </c>
      <c r="H841" s="1">
        <v>45713</v>
      </c>
      <c r="I841" t="s">
        <v>3165</v>
      </c>
      <c r="J841" s="8">
        <v>45726</v>
      </c>
      <c r="K841" s="1" t="s">
        <v>2872</v>
      </c>
      <c r="L841" t="s">
        <v>3183</v>
      </c>
      <c r="M841" t="s">
        <v>3184</v>
      </c>
      <c r="N841" s="2">
        <v>9048819.1600000001</v>
      </c>
      <c r="O841" t="s">
        <v>3185</v>
      </c>
      <c r="P841" s="6" t="s">
        <v>36</v>
      </c>
      <c r="R841" t="s">
        <v>66</v>
      </c>
      <c r="S841" s="9">
        <v>5176.67</v>
      </c>
      <c r="T841" s="9">
        <v>1748</v>
      </c>
      <c r="U841" s="9">
        <v>9048819.1600000001</v>
      </c>
      <c r="V841" s="6" t="s">
        <v>58</v>
      </c>
      <c r="W841" t="s">
        <v>59</v>
      </c>
      <c r="X841">
        <v>5262222144</v>
      </c>
      <c r="Y841">
        <v>526201001</v>
      </c>
      <c r="Z841" s="3">
        <v>45726.386111111111</v>
      </c>
      <c r="AA841" s="6">
        <v>2025</v>
      </c>
      <c r="AB841" s="1">
        <v>46022</v>
      </c>
    </row>
    <row r="842" spans="1:28" x14ac:dyDescent="0.3">
      <c r="A842" t="s">
        <v>3148</v>
      </c>
      <c r="B842" s="6" t="s">
        <v>61</v>
      </c>
      <c r="C842" s="6" t="s">
        <v>62</v>
      </c>
      <c r="D842">
        <v>4027022305</v>
      </c>
      <c r="E842">
        <v>402701001</v>
      </c>
      <c r="F842" t="s">
        <v>52</v>
      </c>
      <c r="G842" t="s">
        <v>3149</v>
      </c>
      <c r="H842" s="1">
        <v>45715</v>
      </c>
      <c r="I842" t="s">
        <v>3150</v>
      </c>
      <c r="J842" s="8">
        <v>45726</v>
      </c>
      <c r="K842" s="1" t="s">
        <v>2872</v>
      </c>
      <c r="L842" t="s">
        <v>3149</v>
      </c>
      <c r="M842" t="s">
        <v>1553</v>
      </c>
      <c r="N842" s="2">
        <v>50161000</v>
      </c>
      <c r="O842" t="s">
        <v>3186</v>
      </c>
      <c r="P842" s="6" t="s">
        <v>36</v>
      </c>
      <c r="R842" t="s">
        <v>38</v>
      </c>
      <c r="S842" s="15">
        <v>5150</v>
      </c>
      <c r="T842" s="9">
        <v>3250</v>
      </c>
      <c r="U842" s="9">
        <v>16737500</v>
      </c>
      <c r="V842" s="6" t="s">
        <v>90</v>
      </c>
      <c r="W842" t="s">
        <v>59</v>
      </c>
      <c r="X842">
        <v>5259153331</v>
      </c>
      <c r="Y842">
        <v>525901001</v>
      </c>
      <c r="Z842" s="3">
        <v>45726.607638888891</v>
      </c>
      <c r="AA842" s="6">
        <v>2025</v>
      </c>
      <c r="AB842" s="1">
        <v>46022</v>
      </c>
    </row>
    <row r="843" spans="1:28" x14ac:dyDescent="0.3">
      <c r="A843" t="s">
        <v>3148</v>
      </c>
      <c r="B843" s="6" t="s">
        <v>61</v>
      </c>
      <c r="C843" s="6" t="s">
        <v>62</v>
      </c>
      <c r="D843">
        <v>4027022305</v>
      </c>
      <c r="E843">
        <v>402701001</v>
      </c>
      <c r="F843" t="s">
        <v>52</v>
      </c>
      <c r="G843" t="s">
        <v>3149</v>
      </c>
      <c r="H843" s="1">
        <v>45715</v>
      </c>
      <c r="I843" t="s">
        <v>3150</v>
      </c>
      <c r="J843" s="8">
        <v>45726</v>
      </c>
      <c r="K843" s="1" t="s">
        <v>2872</v>
      </c>
      <c r="L843" t="s">
        <v>3149</v>
      </c>
      <c r="M843" t="s">
        <v>1553</v>
      </c>
      <c r="N843" s="2">
        <v>50161000</v>
      </c>
      <c r="O843" t="s">
        <v>377</v>
      </c>
      <c r="P843" s="6" t="s">
        <v>2277</v>
      </c>
      <c r="R843" t="s">
        <v>38</v>
      </c>
      <c r="S843" s="15">
        <v>5150</v>
      </c>
      <c r="T843" s="9">
        <v>3375</v>
      </c>
      <c r="U843" s="9">
        <v>17381250</v>
      </c>
      <c r="V843" s="6" t="s">
        <v>90</v>
      </c>
      <c r="W843" t="s">
        <v>59</v>
      </c>
      <c r="X843">
        <v>5259153331</v>
      </c>
      <c r="Y843">
        <v>525901001</v>
      </c>
      <c r="Z843" s="3">
        <v>45726.607638888891</v>
      </c>
      <c r="AA843" s="6">
        <v>2025</v>
      </c>
      <c r="AB843" s="1">
        <v>46022</v>
      </c>
    </row>
    <row r="844" spans="1:28" x14ac:dyDescent="0.3">
      <c r="A844" t="s">
        <v>3187</v>
      </c>
      <c r="B844" s="6" t="s">
        <v>554</v>
      </c>
      <c r="C844" s="6" t="s">
        <v>555</v>
      </c>
      <c r="D844">
        <v>7453135827</v>
      </c>
      <c r="E844">
        <v>745301001</v>
      </c>
      <c r="F844" t="s">
        <v>52</v>
      </c>
      <c r="G844" t="s">
        <v>3188</v>
      </c>
      <c r="H844" s="1">
        <v>45713</v>
      </c>
      <c r="J844" s="8">
        <v>45726</v>
      </c>
      <c r="K844" s="1" t="s">
        <v>2872</v>
      </c>
      <c r="L844" t="s">
        <v>3189</v>
      </c>
      <c r="M844" t="s">
        <v>3190</v>
      </c>
      <c r="N844" s="2">
        <v>25937500</v>
      </c>
      <c r="O844" t="s">
        <v>3191</v>
      </c>
      <c r="P844" s="6" t="s">
        <v>1814</v>
      </c>
      <c r="Q844" t="s">
        <v>37</v>
      </c>
      <c r="R844" t="s">
        <v>48</v>
      </c>
      <c r="S844" s="9">
        <v>5187.5</v>
      </c>
      <c r="T844" s="9">
        <v>4000</v>
      </c>
      <c r="U844" s="9">
        <v>20750000</v>
      </c>
      <c r="V844" s="6" t="s">
        <v>3156</v>
      </c>
      <c r="W844" t="s">
        <v>59</v>
      </c>
      <c r="X844">
        <v>6684041878</v>
      </c>
      <c r="Y844">
        <v>668401001</v>
      </c>
      <c r="Z844" s="3">
        <v>45730.348611111112</v>
      </c>
      <c r="AA844" s="6">
        <v>2025</v>
      </c>
      <c r="AB844" s="1">
        <v>46016</v>
      </c>
    </row>
    <row r="845" spans="1:28" x14ac:dyDescent="0.3">
      <c r="A845" t="s">
        <v>3187</v>
      </c>
      <c r="B845" s="6" t="s">
        <v>554</v>
      </c>
      <c r="C845" s="6" t="s">
        <v>555</v>
      </c>
      <c r="D845">
        <v>7453135827</v>
      </c>
      <c r="E845">
        <v>745301001</v>
      </c>
      <c r="F845" t="s">
        <v>52</v>
      </c>
      <c r="G845" t="s">
        <v>3188</v>
      </c>
      <c r="H845" s="1">
        <v>45713</v>
      </c>
      <c r="J845" s="8">
        <v>45726</v>
      </c>
      <c r="K845" s="1" t="s">
        <v>2872</v>
      </c>
      <c r="L845" t="s">
        <v>3189</v>
      </c>
      <c r="M845" t="s">
        <v>3190</v>
      </c>
      <c r="N845" s="2">
        <v>25937500</v>
      </c>
      <c r="O845" t="s">
        <v>3191</v>
      </c>
      <c r="P845" s="6" t="s">
        <v>2277</v>
      </c>
      <c r="Q845" t="s">
        <v>37</v>
      </c>
      <c r="R845" t="s">
        <v>48</v>
      </c>
      <c r="S845" s="9">
        <v>5187.5</v>
      </c>
      <c r="T845" s="9">
        <v>1000</v>
      </c>
      <c r="U845" s="9">
        <v>5187500</v>
      </c>
      <c r="V845" s="6" t="s">
        <v>3156</v>
      </c>
      <c r="W845" t="s">
        <v>59</v>
      </c>
      <c r="X845">
        <v>6684041878</v>
      </c>
      <c r="Y845">
        <v>668401001</v>
      </c>
      <c r="Z845" s="3">
        <v>45730.348611111112</v>
      </c>
      <c r="AA845" s="6">
        <v>2025</v>
      </c>
      <c r="AB845" s="1">
        <v>46016</v>
      </c>
    </row>
    <row r="846" spans="1:28" x14ac:dyDescent="0.3">
      <c r="A846" t="s">
        <v>3151</v>
      </c>
      <c r="B846" s="6" t="s">
        <v>554</v>
      </c>
      <c r="C846" s="6" t="s">
        <v>555</v>
      </c>
      <c r="D846">
        <v>7453135827</v>
      </c>
      <c r="E846">
        <v>745301001</v>
      </c>
      <c r="F846" t="s">
        <v>52</v>
      </c>
      <c r="G846" t="s">
        <v>3152</v>
      </c>
      <c r="H846" s="1">
        <v>45713</v>
      </c>
      <c r="J846" s="8">
        <v>45726</v>
      </c>
      <c r="K846" s="1" t="s">
        <v>2872</v>
      </c>
      <c r="L846" t="s">
        <v>3153</v>
      </c>
      <c r="M846" t="s">
        <v>3154</v>
      </c>
      <c r="N846" s="2">
        <v>45000000</v>
      </c>
      <c r="O846" t="s">
        <v>3191</v>
      </c>
      <c r="P846" s="6" t="s">
        <v>1814</v>
      </c>
      <c r="Q846" t="s">
        <v>1993</v>
      </c>
      <c r="R846" t="s">
        <v>48</v>
      </c>
      <c r="S846" s="9">
        <v>5000</v>
      </c>
      <c r="T846" s="9">
        <v>3000</v>
      </c>
      <c r="U846" s="9">
        <v>15000000</v>
      </c>
      <c r="V846" s="6" t="s">
        <v>3156</v>
      </c>
      <c r="W846" t="s">
        <v>59</v>
      </c>
      <c r="X846">
        <v>6684041878</v>
      </c>
      <c r="Y846">
        <v>668401001</v>
      </c>
      <c r="Z846" s="3">
        <v>45729.652777777781</v>
      </c>
      <c r="AA846" s="6">
        <v>2025</v>
      </c>
      <c r="AB846" s="1">
        <v>46016</v>
      </c>
    </row>
    <row r="847" spans="1:28" x14ac:dyDescent="0.3">
      <c r="A847" t="s">
        <v>3151</v>
      </c>
      <c r="B847" s="6" t="s">
        <v>554</v>
      </c>
      <c r="C847" s="6" t="s">
        <v>555</v>
      </c>
      <c r="D847">
        <v>7453135827</v>
      </c>
      <c r="E847">
        <v>745301001</v>
      </c>
      <c r="F847" t="s">
        <v>52</v>
      </c>
      <c r="G847" t="s">
        <v>3152</v>
      </c>
      <c r="H847" s="1">
        <v>45713</v>
      </c>
      <c r="J847" s="8">
        <v>45726</v>
      </c>
      <c r="K847" s="1" t="s">
        <v>2872</v>
      </c>
      <c r="L847" t="s">
        <v>3153</v>
      </c>
      <c r="M847" t="s">
        <v>3154</v>
      </c>
      <c r="N847" s="2">
        <v>45000000</v>
      </c>
      <c r="O847" t="s">
        <v>3191</v>
      </c>
      <c r="P847" s="6" t="s">
        <v>2277</v>
      </c>
      <c r="Q847" t="s">
        <v>1993</v>
      </c>
      <c r="R847" t="s">
        <v>48</v>
      </c>
      <c r="S847" s="9">
        <v>5000</v>
      </c>
      <c r="T847" s="9">
        <v>3000</v>
      </c>
      <c r="U847" s="9">
        <v>15000000</v>
      </c>
      <c r="V847" s="6" t="s">
        <v>3156</v>
      </c>
      <c r="W847" t="s">
        <v>59</v>
      </c>
      <c r="X847">
        <v>6684041878</v>
      </c>
      <c r="Y847">
        <v>668401001</v>
      </c>
      <c r="Z847" s="3">
        <v>45729.652777777781</v>
      </c>
      <c r="AA847" s="6">
        <v>2025</v>
      </c>
      <c r="AB847" s="1">
        <v>46016</v>
      </c>
    </row>
    <row r="848" spans="1:28" x14ac:dyDescent="0.3">
      <c r="A848" t="s">
        <v>3157</v>
      </c>
      <c r="B848" s="6" t="s">
        <v>554</v>
      </c>
      <c r="C848" s="6" t="s">
        <v>555</v>
      </c>
      <c r="D848">
        <v>7453135827</v>
      </c>
      <c r="E848">
        <v>745301001</v>
      </c>
      <c r="F848" t="s">
        <v>52</v>
      </c>
      <c r="G848" t="s">
        <v>3158</v>
      </c>
      <c r="H848" s="1">
        <v>45713</v>
      </c>
      <c r="J848" s="8">
        <v>45726</v>
      </c>
      <c r="K848" s="1" t="s">
        <v>2872</v>
      </c>
      <c r="L848" t="s">
        <v>3159</v>
      </c>
      <c r="M848" t="s">
        <v>3154</v>
      </c>
      <c r="N848" s="2">
        <v>36015000</v>
      </c>
      <c r="O848" t="s">
        <v>3191</v>
      </c>
      <c r="P848" s="6" t="s">
        <v>1814</v>
      </c>
      <c r="Q848" t="s">
        <v>1993</v>
      </c>
      <c r="R848" t="s">
        <v>48</v>
      </c>
      <c r="S848" s="9">
        <v>5145</v>
      </c>
      <c r="T848" s="9">
        <v>666</v>
      </c>
      <c r="U848" s="9">
        <v>3426570</v>
      </c>
      <c r="V848" s="6" t="s">
        <v>3156</v>
      </c>
      <c r="W848" t="s">
        <v>59</v>
      </c>
      <c r="X848">
        <v>6684041878</v>
      </c>
      <c r="Y848">
        <v>668401001</v>
      </c>
      <c r="Z848" s="3">
        <v>45730.344444444447</v>
      </c>
      <c r="AA848" s="6">
        <v>2025</v>
      </c>
      <c r="AB848" s="1">
        <v>46016</v>
      </c>
    </row>
    <row r="849" spans="1:28" x14ac:dyDescent="0.3">
      <c r="A849" t="s">
        <v>3157</v>
      </c>
      <c r="B849" s="6" t="s">
        <v>554</v>
      </c>
      <c r="C849" s="6" t="s">
        <v>555</v>
      </c>
      <c r="D849">
        <v>7453135827</v>
      </c>
      <c r="E849">
        <v>745301001</v>
      </c>
      <c r="F849" t="s">
        <v>52</v>
      </c>
      <c r="G849" t="s">
        <v>3158</v>
      </c>
      <c r="H849" s="1">
        <v>45713</v>
      </c>
      <c r="J849" s="8">
        <v>45726</v>
      </c>
      <c r="K849" s="1" t="s">
        <v>2872</v>
      </c>
      <c r="L849" t="s">
        <v>3159</v>
      </c>
      <c r="M849" t="s">
        <v>3154</v>
      </c>
      <c r="N849" s="2">
        <v>36015000</v>
      </c>
      <c r="O849" t="s">
        <v>3191</v>
      </c>
      <c r="P849" s="6" t="s">
        <v>2277</v>
      </c>
      <c r="Q849" t="s">
        <v>1993</v>
      </c>
      <c r="R849" t="s">
        <v>48</v>
      </c>
      <c r="S849" s="9">
        <v>5145</v>
      </c>
      <c r="T849" s="9">
        <v>3667</v>
      </c>
      <c r="U849" s="9">
        <v>18866715</v>
      </c>
      <c r="V849" s="6" t="s">
        <v>3156</v>
      </c>
      <c r="W849" t="s">
        <v>59</v>
      </c>
      <c r="X849">
        <v>6684041878</v>
      </c>
      <c r="Y849">
        <v>668401001</v>
      </c>
      <c r="Z849" s="3">
        <v>45730.344444444447</v>
      </c>
      <c r="AA849" s="6">
        <v>2025</v>
      </c>
      <c r="AB849" s="1">
        <v>46016</v>
      </c>
    </row>
    <row r="850" spans="1:28" x14ac:dyDescent="0.3">
      <c r="A850" t="s">
        <v>3160</v>
      </c>
      <c r="B850" s="6" t="s">
        <v>554</v>
      </c>
      <c r="C850" s="6" t="s">
        <v>555</v>
      </c>
      <c r="D850">
        <v>7453135827</v>
      </c>
      <c r="E850">
        <v>745301001</v>
      </c>
      <c r="F850" t="s">
        <v>52</v>
      </c>
      <c r="G850" t="s">
        <v>3161</v>
      </c>
      <c r="H850" s="1">
        <v>45713</v>
      </c>
      <c r="J850" s="8">
        <v>45726</v>
      </c>
      <c r="K850" s="1" t="s">
        <v>2872</v>
      </c>
      <c r="L850" t="s">
        <v>3162</v>
      </c>
      <c r="M850" t="s">
        <v>3154</v>
      </c>
      <c r="N850" s="2">
        <v>41200000</v>
      </c>
      <c r="O850" t="s">
        <v>3192</v>
      </c>
      <c r="P850" s="6" t="s">
        <v>36</v>
      </c>
      <c r="Q850" t="s">
        <v>37</v>
      </c>
      <c r="R850" t="s">
        <v>48</v>
      </c>
      <c r="S850" s="9">
        <v>5150</v>
      </c>
      <c r="T850" s="9">
        <v>6000</v>
      </c>
      <c r="U850" s="9">
        <v>30900000</v>
      </c>
      <c r="V850" s="6" t="s">
        <v>58</v>
      </c>
      <c r="W850" t="s">
        <v>59</v>
      </c>
      <c r="X850">
        <v>5262222144</v>
      </c>
      <c r="Y850">
        <v>526201001</v>
      </c>
      <c r="Z850" s="3">
        <v>45730.415277777778</v>
      </c>
      <c r="AA850" s="6">
        <v>2025</v>
      </c>
      <c r="AB850" s="1">
        <v>45991</v>
      </c>
    </row>
    <row r="851" spans="1:28" x14ac:dyDescent="0.3">
      <c r="A851" t="s">
        <v>3193</v>
      </c>
      <c r="B851" s="6" t="s">
        <v>61</v>
      </c>
      <c r="C851" s="6" t="s">
        <v>62</v>
      </c>
      <c r="D851">
        <v>4027022305</v>
      </c>
      <c r="E851">
        <v>402701001</v>
      </c>
      <c r="F851" t="s">
        <v>52</v>
      </c>
      <c r="G851" t="s">
        <v>3194</v>
      </c>
      <c r="H851" s="1">
        <v>45715</v>
      </c>
      <c r="I851" t="s">
        <v>3150</v>
      </c>
      <c r="J851" s="8">
        <v>45726</v>
      </c>
      <c r="K851" s="1" t="s">
        <v>2872</v>
      </c>
      <c r="L851" t="s">
        <v>3194</v>
      </c>
      <c r="M851" t="s">
        <v>1553</v>
      </c>
      <c r="N851" s="2">
        <v>1339000</v>
      </c>
      <c r="O851" t="s">
        <v>1912</v>
      </c>
      <c r="P851" s="6" t="s">
        <v>891</v>
      </c>
      <c r="Q851" t="s">
        <v>37</v>
      </c>
      <c r="R851" t="s">
        <v>38</v>
      </c>
      <c r="S851" s="15">
        <v>5150</v>
      </c>
      <c r="T851" s="9">
        <v>260</v>
      </c>
      <c r="U851" s="9">
        <v>1339000</v>
      </c>
      <c r="V851" s="6" t="s">
        <v>90</v>
      </c>
      <c r="W851" t="s">
        <v>59</v>
      </c>
      <c r="X851">
        <v>5259153331</v>
      </c>
      <c r="Y851">
        <v>525901001</v>
      </c>
      <c r="Z851" s="3">
        <v>45726.609722222223</v>
      </c>
      <c r="AA851" s="6">
        <v>2025</v>
      </c>
      <c r="AB851" s="1">
        <v>46022</v>
      </c>
    </row>
    <row r="852" spans="1:28" x14ac:dyDescent="0.3">
      <c r="A852" t="s">
        <v>3195</v>
      </c>
      <c r="B852" s="6" t="s">
        <v>2148</v>
      </c>
      <c r="C852" s="6" t="s">
        <v>1859</v>
      </c>
      <c r="D852">
        <v>2020003211</v>
      </c>
      <c r="E852">
        <v>201601001</v>
      </c>
      <c r="F852" t="s">
        <v>44</v>
      </c>
      <c r="G852" t="s">
        <v>3196</v>
      </c>
      <c r="H852" s="1">
        <v>45727</v>
      </c>
      <c r="J852" s="8">
        <v>45727</v>
      </c>
      <c r="K852" s="1" t="s">
        <v>2872</v>
      </c>
      <c r="L852" t="s">
        <v>3197</v>
      </c>
      <c r="M852" t="s">
        <v>3198</v>
      </c>
      <c r="N852" s="2">
        <v>4595151.5199999996</v>
      </c>
      <c r="O852" t="s">
        <v>3199</v>
      </c>
      <c r="P852" s="6" t="s">
        <v>36</v>
      </c>
      <c r="R852" t="s">
        <v>48</v>
      </c>
      <c r="S852" s="9">
        <f>U852/T852</f>
        <v>6499.5071004243273</v>
      </c>
      <c r="T852" s="9">
        <v>707</v>
      </c>
      <c r="U852" s="9">
        <v>4595151.5199999996</v>
      </c>
      <c r="V852" s="6" t="s">
        <v>39</v>
      </c>
      <c r="W852" t="s">
        <v>40</v>
      </c>
      <c r="AA852" s="6">
        <v>2025</v>
      </c>
      <c r="AB852" s="1">
        <v>46022</v>
      </c>
    </row>
    <row r="853" spans="1:28" x14ac:dyDescent="0.3">
      <c r="A853" t="s">
        <v>3200</v>
      </c>
      <c r="B853" s="6" t="s">
        <v>2148</v>
      </c>
      <c r="C853" s="6" t="s">
        <v>1859</v>
      </c>
      <c r="D853">
        <v>2020003211</v>
      </c>
      <c r="E853">
        <v>201601001</v>
      </c>
      <c r="F853" t="s">
        <v>44</v>
      </c>
      <c r="G853" t="s">
        <v>3201</v>
      </c>
      <c r="H853" s="1">
        <v>45727</v>
      </c>
      <c r="J853" s="8">
        <v>45727</v>
      </c>
      <c r="K853" s="1" t="s">
        <v>2872</v>
      </c>
      <c r="L853" t="s">
        <v>3202</v>
      </c>
      <c r="M853" t="s">
        <v>3198</v>
      </c>
      <c r="N853" s="2">
        <v>38648484.850000001</v>
      </c>
      <c r="O853" t="s">
        <v>3199</v>
      </c>
      <c r="P853" s="6" t="s">
        <v>36</v>
      </c>
      <c r="R853" t="s">
        <v>48</v>
      </c>
      <c r="S853" s="9">
        <f>U853/T853</f>
        <v>6499.9133619239828</v>
      </c>
      <c r="T853" s="9">
        <v>5946</v>
      </c>
      <c r="U853" s="9">
        <v>38648484.850000001</v>
      </c>
      <c r="V853" s="6" t="s">
        <v>39</v>
      </c>
      <c r="W853" t="s">
        <v>40</v>
      </c>
      <c r="AA853" s="6">
        <v>2025</v>
      </c>
      <c r="AB853" s="1">
        <v>46022</v>
      </c>
    </row>
    <row r="854" spans="1:28" x14ac:dyDescent="0.3">
      <c r="A854" t="s">
        <v>3203</v>
      </c>
      <c r="B854" s="6" t="s">
        <v>3204</v>
      </c>
      <c r="C854" s="6" t="s">
        <v>164</v>
      </c>
      <c r="D854">
        <v>7719046800</v>
      </c>
      <c r="E854">
        <v>771901001</v>
      </c>
      <c r="F854" t="s">
        <v>94</v>
      </c>
      <c r="G854" t="s">
        <v>3205</v>
      </c>
      <c r="H854" s="1">
        <v>45722</v>
      </c>
      <c r="J854" s="8">
        <v>45727</v>
      </c>
      <c r="K854" s="1" t="s">
        <v>2872</v>
      </c>
      <c r="L854" t="s">
        <v>3206</v>
      </c>
      <c r="M854" t="s">
        <v>3207</v>
      </c>
      <c r="N854" s="2">
        <v>153000</v>
      </c>
      <c r="O854" t="s">
        <v>1886</v>
      </c>
      <c r="P854" s="6" t="s">
        <v>36</v>
      </c>
      <c r="R854" t="s">
        <v>66</v>
      </c>
      <c r="S854" s="15">
        <v>5100</v>
      </c>
      <c r="T854" s="9">
        <v>30</v>
      </c>
      <c r="U854" s="9">
        <v>153000</v>
      </c>
      <c r="V854" s="6" t="s">
        <v>90</v>
      </c>
      <c r="W854" t="s">
        <v>59</v>
      </c>
      <c r="X854">
        <v>5259153331</v>
      </c>
      <c r="Y854">
        <v>525901001</v>
      </c>
      <c r="Z854" s="3">
        <v>45728.452777777777</v>
      </c>
      <c r="AA854" s="6">
        <v>2025</v>
      </c>
      <c r="AB854" s="1">
        <v>45774</v>
      </c>
    </row>
    <row r="855" spans="1:28" x14ac:dyDescent="0.3">
      <c r="A855" t="s">
        <v>3208</v>
      </c>
      <c r="B855" s="6" t="s">
        <v>491</v>
      </c>
      <c r="C855" s="6" t="s">
        <v>492</v>
      </c>
      <c r="D855">
        <v>2724041260</v>
      </c>
      <c r="E855">
        <v>272101001</v>
      </c>
      <c r="F855" t="s">
        <v>149</v>
      </c>
      <c r="G855" t="s">
        <v>3209</v>
      </c>
      <c r="H855" s="1">
        <v>45722</v>
      </c>
      <c r="J855" s="8">
        <v>45727</v>
      </c>
      <c r="K855" s="1" t="s">
        <v>2872</v>
      </c>
      <c r="L855" t="s">
        <v>3209</v>
      </c>
      <c r="M855" t="s">
        <v>377</v>
      </c>
      <c r="N855" s="2">
        <v>2997000</v>
      </c>
      <c r="O855" t="s">
        <v>494</v>
      </c>
      <c r="P855" s="6" t="s">
        <v>36</v>
      </c>
      <c r="R855" t="s">
        <v>38</v>
      </c>
      <c r="S855" s="15">
        <v>5400</v>
      </c>
      <c r="T855" s="9">
        <v>555</v>
      </c>
      <c r="U855" s="9">
        <v>2997000</v>
      </c>
      <c r="V855" s="6" t="s">
        <v>39</v>
      </c>
      <c r="W855" t="s">
        <v>40</v>
      </c>
      <c r="X855">
        <v>7810687137</v>
      </c>
      <c r="Y855">
        <v>781401001</v>
      </c>
      <c r="Z855" s="3">
        <v>45728.086805555555</v>
      </c>
      <c r="AA855" s="6">
        <v>2025</v>
      </c>
      <c r="AB855" s="1">
        <v>45789</v>
      </c>
    </row>
    <row r="856" spans="1:28" x14ac:dyDescent="0.3">
      <c r="A856" t="s">
        <v>3210</v>
      </c>
      <c r="B856" s="6" t="s">
        <v>276</v>
      </c>
      <c r="C856" s="6" t="s">
        <v>277</v>
      </c>
      <c r="D856">
        <v>9102012869</v>
      </c>
      <c r="E856">
        <v>910201001</v>
      </c>
      <c r="F856" t="s">
        <v>52</v>
      </c>
      <c r="G856" t="s">
        <v>3211</v>
      </c>
      <c r="H856" s="1">
        <v>45714</v>
      </c>
      <c r="J856" s="8">
        <v>45727</v>
      </c>
      <c r="K856" s="1" t="s">
        <v>2872</v>
      </c>
      <c r="L856" t="s">
        <v>3211</v>
      </c>
      <c r="M856" t="s">
        <v>3212</v>
      </c>
      <c r="N856" s="2">
        <v>76138108.200000003</v>
      </c>
      <c r="O856" t="s">
        <v>377</v>
      </c>
      <c r="P856" s="6" t="s">
        <v>1814</v>
      </c>
      <c r="R856" t="s">
        <v>38</v>
      </c>
      <c r="S856" s="15">
        <v>4442.13</v>
      </c>
      <c r="T856" s="9">
        <v>17140</v>
      </c>
      <c r="U856" s="9">
        <v>76138108.200000003</v>
      </c>
      <c r="V856" s="6" t="s">
        <v>39</v>
      </c>
      <c r="W856" t="s">
        <v>40</v>
      </c>
      <c r="X856">
        <v>7810687137</v>
      </c>
      <c r="Y856">
        <v>781401001</v>
      </c>
      <c r="Z856" s="3">
        <v>45727.645138888889</v>
      </c>
      <c r="AA856" s="6">
        <v>2025</v>
      </c>
      <c r="AB856" s="1">
        <v>46021</v>
      </c>
    </row>
    <row r="857" spans="1:28" x14ac:dyDescent="0.3">
      <c r="A857" t="s">
        <v>3213</v>
      </c>
      <c r="B857" s="6" t="s">
        <v>3214</v>
      </c>
      <c r="C857" s="6" t="s">
        <v>43</v>
      </c>
      <c r="D857">
        <v>5612167767</v>
      </c>
      <c r="E857">
        <v>561201001</v>
      </c>
      <c r="F857" t="s">
        <v>2712</v>
      </c>
      <c r="G857" t="s">
        <v>3215</v>
      </c>
      <c r="H857" s="1">
        <v>45728</v>
      </c>
      <c r="J857" s="8">
        <v>45728</v>
      </c>
      <c r="K857" s="1" t="s">
        <v>2872</v>
      </c>
      <c r="L857" t="s">
        <v>3216</v>
      </c>
      <c r="M857" t="s">
        <v>3217</v>
      </c>
      <c r="N857" s="2">
        <v>392000</v>
      </c>
      <c r="O857" t="s">
        <v>3218</v>
      </c>
      <c r="P857" s="6" t="s">
        <v>36</v>
      </c>
      <c r="R857" t="s">
        <v>48</v>
      </c>
      <c r="S857" s="9">
        <v>4900</v>
      </c>
      <c r="T857" s="9">
        <v>80</v>
      </c>
      <c r="U857" s="9">
        <v>392000</v>
      </c>
      <c r="V857" s="6" t="s">
        <v>39</v>
      </c>
      <c r="W857" t="s">
        <v>40</v>
      </c>
      <c r="AA857" s="6">
        <v>2025</v>
      </c>
      <c r="AB857" s="1">
        <v>46022</v>
      </c>
    </row>
    <row r="858" spans="1:28" x14ac:dyDescent="0.3">
      <c r="A858" t="s">
        <v>3219</v>
      </c>
      <c r="B858" s="6" t="s">
        <v>1424</v>
      </c>
      <c r="C858" s="6" t="s">
        <v>132</v>
      </c>
      <c r="D858">
        <v>6027024000</v>
      </c>
      <c r="E858">
        <v>602701001</v>
      </c>
      <c r="F858" t="s">
        <v>149</v>
      </c>
      <c r="G858" t="s">
        <v>3220</v>
      </c>
      <c r="H858" s="1">
        <v>45723</v>
      </c>
      <c r="J858" s="8">
        <v>45728</v>
      </c>
      <c r="K858" s="1" t="s">
        <v>2872</v>
      </c>
      <c r="L858" t="s">
        <v>3221</v>
      </c>
      <c r="M858" t="s">
        <v>377</v>
      </c>
      <c r="N858" s="2">
        <v>3454500</v>
      </c>
      <c r="O858" t="s">
        <v>494</v>
      </c>
      <c r="P858" s="6" t="s">
        <v>36</v>
      </c>
      <c r="R858" t="s">
        <v>38</v>
      </c>
      <c r="S858" s="15">
        <v>4900</v>
      </c>
      <c r="T858" s="9">
        <v>705</v>
      </c>
      <c r="U858" s="9">
        <v>3454500</v>
      </c>
      <c r="V858" s="6" t="s">
        <v>39</v>
      </c>
      <c r="W858" t="s">
        <v>40</v>
      </c>
      <c r="X858">
        <v>7810687137</v>
      </c>
      <c r="Y858">
        <v>781401001</v>
      </c>
      <c r="Z858" s="3">
        <v>45728.42291666667</v>
      </c>
      <c r="AA858" s="6">
        <v>2025</v>
      </c>
      <c r="AB858" s="1">
        <v>45808</v>
      </c>
    </row>
    <row r="859" spans="1:28" x14ac:dyDescent="0.3">
      <c r="A859" t="s">
        <v>1580</v>
      </c>
      <c r="B859" s="6" t="s">
        <v>709</v>
      </c>
      <c r="C859" s="6" t="s">
        <v>453</v>
      </c>
      <c r="D859">
        <v>2225171626</v>
      </c>
      <c r="E859">
        <v>222501001</v>
      </c>
      <c r="F859" t="s">
        <v>52</v>
      </c>
      <c r="G859" t="s">
        <v>1582</v>
      </c>
      <c r="H859" s="1">
        <v>45721</v>
      </c>
      <c r="I859" t="s">
        <v>3222</v>
      </c>
      <c r="J859" s="8">
        <v>45733</v>
      </c>
      <c r="K859" s="1" t="s">
        <v>2872</v>
      </c>
      <c r="L859" t="s">
        <v>3223</v>
      </c>
      <c r="M859" t="s">
        <v>457</v>
      </c>
      <c r="N859" s="2">
        <v>220000</v>
      </c>
      <c r="O859" t="s">
        <v>494</v>
      </c>
      <c r="P859" s="6" t="s">
        <v>36</v>
      </c>
      <c r="R859" t="s">
        <v>38</v>
      </c>
      <c r="S859" s="9">
        <v>5500</v>
      </c>
      <c r="T859" s="9">
        <v>40</v>
      </c>
      <c r="U859" s="9">
        <v>220000</v>
      </c>
      <c r="V859" s="6" t="s">
        <v>90</v>
      </c>
      <c r="W859" t="s">
        <v>59</v>
      </c>
      <c r="X859">
        <v>5259153331</v>
      </c>
      <c r="Y859">
        <v>525901001</v>
      </c>
      <c r="Z859" s="3">
        <v>45733.204861111109</v>
      </c>
      <c r="AA859" s="6">
        <v>2025</v>
      </c>
      <c r="AB859" s="1">
        <v>46021</v>
      </c>
    </row>
    <row r="860" spans="1:28" x14ac:dyDescent="0.3">
      <c r="A860" t="s">
        <v>3224</v>
      </c>
      <c r="B860" s="6" t="s">
        <v>801</v>
      </c>
      <c r="C860" s="6" t="s">
        <v>802</v>
      </c>
      <c r="D860">
        <v>1701052707</v>
      </c>
      <c r="E860">
        <v>170101001</v>
      </c>
      <c r="F860" t="s">
        <v>52</v>
      </c>
      <c r="G860" t="s">
        <v>3225</v>
      </c>
      <c r="H860" s="1">
        <v>45720</v>
      </c>
      <c r="I860" t="s">
        <v>3226</v>
      </c>
      <c r="J860" s="8">
        <v>45733</v>
      </c>
      <c r="K860" s="1" t="s">
        <v>2872</v>
      </c>
      <c r="L860" t="s">
        <v>3227</v>
      </c>
      <c r="M860" t="s">
        <v>3228</v>
      </c>
      <c r="N860" s="2">
        <v>4165546</v>
      </c>
      <c r="O860" t="s">
        <v>494</v>
      </c>
      <c r="P860" s="6" t="s">
        <v>36</v>
      </c>
      <c r="Q860" t="s">
        <v>37</v>
      </c>
      <c r="R860" t="s">
        <v>38</v>
      </c>
      <c r="S860" s="9">
        <v>4918</v>
      </c>
      <c r="T860" s="9">
        <v>424</v>
      </c>
      <c r="U860" s="9">
        <v>2085232</v>
      </c>
      <c r="V860" s="6" t="s">
        <v>39</v>
      </c>
      <c r="W860" t="s">
        <v>40</v>
      </c>
      <c r="X860">
        <v>7810687137</v>
      </c>
      <c r="Y860">
        <v>781401001</v>
      </c>
      <c r="Z860" s="3">
        <v>45733.229166666664</v>
      </c>
      <c r="AA860" s="6">
        <v>2025</v>
      </c>
      <c r="AB860" s="1">
        <v>46022</v>
      </c>
    </row>
    <row r="861" spans="1:28" x14ac:dyDescent="0.3">
      <c r="A861" t="s">
        <v>3229</v>
      </c>
      <c r="B861" s="6" t="s">
        <v>1843</v>
      </c>
      <c r="C861" s="6" t="s">
        <v>148</v>
      </c>
      <c r="D861">
        <v>274023088</v>
      </c>
      <c r="E861">
        <v>27401001</v>
      </c>
      <c r="F861" t="s">
        <v>52</v>
      </c>
      <c r="G861" t="s">
        <v>3230</v>
      </c>
      <c r="H861" s="1">
        <v>45721</v>
      </c>
      <c r="I861" t="s">
        <v>3222</v>
      </c>
      <c r="J861" s="8">
        <v>45733</v>
      </c>
      <c r="K861" s="1" t="s">
        <v>2872</v>
      </c>
      <c r="L861" t="s">
        <v>3231</v>
      </c>
      <c r="M861" t="s">
        <v>1845</v>
      </c>
      <c r="N861" s="2">
        <v>306000</v>
      </c>
      <c r="O861" t="s">
        <v>494</v>
      </c>
      <c r="P861" s="6" t="s">
        <v>36</v>
      </c>
      <c r="R861" t="s">
        <v>38</v>
      </c>
      <c r="S861" s="9">
        <v>5100</v>
      </c>
      <c r="T861" s="9">
        <v>60</v>
      </c>
      <c r="U861" s="9">
        <v>306000</v>
      </c>
      <c r="V861" s="6" t="s">
        <v>90</v>
      </c>
      <c r="W861" t="s">
        <v>59</v>
      </c>
      <c r="X861">
        <v>5259153331</v>
      </c>
      <c r="Y861">
        <v>525901001</v>
      </c>
      <c r="Z861" s="3">
        <v>45733.49722222222</v>
      </c>
      <c r="AA861" s="6">
        <v>2025</v>
      </c>
      <c r="AB861" s="1">
        <v>46022</v>
      </c>
    </row>
    <row r="862" spans="1:28" x14ac:dyDescent="0.3">
      <c r="A862" t="s">
        <v>3224</v>
      </c>
      <c r="B862" s="6" t="s">
        <v>801</v>
      </c>
      <c r="C862" s="6" t="s">
        <v>802</v>
      </c>
      <c r="D862">
        <v>1701052707</v>
      </c>
      <c r="E862">
        <v>170101001</v>
      </c>
      <c r="F862" t="s">
        <v>52</v>
      </c>
      <c r="G862" t="s">
        <v>3225</v>
      </c>
      <c r="H862" s="1">
        <v>45720</v>
      </c>
      <c r="I862" t="s">
        <v>3226</v>
      </c>
      <c r="J862" s="8">
        <v>45733</v>
      </c>
      <c r="K862" s="1" t="s">
        <v>2872</v>
      </c>
      <c r="L862" t="s">
        <v>3227</v>
      </c>
      <c r="M862" t="s">
        <v>3228</v>
      </c>
      <c r="N862" s="2">
        <v>4165546</v>
      </c>
      <c r="O862" t="s">
        <v>377</v>
      </c>
      <c r="P862" s="6" t="s">
        <v>891</v>
      </c>
      <c r="Q862" t="s">
        <v>37</v>
      </c>
      <c r="R862" t="s">
        <v>38</v>
      </c>
      <c r="S862" s="9">
        <v>4918</v>
      </c>
      <c r="T862" s="9">
        <v>423</v>
      </c>
      <c r="U862" s="9">
        <v>2080314</v>
      </c>
      <c r="V862" s="6" t="s">
        <v>39</v>
      </c>
      <c r="W862" t="s">
        <v>40</v>
      </c>
      <c r="X862">
        <v>7810687137</v>
      </c>
      <c r="Y862">
        <v>781401001</v>
      </c>
      <c r="Z862" s="3">
        <v>45733.229166666664</v>
      </c>
      <c r="AA862" s="6">
        <v>2025</v>
      </c>
      <c r="AB862" s="1">
        <v>46022</v>
      </c>
    </row>
    <row r="863" spans="1:28" x14ac:dyDescent="0.3">
      <c r="A863" t="s">
        <v>3232</v>
      </c>
      <c r="B863" s="6" t="s">
        <v>782</v>
      </c>
      <c r="C863" s="6" t="s">
        <v>783</v>
      </c>
      <c r="D863">
        <v>6231025123</v>
      </c>
      <c r="E863">
        <v>623401001</v>
      </c>
      <c r="F863" t="s">
        <v>52</v>
      </c>
      <c r="G863" t="s">
        <v>3233</v>
      </c>
      <c r="H863" s="1">
        <v>45722</v>
      </c>
      <c r="J863" s="8">
        <v>45734</v>
      </c>
      <c r="K863" s="1" t="s">
        <v>2872</v>
      </c>
      <c r="L863" t="s">
        <v>3234</v>
      </c>
      <c r="M863" t="s">
        <v>1519</v>
      </c>
      <c r="N863" s="2">
        <v>29057952</v>
      </c>
      <c r="O863" t="s">
        <v>1912</v>
      </c>
      <c r="P863" s="6" t="s">
        <v>891</v>
      </c>
      <c r="Q863" t="s">
        <v>37</v>
      </c>
      <c r="R863" t="s">
        <v>38</v>
      </c>
      <c r="S863" s="9">
        <v>3696</v>
      </c>
      <c r="T863" s="9">
        <v>2460</v>
      </c>
      <c r="U863" s="9">
        <v>9092160</v>
      </c>
      <c r="V863" s="6" t="s">
        <v>58</v>
      </c>
      <c r="W863" t="s">
        <v>59</v>
      </c>
      <c r="X863">
        <v>5262222144</v>
      </c>
      <c r="Y863">
        <v>526201001</v>
      </c>
      <c r="Z863" s="3">
        <v>45736.734027777777</v>
      </c>
      <c r="AA863" s="6">
        <v>2025</v>
      </c>
      <c r="AB863" s="1">
        <v>45983</v>
      </c>
    </row>
    <row r="864" spans="1:28" x14ac:dyDescent="0.3">
      <c r="A864" t="s">
        <v>3235</v>
      </c>
      <c r="B864" s="6" t="s">
        <v>758</v>
      </c>
      <c r="C864" s="6" t="s">
        <v>759</v>
      </c>
      <c r="D864">
        <v>6731018660</v>
      </c>
      <c r="E864">
        <v>673101001</v>
      </c>
      <c r="F864" t="s">
        <v>94</v>
      </c>
      <c r="G864" t="s">
        <v>3236</v>
      </c>
      <c r="H864" s="1">
        <v>45729</v>
      </c>
      <c r="J864" s="8">
        <v>45734</v>
      </c>
      <c r="K864" s="1" t="s">
        <v>2872</v>
      </c>
      <c r="L864" t="s">
        <v>3237</v>
      </c>
      <c r="M864" t="s">
        <v>3238</v>
      </c>
      <c r="N864" s="2">
        <v>9568000</v>
      </c>
      <c r="O864" t="s">
        <v>494</v>
      </c>
      <c r="P864" s="6" t="s">
        <v>36</v>
      </c>
      <c r="Q864" t="s">
        <v>37</v>
      </c>
      <c r="R864" t="s">
        <v>38</v>
      </c>
      <c r="S864" s="9">
        <v>4600</v>
      </c>
      <c r="T864" s="9">
        <v>1040</v>
      </c>
      <c r="U864" s="9">
        <v>4784000</v>
      </c>
      <c r="V864" s="6" t="s">
        <v>352</v>
      </c>
      <c r="W864" t="s">
        <v>40</v>
      </c>
      <c r="X864">
        <v>7843014747</v>
      </c>
      <c r="Y864">
        <v>781401001</v>
      </c>
      <c r="Z864" s="3">
        <v>45735.441666666666</v>
      </c>
      <c r="AA864" s="6">
        <v>2025</v>
      </c>
      <c r="AB864" s="1">
        <v>46053</v>
      </c>
    </row>
    <row r="865" spans="1:28" x14ac:dyDescent="0.3">
      <c r="A865" t="s">
        <v>3239</v>
      </c>
      <c r="B865" s="6" t="s">
        <v>1029</v>
      </c>
      <c r="C865" s="6" t="s">
        <v>1030</v>
      </c>
      <c r="D865">
        <v>7536149975</v>
      </c>
      <c r="E865">
        <v>753601001</v>
      </c>
      <c r="F865" t="s">
        <v>52</v>
      </c>
      <c r="G865" t="s">
        <v>3240</v>
      </c>
      <c r="H865" s="1">
        <v>45723</v>
      </c>
      <c r="I865" t="s">
        <v>3241</v>
      </c>
      <c r="J865" s="8">
        <v>45734</v>
      </c>
      <c r="K865" s="1" t="s">
        <v>2872</v>
      </c>
      <c r="L865" t="s">
        <v>3242</v>
      </c>
      <c r="M865" t="s">
        <v>3243</v>
      </c>
      <c r="N865" s="2">
        <v>48863100</v>
      </c>
      <c r="O865" t="s">
        <v>2458</v>
      </c>
      <c r="P865" s="6" t="s">
        <v>2277</v>
      </c>
      <c r="R865" t="s">
        <v>38</v>
      </c>
      <c r="S865" s="9">
        <v>5100</v>
      </c>
      <c r="T865" s="9">
        <v>9581</v>
      </c>
      <c r="U865" s="9">
        <v>48863100</v>
      </c>
      <c r="V865" s="6" t="s">
        <v>3244</v>
      </c>
      <c r="W865" t="s">
        <v>3245</v>
      </c>
      <c r="X865">
        <v>7733271117</v>
      </c>
      <c r="Y865">
        <v>772201001</v>
      </c>
      <c r="Z865" s="3">
        <v>45734.10833333333</v>
      </c>
      <c r="AA865" s="6">
        <v>2025</v>
      </c>
      <c r="AB865" s="1">
        <v>46022</v>
      </c>
    </row>
    <row r="866" spans="1:28" x14ac:dyDescent="0.3">
      <c r="A866" t="s">
        <v>3246</v>
      </c>
      <c r="B866" s="6" t="s">
        <v>782</v>
      </c>
      <c r="C866" s="6" t="s">
        <v>783</v>
      </c>
      <c r="D866">
        <v>6231025123</v>
      </c>
      <c r="E866">
        <v>623401001</v>
      </c>
      <c r="F866" t="s">
        <v>52</v>
      </c>
      <c r="G866" t="s">
        <v>3247</v>
      </c>
      <c r="H866" s="1">
        <v>45722</v>
      </c>
      <c r="J866" s="8">
        <v>45734</v>
      </c>
      <c r="K866" s="1" t="s">
        <v>2872</v>
      </c>
      <c r="L866" t="s">
        <v>3248</v>
      </c>
      <c r="M866" t="s">
        <v>1519</v>
      </c>
      <c r="N866" s="2">
        <v>11107800</v>
      </c>
      <c r="O866" t="s">
        <v>377</v>
      </c>
      <c r="P866" s="6" t="s">
        <v>2277</v>
      </c>
      <c r="Q866" t="s">
        <v>1993</v>
      </c>
      <c r="R866" t="s">
        <v>38</v>
      </c>
      <c r="S866" s="9">
        <v>5100</v>
      </c>
      <c r="T866" s="9">
        <v>2178</v>
      </c>
      <c r="U866" s="9">
        <v>11107800</v>
      </c>
      <c r="V866" s="6" t="s">
        <v>3249</v>
      </c>
      <c r="W866" t="s">
        <v>3250</v>
      </c>
      <c r="X866">
        <v>9722079736</v>
      </c>
      <c r="Y866">
        <v>772201001</v>
      </c>
      <c r="Z866" s="3">
        <v>45736.738194444442</v>
      </c>
      <c r="AA866" s="6">
        <v>2025</v>
      </c>
      <c r="AB866" s="1">
        <v>45983</v>
      </c>
    </row>
    <row r="867" spans="1:28" x14ac:dyDescent="0.3">
      <c r="A867" t="s">
        <v>3232</v>
      </c>
      <c r="B867" s="6" t="s">
        <v>782</v>
      </c>
      <c r="C867" s="6" t="s">
        <v>783</v>
      </c>
      <c r="D867">
        <v>6231025123</v>
      </c>
      <c r="E867">
        <v>623401001</v>
      </c>
      <c r="F867" t="s">
        <v>52</v>
      </c>
      <c r="G867" t="s">
        <v>3233</v>
      </c>
      <c r="H867" s="1">
        <v>45722</v>
      </c>
      <c r="J867" s="8">
        <v>45734</v>
      </c>
      <c r="K867" s="1" t="s">
        <v>2872</v>
      </c>
      <c r="L867" t="s">
        <v>3234</v>
      </c>
      <c r="M867" t="s">
        <v>1519</v>
      </c>
      <c r="N867" s="2">
        <v>29057952</v>
      </c>
      <c r="O867" t="s">
        <v>494</v>
      </c>
      <c r="P867" s="6" t="s">
        <v>36</v>
      </c>
      <c r="Q867" t="s">
        <v>37</v>
      </c>
      <c r="R867" t="s">
        <v>38</v>
      </c>
      <c r="S867" s="9">
        <v>3696</v>
      </c>
      <c r="T867" s="9">
        <v>2702</v>
      </c>
      <c r="U867" s="9">
        <v>9986592</v>
      </c>
      <c r="V867" s="6" t="s">
        <v>58</v>
      </c>
      <c r="W867" t="s">
        <v>59</v>
      </c>
      <c r="X867">
        <v>5262222144</v>
      </c>
      <c r="Y867">
        <v>526201001</v>
      </c>
      <c r="Z867" s="3">
        <v>45736.734027777777</v>
      </c>
      <c r="AA867" s="6">
        <v>2025</v>
      </c>
      <c r="AB867" s="1">
        <v>45983</v>
      </c>
    </row>
    <row r="868" spans="1:28" x14ac:dyDescent="0.3">
      <c r="A868" t="s">
        <v>3232</v>
      </c>
      <c r="B868" s="6" t="s">
        <v>782</v>
      </c>
      <c r="C868" s="6" t="s">
        <v>783</v>
      </c>
      <c r="D868">
        <v>6231025123</v>
      </c>
      <c r="E868">
        <v>623401001</v>
      </c>
      <c r="F868" t="s">
        <v>52</v>
      </c>
      <c r="G868" t="s">
        <v>3233</v>
      </c>
      <c r="H868" s="1">
        <v>45722</v>
      </c>
      <c r="J868" s="8">
        <v>45734</v>
      </c>
      <c r="K868" s="1" t="s">
        <v>2872</v>
      </c>
      <c r="L868" t="s">
        <v>3234</v>
      </c>
      <c r="M868" t="s">
        <v>1519</v>
      </c>
      <c r="N868" s="2">
        <v>29057952</v>
      </c>
      <c r="O868" t="s">
        <v>377</v>
      </c>
      <c r="P868" s="6" t="s">
        <v>1814</v>
      </c>
      <c r="Q868" t="s">
        <v>37</v>
      </c>
      <c r="R868" t="s">
        <v>38</v>
      </c>
      <c r="S868" s="9">
        <v>3696</v>
      </c>
      <c r="T868" s="9">
        <v>2700</v>
      </c>
      <c r="U868" s="9">
        <v>9979200</v>
      </c>
      <c r="V868" s="6" t="s">
        <v>58</v>
      </c>
      <c r="W868" t="s">
        <v>59</v>
      </c>
      <c r="X868">
        <v>5262222144</v>
      </c>
      <c r="Y868">
        <v>526201001</v>
      </c>
      <c r="Z868" s="3">
        <v>45736.734027777777</v>
      </c>
      <c r="AA868" s="6">
        <v>2025</v>
      </c>
      <c r="AB868" s="1">
        <v>45983</v>
      </c>
    </row>
    <row r="869" spans="1:28" x14ac:dyDescent="0.3">
      <c r="A869" t="s">
        <v>3251</v>
      </c>
      <c r="B869" s="6" t="s">
        <v>573</v>
      </c>
      <c r="C869" s="6" t="s">
        <v>405</v>
      </c>
      <c r="D869">
        <v>562044550</v>
      </c>
      <c r="E869">
        <v>57201001</v>
      </c>
      <c r="F869" t="s">
        <v>94</v>
      </c>
      <c r="G869" t="s">
        <v>3252</v>
      </c>
      <c r="H869" s="1">
        <v>45729</v>
      </c>
      <c r="I869" t="s">
        <v>3253</v>
      </c>
      <c r="J869" s="8">
        <v>45734</v>
      </c>
      <c r="K869" s="1" t="s">
        <v>2872</v>
      </c>
      <c r="L869" t="s">
        <v>3252</v>
      </c>
      <c r="M869" t="s">
        <v>179</v>
      </c>
      <c r="N869" s="2">
        <v>519120</v>
      </c>
      <c r="O869" t="s">
        <v>494</v>
      </c>
      <c r="P869" s="6" t="s">
        <v>36</v>
      </c>
      <c r="R869" t="s">
        <v>38</v>
      </c>
      <c r="S869" s="9">
        <v>4120</v>
      </c>
      <c r="T869" s="9">
        <v>126</v>
      </c>
      <c r="U869" s="9">
        <v>519120</v>
      </c>
      <c r="V869" s="6" t="s">
        <v>352</v>
      </c>
      <c r="W869" t="s">
        <v>40</v>
      </c>
      <c r="X869">
        <v>7843014747</v>
      </c>
      <c r="Y869">
        <v>781401001</v>
      </c>
      <c r="Z869" s="3">
        <v>45734.620833333334</v>
      </c>
      <c r="AA869" s="6">
        <v>2025</v>
      </c>
      <c r="AB869" s="1">
        <v>46022</v>
      </c>
    </row>
    <row r="870" spans="1:28" x14ac:dyDescent="0.3">
      <c r="A870" t="s">
        <v>3254</v>
      </c>
      <c r="B870" s="6" t="s">
        <v>1290</v>
      </c>
      <c r="C870" s="6" t="s">
        <v>51</v>
      </c>
      <c r="D870">
        <v>6832008411</v>
      </c>
      <c r="E870">
        <v>682901001</v>
      </c>
      <c r="F870" t="s">
        <v>52</v>
      </c>
      <c r="G870" t="s">
        <v>3255</v>
      </c>
      <c r="H870" s="1">
        <v>45722</v>
      </c>
      <c r="J870" s="8">
        <v>45734</v>
      </c>
      <c r="K870" s="1" t="s">
        <v>2872</v>
      </c>
      <c r="L870" t="s">
        <v>3256</v>
      </c>
      <c r="M870" t="s">
        <v>3257</v>
      </c>
      <c r="N870" s="2">
        <v>15484320</v>
      </c>
      <c r="O870" t="s">
        <v>494</v>
      </c>
      <c r="P870" s="6" t="s">
        <v>36</v>
      </c>
      <c r="Q870" t="s">
        <v>3258</v>
      </c>
      <c r="R870" t="s">
        <v>38</v>
      </c>
      <c r="S870" s="9">
        <v>5376.5</v>
      </c>
      <c r="T870" s="9">
        <v>1440</v>
      </c>
      <c r="U870" s="9">
        <v>7742160</v>
      </c>
      <c r="V870" s="6" t="s">
        <v>90</v>
      </c>
      <c r="W870" t="s">
        <v>59</v>
      </c>
      <c r="X870">
        <v>5259153331</v>
      </c>
      <c r="Y870">
        <v>525901001</v>
      </c>
      <c r="Z870" s="3">
        <v>45735.688888888886</v>
      </c>
      <c r="AA870" s="6">
        <v>2025</v>
      </c>
      <c r="AB870" s="1">
        <v>45991</v>
      </c>
    </row>
    <row r="871" spans="1:28" x14ac:dyDescent="0.3">
      <c r="A871" t="s">
        <v>3254</v>
      </c>
      <c r="B871" s="6" t="s">
        <v>1290</v>
      </c>
      <c r="C871" s="6" t="s">
        <v>51</v>
      </c>
      <c r="D871">
        <v>6832008411</v>
      </c>
      <c r="E871">
        <v>682901001</v>
      </c>
      <c r="F871" t="s">
        <v>52</v>
      </c>
      <c r="G871" t="s">
        <v>3255</v>
      </c>
      <c r="H871" s="1">
        <v>45722</v>
      </c>
      <c r="J871" s="8">
        <v>45734</v>
      </c>
      <c r="K871" s="1" t="s">
        <v>2872</v>
      </c>
      <c r="L871" t="s">
        <v>3256</v>
      </c>
      <c r="M871" t="s">
        <v>3257</v>
      </c>
      <c r="N871" s="2">
        <v>15484320</v>
      </c>
      <c r="O871" t="s">
        <v>1912</v>
      </c>
      <c r="P871" s="6" t="s">
        <v>891</v>
      </c>
      <c r="Q871" t="s">
        <v>1993</v>
      </c>
      <c r="R871" t="s">
        <v>38</v>
      </c>
      <c r="S871" s="9">
        <v>5376.5</v>
      </c>
      <c r="T871" s="9">
        <v>1440</v>
      </c>
      <c r="U871" s="9">
        <v>7742160</v>
      </c>
      <c r="V871" s="6" t="s">
        <v>90</v>
      </c>
      <c r="W871" t="s">
        <v>59</v>
      </c>
      <c r="X871">
        <v>5259153331</v>
      </c>
      <c r="Y871">
        <v>525901001</v>
      </c>
      <c r="Z871" s="3">
        <v>45735.688888888886</v>
      </c>
      <c r="AA871" s="6">
        <v>2025</v>
      </c>
      <c r="AB871" s="1">
        <v>45991</v>
      </c>
    </row>
    <row r="872" spans="1:28" x14ac:dyDescent="0.3">
      <c r="A872" t="s">
        <v>3235</v>
      </c>
      <c r="B872" s="6" t="s">
        <v>758</v>
      </c>
      <c r="C872" s="6" t="s">
        <v>759</v>
      </c>
      <c r="D872">
        <v>6731018660</v>
      </c>
      <c r="E872">
        <v>673101001</v>
      </c>
      <c r="F872" t="s">
        <v>94</v>
      </c>
      <c r="G872" t="s">
        <v>3236</v>
      </c>
      <c r="H872" s="1">
        <v>45729</v>
      </c>
      <c r="J872" s="8">
        <v>45734</v>
      </c>
      <c r="K872" s="1" t="s">
        <v>2872</v>
      </c>
      <c r="L872" t="s">
        <v>3237</v>
      </c>
      <c r="M872" t="s">
        <v>3238</v>
      </c>
      <c r="N872" s="2">
        <v>9568000</v>
      </c>
      <c r="O872" t="s">
        <v>3259</v>
      </c>
      <c r="P872" s="6" t="s">
        <v>891</v>
      </c>
      <c r="Q872" t="s">
        <v>37</v>
      </c>
      <c r="R872" t="s">
        <v>38</v>
      </c>
      <c r="S872" s="9">
        <v>4600</v>
      </c>
      <c r="T872" s="9">
        <v>1040</v>
      </c>
      <c r="U872" s="9">
        <v>4784000</v>
      </c>
      <c r="V872" s="6" t="s">
        <v>352</v>
      </c>
      <c r="W872" t="s">
        <v>40</v>
      </c>
      <c r="X872">
        <v>7843014747</v>
      </c>
      <c r="Y872">
        <v>781401001</v>
      </c>
      <c r="Z872" s="3">
        <v>45735.441666666666</v>
      </c>
      <c r="AA872" s="6">
        <v>2025</v>
      </c>
      <c r="AB872" s="1">
        <v>46053</v>
      </c>
    </row>
    <row r="873" spans="1:28" x14ac:dyDescent="0.3">
      <c r="A873" t="s">
        <v>3260</v>
      </c>
      <c r="B873" s="6" t="s">
        <v>2353</v>
      </c>
      <c r="C873" s="6" t="s">
        <v>2354</v>
      </c>
      <c r="D873">
        <v>2801123720</v>
      </c>
      <c r="E873">
        <v>280101001</v>
      </c>
      <c r="F873" t="s">
        <v>52</v>
      </c>
      <c r="G873" t="s">
        <v>3261</v>
      </c>
      <c r="H873" s="1">
        <v>45723</v>
      </c>
      <c r="J873" s="8">
        <v>45735</v>
      </c>
      <c r="K873" s="1" t="s">
        <v>2872</v>
      </c>
      <c r="L873" t="s">
        <v>3262</v>
      </c>
      <c r="M873" t="s">
        <v>2356</v>
      </c>
      <c r="N873" s="2">
        <v>17240979.600000001</v>
      </c>
      <c r="O873" t="s">
        <v>2458</v>
      </c>
      <c r="P873" s="6" t="s">
        <v>2277</v>
      </c>
      <c r="Q873" t="s">
        <v>1993</v>
      </c>
      <c r="R873" t="s">
        <v>38</v>
      </c>
      <c r="S873" s="9">
        <v>4093.3</v>
      </c>
      <c r="T873" s="9">
        <v>4212</v>
      </c>
      <c r="U873" s="9">
        <v>17240979.600000001</v>
      </c>
      <c r="V873" s="6" t="s">
        <v>2459</v>
      </c>
      <c r="W873" t="s">
        <v>2460</v>
      </c>
      <c r="X873">
        <v>4003032047</v>
      </c>
      <c r="Y873">
        <v>772201001</v>
      </c>
      <c r="Z873" s="3">
        <v>45737.351388888892</v>
      </c>
      <c r="AA873" s="6">
        <v>2025</v>
      </c>
      <c r="AB873" s="1">
        <v>45787</v>
      </c>
    </row>
    <row r="874" spans="1:28" x14ac:dyDescent="0.3">
      <c r="A874" t="s">
        <v>3263</v>
      </c>
      <c r="B874" s="6" t="s">
        <v>1393</v>
      </c>
      <c r="C874" s="6" t="s">
        <v>105</v>
      </c>
      <c r="D874">
        <v>6658027450</v>
      </c>
      <c r="E874">
        <v>665801001</v>
      </c>
      <c r="F874" t="s">
        <v>619</v>
      </c>
      <c r="G874" t="s">
        <v>3264</v>
      </c>
      <c r="H874" s="1">
        <v>45723</v>
      </c>
      <c r="I874" t="s">
        <v>3265</v>
      </c>
      <c r="J874" s="8">
        <v>45735</v>
      </c>
      <c r="K874" s="1" t="s">
        <v>2872</v>
      </c>
      <c r="L874" t="s">
        <v>3266</v>
      </c>
      <c r="M874" t="s">
        <v>3267</v>
      </c>
      <c r="N874" s="2">
        <v>10710000</v>
      </c>
      <c r="O874" t="s">
        <v>3265</v>
      </c>
      <c r="P874" s="6" t="s">
        <v>36</v>
      </c>
      <c r="R874" t="s">
        <v>3268</v>
      </c>
      <c r="S874" s="9">
        <v>5100</v>
      </c>
      <c r="T874" s="9">
        <v>2100</v>
      </c>
      <c r="U874" s="9">
        <v>10710000</v>
      </c>
      <c r="V874" s="6" t="s">
        <v>58</v>
      </c>
      <c r="W874" t="s">
        <v>59</v>
      </c>
      <c r="AA874" s="6">
        <v>2025</v>
      </c>
    </row>
    <row r="875" spans="1:28" x14ac:dyDescent="0.3">
      <c r="A875" t="s">
        <v>3269</v>
      </c>
      <c r="B875" s="6" t="s">
        <v>367</v>
      </c>
      <c r="C875" s="6" t="s">
        <v>368</v>
      </c>
      <c r="D875">
        <v>4825005110</v>
      </c>
      <c r="E875">
        <v>482501001</v>
      </c>
      <c r="F875" t="s">
        <v>149</v>
      </c>
      <c r="G875" t="s">
        <v>3270</v>
      </c>
      <c r="H875" s="1">
        <v>45730</v>
      </c>
      <c r="J875" s="8">
        <v>45735</v>
      </c>
      <c r="K875" s="1" t="s">
        <v>2872</v>
      </c>
      <c r="L875" t="s">
        <v>3271</v>
      </c>
      <c r="M875" t="s">
        <v>377</v>
      </c>
      <c r="N875" s="2">
        <v>62400</v>
      </c>
      <c r="O875" t="s">
        <v>377</v>
      </c>
      <c r="P875" s="6" t="s">
        <v>36</v>
      </c>
      <c r="R875" t="s">
        <v>38</v>
      </c>
      <c r="S875" s="9">
        <v>5200</v>
      </c>
      <c r="T875" s="15">
        <v>12</v>
      </c>
      <c r="U875" s="9">
        <v>62400</v>
      </c>
      <c r="V875" s="6" t="s">
        <v>39</v>
      </c>
      <c r="W875" t="s">
        <v>40</v>
      </c>
      <c r="X875">
        <v>7810687137</v>
      </c>
      <c r="Y875">
        <v>781401001</v>
      </c>
      <c r="Z875" s="3">
        <v>45735.492361111108</v>
      </c>
      <c r="AA875" s="6">
        <v>2025</v>
      </c>
      <c r="AB875" s="1">
        <v>45838</v>
      </c>
    </row>
    <row r="876" spans="1:28" x14ac:dyDescent="0.3">
      <c r="A876" t="s">
        <v>3272</v>
      </c>
      <c r="B876" s="6" t="s">
        <v>478</v>
      </c>
      <c r="C876" s="6" t="s">
        <v>479</v>
      </c>
      <c r="D876" s="4">
        <v>5503053520</v>
      </c>
      <c r="E876">
        <v>550301001</v>
      </c>
      <c r="F876" t="s">
        <v>149</v>
      </c>
      <c r="G876" t="s">
        <v>3273</v>
      </c>
      <c r="H876" s="1">
        <v>45730</v>
      </c>
      <c r="J876" s="8">
        <v>45735</v>
      </c>
      <c r="K876" s="1" t="s">
        <v>2872</v>
      </c>
      <c r="L876" t="s">
        <v>3274</v>
      </c>
      <c r="M876" t="s">
        <v>377</v>
      </c>
      <c r="N876" s="2">
        <v>4991220</v>
      </c>
      <c r="O876" t="s">
        <v>377</v>
      </c>
      <c r="P876" s="6" t="s">
        <v>36</v>
      </c>
      <c r="R876" t="s">
        <v>38</v>
      </c>
      <c r="S876" s="9">
        <v>4991.22</v>
      </c>
      <c r="T876" s="9">
        <v>1000</v>
      </c>
      <c r="U876" s="9">
        <v>4991220</v>
      </c>
      <c r="V876" s="6" t="s">
        <v>58</v>
      </c>
      <c r="W876" t="s">
        <v>59</v>
      </c>
      <c r="X876">
        <v>5262222144</v>
      </c>
      <c r="Y876">
        <v>526201001</v>
      </c>
      <c r="Z876" s="3">
        <v>45737.506249999999</v>
      </c>
      <c r="AA876" s="6">
        <v>2025</v>
      </c>
      <c r="AB876" s="1">
        <v>46022</v>
      </c>
    </row>
    <row r="877" spans="1:28" x14ac:dyDescent="0.3">
      <c r="A877" t="s">
        <v>3275</v>
      </c>
      <c r="B877" s="6" t="s">
        <v>418</v>
      </c>
      <c r="C877" s="6" t="s">
        <v>148</v>
      </c>
      <c r="D877">
        <v>274157821</v>
      </c>
      <c r="E877" t="s">
        <v>3276</v>
      </c>
      <c r="F877" t="s">
        <v>52</v>
      </c>
      <c r="G877" t="s">
        <v>3277</v>
      </c>
      <c r="H877" s="1">
        <v>45722</v>
      </c>
      <c r="J877" s="8">
        <v>45735</v>
      </c>
      <c r="K877" s="1" t="s">
        <v>2872</v>
      </c>
      <c r="L877" t="s">
        <v>3277</v>
      </c>
      <c r="M877" t="s">
        <v>3278</v>
      </c>
      <c r="N877" s="2">
        <v>32448000</v>
      </c>
      <c r="O877" t="s">
        <v>273</v>
      </c>
      <c r="P877" s="6" t="s">
        <v>2277</v>
      </c>
      <c r="Q877" t="s">
        <v>3258</v>
      </c>
      <c r="R877" t="s">
        <v>66</v>
      </c>
      <c r="S877" s="9">
        <v>4000</v>
      </c>
      <c r="T877" s="9">
        <v>8112</v>
      </c>
      <c r="U877" s="9">
        <v>32448000</v>
      </c>
      <c r="V877" s="6" t="s">
        <v>1422</v>
      </c>
      <c r="W877" t="s">
        <v>252</v>
      </c>
      <c r="X877">
        <v>7704413624</v>
      </c>
      <c r="Y877">
        <v>507401001</v>
      </c>
      <c r="Z877" s="3">
        <v>45736.42083333333</v>
      </c>
      <c r="AA877" s="6">
        <v>2025</v>
      </c>
      <c r="AB877" s="1">
        <v>46022</v>
      </c>
    </row>
    <row r="878" spans="1:28" x14ac:dyDescent="0.3">
      <c r="A878" t="s">
        <v>3279</v>
      </c>
      <c r="B878" s="6" t="s">
        <v>3280</v>
      </c>
      <c r="C878" s="6" t="s">
        <v>114</v>
      </c>
      <c r="D878">
        <v>8617005645</v>
      </c>
      <c r="E878">
        <v>860201001</v>
      </c>
      <c r="F878" t="s">
        <v>149</v>
      </c>
      <c r="G878" t="s">
        <v>3281</v>
      </c>
      <c r="H878" s="1">
        <v>45730</v>
      </c>
      <c r="J878" s="8">
        <v>45735</v>
      </c>
      <c r="K878" s="1" t="s">
        <v>2872</v>
      </c>
      <c r="L878" t="s">
        <v>3282</v>
      </c>
      <c r="M878" t="s">
        <v>377</v>
      </c>
      <c r="N878" s="2">
        <v>127500</v>
      </c>
      <c r="O878" t="s">
        <v>3283</v>
      </c>
      <c r="P878" s="6" t="s">
        <v>36</v>
      </c>
      <c r="R878" t="s">
        <v>38</v>
      </c>
      <c r="S878" s="9">
        <v>5100</v>
      </c>
      <c r="T878" s="9">
        <v>25</v>
      </c>
      <c r="U878" s="9">
        <v>127500</v>
      </c>
      <c r="V878" s="6" t="s">
        <v>119</v>
      </c>
      <c r="W878" t="s">
        <v>59</v>
      </c>
      <c r="X878">
        <v>7810776309</v>
      </c>
      <c r="Y878">
        <v>780601001</v>
      </c>
      <c r="Z878" s="3">
        <v>45735.615277777775</v>
      </c>
      <c r="AA878" s="6">
        <v>2025</v>
      </c>
      <c r="AB878" s="1">
        <v>45795</v>
      </c>
    </row>
    <row r="879" spans="1:28" x14ac:dyDescent="0.3">
      <c r="A879" s="4" t="s">
        <v>3284</v>
      </c>
      <c r="B879" s="6" t="s">
        <v>782</v>
      </c>
      <c r="C879" s="6" t="s">
        <v>783</v>
      </c>
      <c r="D879">
        <v>6231025123</v>
      </c>
      <c r="E879">
        <v>623401001</v>
      </c>
      <c r="F879" t="s">
        <v>52</v>
      </c>
      <c r="G879" t="s">
        <v>3285</v>
      </c>
      <c r="H879" s="1">
        <v>45722</v>
      </c>
      <c r="J879" s="8">
        <v>45736</v>
      </c>
      <c r="K879" s="1" t="s">
        <v>2872</v>
      </c>
      <c r="L879" t="s">
        <v>3286</v>
      </c>
      <c r="M879" t="s">
        <v>1519</v>
      </c>
      <c r="N879" s="2">
        <v>2445261</v>
      </c>
      <c r="O879" t="s">
        <v>377</v>
      </c>
      <c r="P879" s="6" t="s">
        <v>2277</v>
      </c>
      <c r="Q879" t="s">
        <v>37</v>
      </c>
      <c r="R879" t="s">
        <v>38</v>
      </c>
      <c r="S879" s="9">
        <v>3549</v>
      </c>
      <c r="T879" s="9">
        <v>689</v>
      </c>
      <c r="U879" s="9">
        <v>2445261</v>
      </c>
      <c r="V879" s="6" t="s">
        <v>3287</v>
      </c>
      <c r="W879" t="s">
        <v>3288</v>
      </c>
      <c r="X879">
        <v>222110224333</v>
      </c>
      <c r="Z879" s="3">
        <v>45737.412499999999</v>
      </c>
      <c r="AA879" s="6">
        <v>2025</v>
      </c>
      <c r="AB879" s="1">
        <v>45983</v>
      </c>
    </row>
    <row r="880" spans="1:28" x14ac:dyDescent="0.3">
      <c r="A880" s="4" t="s">
        <v>3289</v>
      </c>
      <c r="B880" s="6" t="s">
        <v>1103</v>
      </c>
      <c r="C880" s="6" t="s">
        <v>1104</v>
      </c>
      <c r="D880">
        <v>4347018562</v>
      </c>
      <c r="E880">
        <v>434501001</v>
      </c>
      <c r="F880" t="s">
        <v>52</v>
      </c>
      <c r="G880" t="s">
        <v>3290</v>
      </c>
      <c r="H880" s="1">
        <v>45726</v>
      </c>
      <c r="J880" s="8">
        <v>45737</v>
      </c>
      <c r="K880" s="1" t="s">
        <v>2872</v>
      </c>
      <c r="L880" t="s">
        <v>3291</v>
      </c>
      <c r="M880" t="s">
        <v>416</v>
      </c>
      <c r="N880" s="2">
        <v>24990000</v>
      </c>
      <c r="O880" t="s">
        <v>1912</v>
      </c>
      <c r="P880" s="6" t="s">
        <v>891</v>
      </c>
      <c r="Q880" t="s">
        <v>37</v>
      </c>
      <c r="R880" t="s">
        <v>38</v>
      </c>
      <c r="S880" s="9">
        <v>5100</v>
      </c>
      <c r="T880" s="9">
        <v>2450</v>
      </c>
      <c r="U880" s="9">
        <v>12495000</v>
      </c>
      <c r="V880" s="6" t="s">
        <v>58</v>
      </c>
      <c r="W880" t="s">
        <v>59</v>
      </c>
      <c r="X880">
        <v>5262222144</v>
      </c>
      <c r="Y880">
        <v>526201001</v>
      </c>
      <c r="Z880" s="3">
        <v>45737.584027777775</v>
      </c>
      <c r="AA880" s="6">
        <v>2025</v>
      </c>
      <c r="AB880" s="1">
        <v>46021</v>
      </c>
    </row>
    <row r="881" spans="1:28" x14ac:dyDescent="0.3">
      <c r="A881" t="s">
        <v>3292</v>
      </c>
      <c r="B881" s="6" t="s">
        <v>2115</v>
      </c>
      <c r="C881" s="6" t="s">
        <v>84</v>
      </c>
      <c r="D881">
        <v>3662006088</v>
      </c>
      <c r="E881">
        <v>366201001</v>
      </c>
      <c r="F881" t="s">
        <v>52</v>
      </c>
      <c r="G881" t="s">
        <v>3293</v>
      </c>
      <c r="H881" s="1">
        <v>45726</v>
      </c>
      <c r="J881" s="8">
        <v>45737</v>
      </c>
      <c r="K881" s="1" t="s">
        <v>2872</v>
      </c>
      <c r="L881" t="s">
        <v>3294</v>
      </c>
      <c r="M881" t="s">
        <v>3295</v>
      </c>
      <c r="N881" s="2">
        <v>25597620</v>
      </c>
      <c r="O881" t="s">
        <v>1912</v>
      </c>
      <c r="P881" s="6" t="s">
        <v>891</v>
      </c>
      <c r="Q881" t="s">
        <v>1993</v>
      </c>
      <c r="R881" t="s">
        <v>38</v>
      </c>
      <c r="S881" s="9">
        <v>5267</v>
      </c>
      <c r="T881" s="9">
        <v>1620</v>
      </c>
      <c r="U881" s="9">
        <v>8532540</v>
      </c>
      <c r="V881" s="6" t="s">
        <v>58</v>
      </c>
      <c r="W881" t="s">
        <v>59</v>
      </c>
      <c r="X881">
        <v>5262222144</v>
      </c>
      <c r="Y881">
        <v>526201001</v>
      </c>
      <c r="Z881" s="3">
        <v>45740.539583333331</v>
      </c>
      <c r="AA881" s="6">
        <v>2025</v>
      </c>
      <c r="AB881" s="1">
        <v>46053</v>
      </c>
    </row>
    <row r="882" spans="1:28" x14ac:dyDescent="0.3">
      <c r="A882" t="s">
        <v>3296</v>
      </c>
      <c r="B882" s="6" t="s">
        <v>796</v>
      </c>
      <c r="C882" s="6" t="s">
        <v>69</v>
      </c>
      <c r="D882">
        <v>8901007006</v>
      </c>
      <c r="E882">
        <v>890101001</v>
      </c>
      <c r="F882" t="s">
        <v>52</v>
      </c>
      <c r="G882" t="s">
        <v>3297</v>
      </c>
      <c r="H882" s="1">
        <v>45726</v>
      </c>
      <c r="J882" s="8">
        <v>45737</v>
      </c>
      <c r="K882" s="1" t="s">
        <v>2872</v>
      </c>
      <c r="L882" t="s">
        <v>3298</v>
      </c>
      <c r="M882" t="s">
        <v>1553</v>
      </c>
      <c r="N882" s="2">
        <v>221780</v>
      </c>
      <c r="O882" t="s">
        <v>377</v>
      </c>
      <c r="P882" s="6" t="s">
        <v>464</v>
      </c>
      <c r="R882" t="s">
        <v>66</v>
      </c>
      <c r="S882" s="9">
        <v>8530</v>
      </c>
      <c r="T882" s="9">
        <v>26</v>
      </c>
      <c r="U882" s="9">
        <v>221780</v>
      </c>
      <c r="V882" s="6" t="s">
        <v>3299</v>
      </c>
      <c r="W882" t="s">
        <v>3300</v>
      </c>
      <c r="X882">
        <v>7203210214</v>
      </c>
      <c r="Y882">
        <v>720301001</v>
      </c>
      <c r="Z882" s="3">
        <v>45737.393750000003</v>
      </c>
      <c r="AA882" s="6">
        <v>2025</v>
      </c>
      <c r="AB882" s="1">
        <v>45854</v>
      </c>
    </row>
    <row r="883" spans="1:28" x14ac:dyDescent="0.3">
      <c r="A883" t="s">
        <v>3292</v>
      </c>
      <c r="B883" s="6" t="s">
        <v>2115</v>
      </c>
      <c r="C883" s="6" t="s">
        <v>84</v>
      </c>
      <c r="D883">
        <v>3662006088</v>
      </c>
      <c r="E883">
        <v>366201001</v>
      </c>
      <c r="F883" t="s">
        <v>52</v>
      </c>
      <c r="G883" t="s">
        <v>3293</v>
      </c>
      <c r="H883" s="1">
        <v>45726</v>
      </c>
      <c r="J883" s="8">
        <v>45737</v>
      </c>
      <c r="K883" s="1" t="s">
        <v>2872</v>
      </c>
      <c r="L883" t="s">
        <v>3294</v>
      </c>
      <c r="M883" t="s">
        <v>3295</v>
      </c>
      <c r="N883" s="2">
        <v>25597620</v>
      </c>
      <c r="O883" t="s">
        <v>494</v>
      </c>
      <c r="P883" s="6" t="s">
        <v>36</v>
      </c>
      <c r="Q883" t="s">
        <v>1993</v>
      </c>
      <c r="R883" t="s">
        <v>38</v>
      </c>
      <c r="S883" s="9">
        <v>5267</v>
      </c>
      <c r="T883" s="9">
        <v>1620</v>
      </c>
      <c r="U883" s="9">
        <v>8532540</v>
      </c>
      <c r="V883" s="6" t="s">
        <v>58</v>
      </c>
      <c r="W883" t="s">
        <v>59</v>
      </c>
      <c r="X883">
        <v>5262222144</v>
      </c>
      <c r="Y883">
        <v>526201001</v>
      </c>
      <c r="Z883" s="3">
        <v>45740.539583333331</v>
      </c>
      <c r="AA883" s="6">
        <v>2025</v>
      </c>
      <c r="AB883" s="1">
        <v>46053</v>
      </c>
    </row>
    <row r="884" spans="1:28" x14ac:dyDescent="0.3">
      <c r="A884" t="s">
        <v>3292</v>
      </c>
      <c r="B884" s="6" t="s">
        <v>2115</v>
      </c>
      <c r="C884" s="6" t="s">
        <v>84</v>
      </c>
      <c r="D884">
        <v>3662006088</v>
      </c>
      <c r="E884">
        <v>366201001</v>
      </c>
      <c r="F884" t="s">
        <v>52</v>
      </c>
      <c r="G884" t="s">
        <v>3293</v>
      </c>
      <c r="H884" s="1">
        <v>45726</v>
      </c>
      <c r="J884" s="8">
        <v>45737</v>
      </c>
      <c r="K884" s="1" t="s">
        <v>2872</v>
      </c>
      <c r="L884" t="s">
        <v>3294</v>
      </c>
      <c r="M884" t="s">
        <v>3295</v>
      </c>
      <c r="N884" s="2">
        <v>25597620</v>
      </c>
      <c r="O884" t="s">
        <v>377</v>
      </c>
      <c r="P884" s="6" t="s">
        <v>2277</v>
      </c>
      <c r="Q884" t="s">
        <v>1993</v>
      </c>
      <c r="R884" t="s">
        <v>38</v>
      </c>
      <c r="S884" s="9">
        <v>5267</v>
      </c>
      <c r="T884" s="9">
        <v>1620</v>
      </c>
      <c r="U884" s="9">
        <v>8532540</v>
      </c>
      <c r="V884" s="6" t="s">
        <v>58</v>
      </c>
      <c r="W884" t="s">
        <v>59</v>
      </c>
      <c r="X884">
        <v>5262222144</v>
      </c>
      <c r="Y884">
        <v>526201001</v>
      </c>
      <c r="Z884" s="3">
        <v>45740.539583333331</v>
      </c>
      <c r="AA884" s="6">
        <v>2025</v>
      </c>
      <c r="AB884" s="1">
        <v>46053</v>
      </c>
    </row>
    <row r="885" spans="1:28" x14ac:dyDescent="0.3">
      <c r="A885" t="s">
        <v>3301</v>
      </c>
      <c r="B885" s="6" t="s">
        <v>1103</v>
      </c>
      <c r="C885" s="6" t="s">
        <v>1104</v>
      </c>
      <c r="D885">
        <v>4347018562</v>
      </c>
      <c r="E885">
        <v>434501001</v>
      </c>
      <c r="F885" t="s">
        <v>52</v>
      </c>
      <c r="G885" t="s">
        <v>3290</v>
      </c>
      <c r="H885" s="1">
        <v>45726</v>
      </c>
      <c r="J885" s="8">
        <v>45737</v>
      </c>
      <c r="K885" s="1" t="s">
        <v>2872</v>
      </c>
      <c r="L885" t="s">
        <v>3291</v>
      </c>
      <c r="M885" t="s">
        <v>416</v>
      </c>
      <c r="N885" s="2">
        <v>24990000</v>
      </c>
      <c r="O885" t="s">
        <v>494</v>
      </c>
      <c r="P885" s="6" t="s">
        <v>36</v>
      </c>
      <c r="Q885" t="s">
        <v>37</v>
      </c>
      <c r="R885" t="s">
        <v>38</v>
      </c>
      <c r="S885" s="9">
        <v>5100</v>
      </c>
      <c r="T885" s="9">
        <v>2450</v>
      </c>
      <c r="U885" s="9">
        <v>12495000</v>
      </c>
      <c r="V885" s="6" t="s">
        <v>58</v>
      </c>
      <c r="W885" t="s">
        <v>59</v>
      </c>
      <c r="X885">
        <v>5262222144</v>
      </c>
      <c r="Y885">
        <v>526201001</v>
      </c>
      <c r="Z885" s="3">
        <v>45737.584027777775</v>
      </c>
      <c r="AA885" s="6">
        <v>2025</v>
      </c>
      <c r="AB885" s="1">
        <v>46021</v>
      </c>
    </row>
    <row r="886" spans="1:28" x14ac:dyDescent="0.3">
      <c r="A886" t="s">
        <v>3302</v>
      </c>
      <c r="B886" s="6" t="s">
        <v>472</v>
      </c>
      <c r="C886" s="6" t="s">
        <v>473</v>
      </c>
      <c r="D886">
        <v>3729010595</v>
      </c>
      <c r="E886">
        <v>370201001</v>
      </c>
      <c r="F886" t="s">
        <v>52</v>
      </c>
      <c r="G886" t="s">
        <v>3303</v>
      </c>
      <c r="H886" s="1">
        <v>45726</v>
      </c>
      <c r="I886" t="s">
        <v>3304</v>
      </c>
      <c r="J886" s="8">
        <v>45737</v>
      </c>
      <c r="K886" s="1" t="s">
        <v>2872</v>
      </c>
      <c r="L886" t="s">
        <v>3303</v>
      </c>
      <c r="M886" t="s">
        <v>3305</v>
      </c>
      <c r="N886" s="2">
        <v>1217300</v>
      </c>
      <c r="O886" t="s">
        <v>494</v>
      </c>
      <c r="P886" s="6" t="s">
        <v>36</v>
      </c>
      <c r="R886" t="s">
        <v>66</v>
      </c>
      <c r="S886" s="9">
        <v>5180</v>
      </c>
      <c r="T886" s="9">
        <v>235</v>
      </c>
      <c r="U886" s="9">
        <v>1217300</v>
      </c>
      <c r="V886" s="6" t="s">
        <v>58</v>
      </c>
      <c r="W886" t="s">
        <v>59</v>
      </c>
      <c r="X886">
        <v>5262222144</v>
      </c>
      <c r="Y886">
        <v>526201001</v>
      </c>
      <c r="Z886" s="3">
        <v>45737.400694444441</v>
      </c>
      <c r="AA886" s="6">
        <v>2025</v>
      </c>
      <c r="AB886" s="1">
        <v>46020</v>
      </c>
    </row>
    <row r="887" spans="1:28" x14ac:dyDescent="0.3">
      <c r="A887" t="s">
        <v>3306</v>
      </c>
      <c r="B887" s="6" t="s">
        <v>3214</v>
      </c>
      <c r="C887" s="6" t="s">
        <v>43</v>
      </c>
      <c r="D887">
        <v>5612167767</v>
      </c>
      <c r="E887">
        <v>561201001</v>
      </c>
      <c r="F887" t="s">
        <v>2712</v>
      </c>
      <c r="G887" t="s">
        <v>3307</v>
      </c>
      <c r="H887" s="1">
        <v>45726</v>
      </c>
      <c r="J887" s="8">
        <v>45737</v>
      </c>
      <c r="K887" s="1" t="s">
        <v>2872</v>
      </c>
      <c r="L887" t="s">
        <v>3308</v>
      </c>
      <c r="M887" t="s">
        <v>3309</v>
      </c>
      <c r="N887" s="2">
        <v>118000</v>
      </c>
      <c r="O887" t="s">
        <v>3310</v>
      </c>
      <c r="P887" s="6" t="s">
        <v>891</v>
      </c>
      <c r="Q887" t="s">
        <v>37</v>
      </c>
      <c r="R887" t="s">
        <v>48</v>
      </c>
      <c r="S887" s="9">
        <v>5100</v>
      </c>
      <c r="T887" s="9">
        <v>20</v>
      </c>
      <c r="U887" s="9">
        <v>118000</v>
      </c>
      <c r="V887" s="6" t="s">
        <v>39</v>
      </c>
      <c r="W887" t="s">
        <v>40</v>
      </c>
      <c r="Z887" s="3"/>
      <c r="AB887" s="1"/>
    </row>
    <row r="888" spans="1:28" x14ac:dyDescent="0.3">
      <c r="A888" t="s">
        <v>3311</v>
      </c>
      <c r="B888" s="6" t="s">
        <v>1263</v>
      </c>
      <c r="C888" s="6" t="s">
        <v>1225</v>
      </c>
      <c r="D888">
        <v>2309053058</v>
      </c>
      <c r="E888">
        <v>231001001</v>
      </c>
      <c r="F888" t="s">
        <v>52</v>
      </c>
      <c r="G888" t="s">
        <v>3312</v>
      </c>
      <c r="H888" s="1">
        <v>45727</v>
      </c>
      <c r="J888" s="8">
        <v>45740</v>
      </c>
      <c r="K888" s="1" t="s">
        <v>2872</v>
      </c>
      <c r="L888" t="s">
        <v>3313</v>
      </c>
      <c r="M888" t="s">
        <v>3314</v>
      </c>
      <c r="N888" s="2">
        <v>227217000</v>
      </c>
      <c r="O888" t="s">
        <v>377</v>
      </c>
      <c r="P888" s="6" t="s">
        <v>891</v>
      </c>
      <c r="Q888" t="s">
        <v>37</v>
      </c>
      <c r="R888" t="s">
        <v>38</v>
      </c>
      <c r="S888" s="9">
        <f>34500/6</f>
        <v>5750</v>
      </c>
      <c r="T888" s="9">
        <f>6586*6</f>
        <v>39516</v>
      </c>
      <c r="U888" s="9">
        <v>227217000</v>
      </c>
      <c r="V888" s="6" t="s">
        <v>1497</v>
      </c>
      <c r="W888" t="s">
        <v>1269</v>
      </c>
      <c r="X888">
        <v>234606565699</v>
      </c>
      <c r="Z888" s="3">
        <v>45740.642361111109</v>
      </c>
      <c r="AA888" s="6">
        <v>2025</v>
      </c>
      <c r="AB888" s="1">
        <v>46015</v>
      </c>
    </row>
    <row r="889" spans="1:28" x14ac:dyDescent="0.3">
      <c r="A889" t="s">
        <v>3315</v>
      </c>
      <c r="B889" s="6" t="s">
        <v>1263</v>
      </c>
      <c r="C889" s="6" t="s">
        <v>1225</v>
      </c>
      <c r="D889">
        <v>2309053058</v>
      </c>
      <c r="E889">
        <v>231001001</v>
      </c>
      <c r="F889" t="s">
        <v>52</v>
      </c>
      <c r="G889" t="s">
        <v>3316</v>
      </c>
      <c r="H889" s="1">
        <v>45727</v>
      </c>
      <c r="J889" s="8">
        <v>45740</v>
      </c>
      <c r="K889" s="1" t="s">
        <v>2872</v>
      </c>
      <c r="L889" t="s">
        <v>3317</v>
      </c>
      <c r="M889" t="s">
        <v>3318</v>
      </c>
      <c r="N889" s="2">
        <v>207655500</v>
      </c>
      <c r="O889" t="s">
        <v>377</v>
      </c>
      <c r="P889" s="6" t="s">
        <v>891</v>
      </c>
      <c r="Q889" t="s">
        <v>1993</v>
      </c>
      <c r="R889" t="s">
        <v>38</v>
      </c>
      <c r="S889" s="9">
        <f>34500/6</f>
        <v>5750</v>
      </c>
      <c r="T889" s="9">
        <f>1019*6+15000-630</f>
        <v>20484</v>
      </c>
      <c r="U889" s="9">
        <f>S889*T889</f>
        <v>117783000</v>
      </c>
      <c r="V889" s="6" t="s">
        <v>1497</v>
      </c>
      <c r="W889" t="s">
        <v>1269</v>
      </c>
      <c r="X889">
        <v>234606565699</v>
      </c>
      <c r="Z889" s="3">
        <v>45740.625</v>
      </c>
      <c r="AA889" s="6">
        <v>2025</v>
      </c>
      <c r="AB889" s="1">
        <v>46015</v>
      </c>
    </row>
    <row r="890" spans="1:28" x14ac:dyDescent="0.3">
      <c r="A890" t="s">
        <v>3319</v>
      </c>
      <c r="B890" s="6" t="s">
        <v>547</v>
      </c>
      <c r="C890" s="6" t="s">
        <v>548</v>
      </c>
      <c r="D890">
        <v>1901005310</v>
      </c>
      <c r="E890">
        <v>190101001</v>
      </c>
      <c r="F890" t="s">
        <v>52</v>
      </c>
      <c r="G890" t="s">
        <v>3320</v>
      </c>
      <c r="H890" s="1">
        <v>45728</v>
      </c>
      <c r="I890" t="s">
        <v>3321</v>
      </c>
      <c r="J890" s="8">
        <v>45740</v>
      </c>
      <c r="K890" s="1" t="s">
        <v>2872</v>
      </c>
      <c r="L890" t="s">
        <v>3322</v>
      </c>
      <c r="M890" t="s">
        <v>552</v>
      </c>
      <c r="N890" s="2">
        <v>200266.8</v>
      </c>
      <c r="O890" t="s">
        <v>440</v>
      </c>
      <c r="P890" s="6" t="s">
        <v>36</v>
      </c>
      <c r="R890" t="s">
        <v>66</v>
      </c>
      <c r="S890" s="9">
        <v>5006.67</v>
      </c>
      <c r="T890" s="9">
        <v>40</v>
      </c>
      <c r="U890" s="9">
        <v>200266.8</v>
      </c>
      <c r="V890" s="6" t="s">
        <v>352</v>
      </c>
      <c r="W890" t="s">
        <v>40</v>
      </c>
      <c r="X890">
        <v>7843014747</v>
      </c>
      <c r="Y890">
        <v>781401001</v>
      </c>
      <c r="Z890" s="3">
        <v>45740.194444444445</v>
      </c>
      <c r="AA890" s="6">
        <v>2025</v>
      </c>
      <c r="AB890" s="1">
        <v>45800</v>
      </c>
    </row>
    <row r="891" spans="1:28" x14ac:dyDescent="0.3">
      <c r="A891" t="s">
        <v>3323</v>
      </c>
      <c r="B891" s="6" t="s">
        <v>501</v>
      </c>
      <c r="C891" s="6" t="s">
        <v>502</v>
      </c>
      <c r="D891">
        <v>6318197367</v>
      </c>
      <c r="E891">
        <v>631801001</v>
      </c>
      <c r="F891" t="s">
        <v>52</v>
      </c>
      <c r="G891" t="s">
        <v>3324</v>
      </c>
      <c r="H891" s="1">
        <v>45728</v>
      </c>
      <c r="I891" t="s">
        <v>3321</v>
      </c>
      <c r="J891" s="8">
        <v>45740</v>
      </c>
      <c r="K891" s="1" t="s">
        <v>2872</v>
      </c>
      <c r="L891" t="s">
        <v>3325</v>
      </c>
      <c r="M891" t="s">
        <v>3326</v>
      </c>
      <c r="N891" s="2">
        <v>40016116.799999997</v>
      </c>
      <c r="O891" t="s">
        <v>377</v>
      </c>
      <c r="P891" s="6" t="s">
        <v>2277</v>
      </c>
      <c r="Q891" t="s">
        <v>1993</v>
      </c>
      <c r="R891" t="s">
        <v>38</v>
      </c>
      <c r="S891" s="9">
        <v>4237.2</v>
      </c>
      <c r="T891" s="9">
        <v>9444</v>
      </c>
      <c r="U891" s="9">
        <v>40016116.799999997</v>
      </c>
      <c r="V891" s="6" t="s">
        <v>251</v>
      </c>
      <c r="W891" t="s">
        <v>252</v>
      </c>
      <c r="X891">
        <v>5027262517</v>
      </c>
      <c r="Y891">
        <v>502701001</v>
      </c>
      <c r="Z891" s="3">
        <v>45740.671527777777</v>
      </c>
      <c r="AA891" s="6">
        <v>2025</v>
      </c>
      <c r="AB891" s="1">
        <v>46022</v>
      </c>
    </row>
    <row r="892" spans="1:28" x14ac:dyDescent="0.3">
      <c r="A892" t="s">
        <v>3327</v>
      </c>
      <c r="B892" s="6" t="s">
        <v>139</v>
      </c>
      <c r="C892" s="6" t="s">
        <v>140</v>
      </c>
      <c r="D892">
        <v>3444198220</v>
      </c>
      <c r="E892">
        <v>346001001</v>
      </c>
      <c r="F892" t="s">
        <v>52</v>
      </c>
      <c r="G892" t="s">
        <v>3328</v>
      </c>
      <c r="H892" s="1">
        <v>45727</v>
      </c>
      <c r="I892" t="s">
        <v>3329</v>
      </c>
      <c r="J892" s="8">
        <v>45740</v>
      </c>
      <c r="K892" s="1" t="s">
        <v>2872</v>
      </c>
      <c r="L892" t="s">
        <v>3330</v>
      </c>
      <c r="M892" t="s">
        <v>3331</v>
      </c>
      <c r="N892" s="2">
        <v>884305</v>
      </c>
      <c r="O892" t="s">
        <v>2458</v>
      </c>
      <c r="P892" s="6" t="s">
        <v>2277</v>
      </c>
      <c r="R892" t="s">
        <v>38</v>
      </c>
      <c r="S892" s="9">
        <v>3763</v>
      </c>
      <c r="T892" s="9">
        <v>235</v>
      </c>
      <c r="U892" s="9">
        <v>884305</v>
      </c>
      <c r="V892" s="6" t="s">
        <v>2459</v>
      </c>
      <c r="W892" t="s">
        <v>2460</v>
      </c>
      <c r="X892">
        <v>4003032047</v>
      </c>
      <c r="Y892">
        <v>772201001</v>
      </c>
      <c r="Z892" s="3">
        <v>45741.689583333333</v>
      </c>
      <c r="AA892" s="6">
        <v>2025</v>
      </c>
      <c r="AB892" s="1">
        <v>46022</v>
      </c>
    </row>
    <row r="893" spans="1:28" x14ac:dyDescent="0.3">
      <c r="A893" t="s">
        <v>3332</v>
      </c>
      <c r="B893" s="6" t="s">
        <v>139</v>
      </c>
      <c r="C893" s="6" t="s">
        <v>140</v>
      </c>
      <c r="D893">
        <v>3444198220</v>
      </c>
      <c r="E893">
        <v>346001001</v>
      </c>
      <c r="F893" t="s">
        <v>52</v>
      </c>
      <c r="G893" t="s">
        <v>3333</v>
      </c>
      <c r="H893" s="1">
        <v>45727</v>
      </c>
      <c r="I893" t="s">
        <v>3329</v>
      </c>
      <c r="J893" s="8">
        <v>45740</v>
      </c>
      <c r="K893" s="1" t="s">
        <v>2872</v>
      </c>
      <c r="L893" t="s">
        <v>3334</v>
      </c>
      <c r="M893" t="s">
        <v>3335</v>
      </c>
      <c r="N893" s="2">
        <v>101587599.63</v>
      </c>
      <c r="O893" t="s">
        <v>2458</v>
      </c>
      <c r="P893" s="6" t="s">
        <v>2277</v>
      </c>
      <c r="R893" t="s">
        <v>38</v>
      </c>
      <c r="S893" s="9">
        <v>4213.33</v>
      </c>
      <c r="T893" s="9">
        <v>24111</v>
      </c>
      <c r="U893" s="9">
        <v>101587599.63</v>
      </c>
      <c r="V893" s="6" t="s">
        <v>2459</v>
      </c>
      <c r="W893" t="s">
        <v>2460</v>
      </c>
      <c r="X893">
        <v>4003032047</v>
      </c>
      <c r="Y893">
        <v>772201001</v>
      </c>
      <c r="Z893" s="3">
        <v>45741.686111111114</v>
      </c>
      <c r="AA893" s="6">
        <v>2025</v>
      </c>
      <c r="AB893" s="1">
        <v>46022</v>
      </c>
    </row>
    <row r="894" spans="1:28" x14ac:dyDescent="0.3">
      <c r="A894" t="s">
        <v>3336</v>
      </c>
      <c r="B894" s="6" t="s">
        <v>139</v>
      </c>
      <c r="C894" s="6" t="s">
        <v>140</v>
      </c>
      <c r="D894">
        <v>3444198220</v>
      </c>
      <c r="E894">
        <v>346001001</v>
      </c>
      <c r="F894" t="s">
        <v>52</v>
      </c>
      <c r="G894" t="s">
        <v>3337</v>
      </c>
      <c r="H894" s="1">
        <v>45726</v>
      </c>
      <c r="I894" t="s">
        <v>3304</v>
      </c>
      <c r="J894" s="8">
        <v>45740</v>
      </c>
      <c r="K894" s="1" t="s">
        <v>2872</v>
      </c>
      <c r="L894" t="s">
        <v>3338</v>
      </c>
      <c r="M894" t="s">
        <v>3339</v>
      </c>
      <c r="N894" s="2">
        <v>89423944.109999999</v>
      </c>
      <c r="O894" t="s">
        <v>1906</v>
      </c>
      <c r="P894" s="6" t="s">
        <v>1814</v>
      </c>
      <c r="R894" t="s">
        <v>38</v>
      </c>
      <c r="S894" s="9">
        <v>5333.33</v>
      </c>
      <c r="T894" s="9">
        <v>16767</v>
      </c>
      <c r="U894" s="9">
        <v>89423944.109999999</v>
      </c>
      <c r="V894" s="6" t="s">
        <v>39</v>
      </c>
      <c r="W894" t="s">
        <v>40</v>
      </c>
      <c r="X894">
        <v>7810687137</v>
      </c>
      <c r="Y894">
        <v>781401001</v>
      </c>
      <c r="Z894" s="3">
        <v>45741.675000000003</v>
      </c>
      <c r="AA894" s="6">
        <v>2025</v>
      </c>
      <c r="AB894" s="1">
        <v>46022</v>
      </c>
    </row>
    <row r="895" spans="1:28" x14ac:dyDescent="0.3">
      <c r="A895" t="s">
        <v>3340</v>
      </c>
      <c r="B895" s="6" t="s">
        <v>567</v>
      </c>
      <c r="C895" s="6" t="s">
        <v>568</v>
      </c>
      <c r="D895">
        <v>4909085785</v>
      </c>
      <c r="E895">
        <v>490901001</v>
      </c>
      <c r="F895" t="s">
        <v>94</v>
      </c>
      <c r="G895" t="s">
        <v>3341</v>
      </c>
      <c r="H895" s="1">
        <v>45735</v>
      </c>
      <c r="J895" s="8">
        <v>45740</v>
      </c>
      <c r="K895" s="1" t="s">
        <v>2872</v>
      </c>
      <c r="L895" t="s">
        <v>3341</v>
      </c>
      <c r="M895" t="s">
        <v>3342</v>
      </c>
      <c r="N895" s="2">
        <v>4039200</v>
      </c>
      <c r="O895" t="s">
        <v>494</v>
      </c>
      <c r="P895" s="6" t="s">
        <v>36</v>
      </c>
      <c r="Q895" t="s">
        <v>37</v>
      </c>
      <c r="R895" t="s">
        <v>38</v>
      </c>
      <c r="S895" s="9">
        <v>3400</v>
      </c>
      <c r="T895" s="9">
        <v>1188</v>
      </c>
      <c r="U895" s="9">
        <v>4039200</v>
      </c>
      <c r="V895" s="6" t="s">
        <v>39</v>
      </c>
      <c r="W895" t="s">
        <v>40</v>
      </c>
      <c r="X895">
        <v>7810687137</v>
      </c>
      <c r="Y895">
        <v>781401001</v>
      </c>
      <c r="Z895" s="3">
        <v>45740.338194444441</v>
      </c>
      <c r="AA895" s="6">
        <v>2025</v>
      </c>
      <c r="AB895" s="1">
        <v>46022</v>
      </c>
    </row>
    <row r="896" spans="1:28" x14ac:dyDescent="0.3">
      <c r="A896" t="s">
        <v>3343</v>
      </c>
      <c r="B896" s="6" t="s">
        <v>321</v>
      </c>
      <c r="C896" s="6" t="s">
        <v>322</v>
      </c>
      <c r="D896">
        <v>3917515253</v>
      </c>
      <c r="E896">
        <v>390601001</v>
      </c>
      <c r="F896" t="s">
        <v>149</v>
      </c>
      <c r="G896" t="s">
        <v>3344</v>
      </c>
      <c r="H896" s="1">
        <v>45735</v>
      </c>
      <c r="I896" t="s">
        <v>3345</v>
      </c>
      <c r="J896" s="8">
        <v>45740</v>
      </c>
      <c r="K896" s="1" t="s">
        <v>2872</v>
      </c>
      <c r="L896" t="s">
        <v>3344</v>
      </c>
      <c r="M896" t="s">
        <v>377</v>
      </c>
      <c r="N896" s="2">
        <v>326400</v>
      </c>
      <c r="O896" t="s">
        <v>377</v>
      </c>
      <c r="P896" s="6" t="s">
        <v>1814</v>
      </c>
      <c r="Q896" t="s">
        <v>37</v>
      </c>
      <c r="R896" t="s">
        <v>38</v>
      </c>
      <c r="S896" s="9">
        <v>4800</v>
      </c>
      <c r="T896" s="9">
        <v>68</v>
      </c>
      <c r="U896" s="9">
        <v>326400</v>
      </c>
      <c r="V896" s="6" t="s">
        <v>39</v>
      </c>
      <c r="W896" t="s">
        <v>40</v>
      </c>
      <c r="X896">
        <v>7810687137</v>
      </c>
      <c r="Y896">
        <v>781401001</v>
      </c>
      <c r="Z896" s="3">
        <v>45740.370833333334</v>
      </c>
      <c r="AA896" s="6">
        <v>2025</v>
      </c>
      <c r="AB896" s="1">
        <v>46022</v>
      </c>
    </row>
    <row r="897" spans="1:28" x14ac:dyDescent="0.3">
      <c r="A897" t="s">
        <v>3346</v>
      </c>
      <c r="B897" s="6" t="s">
        <v>1263</v>
      </c>
      <c r="C897" s="6" t="s">
        <v>1225</v>
      </c>
      <c r="D897">
        <v>2309053058</v>
      </c>
      <c r="E897">
        <v>231001001</v>
      </c>
      <c r="F897" t="s">
        <v>52</v>
      </c>
      <c r="G897" t="s">
        <v>3347</v>
      </c>
      <c r="H897" s="1">
        <v>45727</v>
      </c>
      <c r="J897" s="8">
        <v>45740</v>
      </c>
      <c r="K897" s="1" t="s">
        <v>2872</v>
      </c>
      <c r="L897" t="s">
        <v>3348</v>
      </c>
      <c r="M897" t="s">
        <v>3314</v>
      </c>
      <c r="N897" s="2">
        <v>38398500</v>
      </c>
      <c r="O897" t="s">
        <v>377</v>
      </c>
      <c r="P897" s="6" t="s">
        <v>36</v>
      </c>
      <c r="Q897" t="s">
        <v>37</v>
      </c>
      <c r="R897" t="s">
        <v>38</v>
      </c>
      <c r="S897" s="9">
        <f>40250/7</f>
        <v>5750</v>
      </c>
      <c r="T897" s="9">
        <f>954*7</f>
        <v>6678</v>
      </c>
      <c r="U897" s="9">
        <v>38398500</v>
      </c>
      <c r="V897" s="6" t="s">
        <v>1268</v>
      </c>
      <c r="W897" t="s">
        <v>1269</v>
      </c>
      <c r="X897">
        <v>2635230089</v>
      </c>
      <c r="Y897">
        <v>773101001</v>
      </c>
      <c r="Z897" s="3">
        <v>45740.618055555555</v>
      </c>
      <c r="AA897" s="6">
        <v>2025</v>
      </c>
      <c r="AB897" s="1">
        <v>45875</v>
      </c>
    </row>
    <row r="898" spans="1:28" x14ac:dyDescent="0.3">
      <c r="A898" t="s">
        <v>3315</v>
      </c>
      <c r="B898" s="6" t="s">
        <v>1263</v>
      </c>
      <c r="C898" s="6" t="s">
        <v>1225</v>
      </c>
      <c r="D898">
        <v>2309053058</v>
      </c>
      <c r="E898">
        <v>231001001</v>
      </c>
      <c r="F898" t="s">
        <v>52</v>
      </c>
      <c r="G898" t="s">
        <v>3316</v>
      </c>
      <c r="H898" s="1">
        <v>45727</v>
      </c>
      <c r="J898" s="8">
        <v>45740</v>
      </c>
      <c r="K898" s="1" t="s">
        <v>2872</v>
      </c>
      <c r="L898" t="s">
        <v>3317</v>
      </c>
      <c r="M898" t="s">
        <v>3318</v>
      </c>
      <c r="N898" s="2">
        <v>207655500</v>
      </c>
      <c r="O898" t="s">
        <v>377</v>
      </c>
      <c r="P898" s="6" t="s">
        <v>36</v>
      </c>
      <c r="Q898" t="s">
        <v>1993</v>
      </c>
      <c r="R898" t="s">
        <v>38</v>
      </c>
      <c r="S898" s="9">
        <f>34500/6</f>
        <v>5750</v>
      </c>
      <c r="T898" s="9">
        <f>5000*6-15000+630</f>
        <v>15630</v>
      </c>
      <c r="U898" s="9">
        <f>S898*T898</f>
        <v>89872500</v>
      </c>
      <c r="V898" s="6" t="s">
        <v>1497</v>
      </c>
      <c r="W898" t="s">
        <v>1269</v>
      </c>
      <c r="X898">
        <v>234606565699</v>
      </c>
      <c r="Z898" s="3">
        <v>45740.625</v>
      </c>
      <c r="AA898" s="6">
        <v>2025</v>
      </c>
      <c r="AB898" s="1">
        <v>46015</v>
      </c>
    </row>
    <row r="899" spans="1:28" x14ac:dyDescent="0.3">
      <c r="A899" t="s">
        <v>3349</v>
      </c>
      <c r="B899" s="6" t="s">
        <v>997</v>
      </c>
      <c r="C899" s="6" t="s">
        <v>336</v>
      </c>
      <c r="D899">
        <v>5905061070</v>
      </c>
      <c r="E899">
        <v>590501001</v>
      </c>
      <c r="F899" t="s">
        <v>149</v>
      </c>
      <c r="G899" t="s">
        <v>3350</v>
      </c>
      <c r="H899" s="1">
        <v>45735</v>
      </c>
      <c r="J899" s="8">
        <v>45740</v>
      </c>
      <c r="K899" s="1" t="s">
        <v>2872</v>
      </c>
      <c r="L899" t="s">
        <v>3350</v>
      </c>
      <c r="M899" t="s">
        <v>377</v>
      </c>
      <c r="N899" s="2">
        <v>2998800</v>
      </c>
      <c r="O899" t="s">
        <v>377</v>
      </c>
      <c r="P899" s="6" t="s">
        <v>36</v>
      </c>
      <c r="Q899" t="s">
        <v>37</v>
      </c>
      <c r="R899" t="s">
        <v>38</v>
      </c>
      <c r="S899" s="9">
        <v>5100</v>
      </c>
      <c r="T899" s="9">
        <v>588</v>
      </c>
      <c r="U899" s="9">
        <v>2998800</v>
      </c>
      <c r="V899" s="6" t="s">
        <v>58</v>
      </c>
      <c r="W899" t="s">
        <v>59</v>
      </c>
      <c r="X899">
        <v>5262222144</v>
      </c>
      <c r="Y899">
        <v>526201001</v>
      </c>
      <c r="Z899" s="3">
        <v>45741.36041666667</v>
      </c>
      <c r="AA899" s="6">
        <v>2025</v>
      </c>
      <c r="AB899" s="1">
        <v>45802</v>
      </c>
    </row>
    <row r="900" spans="1:28" x14ac:dyDescent="0.3">
      <c r="A900" t="s">
        <v>3351</v>
      </c>
      <c r="B900" s="6" t="s">
        <v>746</v>
      </c>
      <c r="C900" s="6" t="s">
        <v>122</v>
      </c>
      <c r="D900">
        <v>5408100138</v>
      </c>
      <c r="E900">
        <v>540843001</v>
      </c>
      <c r="F900" t="s">
        <v>149</v>
      </c>
      <c r="G900" t="s">
        <v>3352</v>
      </c>
      <c r="H900" s="1">
        <v>45735</v>
      </c>
      <c r="J900" s="8">
        <v>45740</v>
      </c>
      <c r="K900" s="1" t="s">
        <v>2872</v>
      </c>
      <c r="L900" t="s">
        <v>3352</v>
      </c>
      <c r="M900" t="s">
        <v>377</v>
      </c>
      <c r="N900" s="2">
        <v>780000</v>
      </c>
      <c r="O900" t="s">
        <v>2968</v>
      </c>
      <c r="P900" s="6" t="s">
        <v>36</v>
      </c>
      <c r="R900" t="s">
        <v>38</v>
      </c>
      <c r="S900" s="9">
        <v>5200</v>
      </c>
      <c r="T900" s="9">
        <v>150</v>
      </c>
      <c r="U900" s="9">
        <v>780000</v>
      </c>
      <c r="V900" s="6" t="s">
        <v>750</v>
      </c>
      <c r="W900" t="s">
        <v>59</v>
      </c>
      <c r="X900">
        <v>540123954976</v>
      </c>
      <c r="Z900" s="3">
        <v>45740.515972222223</v>
      </c>
      <c r="AA900" s="6">
        <v>2025</v>
      </c>
      <c r="AB900" s="1">
        <v>46052</v>
      </c>
    </row>
    <row r="901" spans="1:28" x14ac:dyDescent="0.3">
      <c r="A901" t="s">
        <v>3353</v>
      </c>
      <c r="B901" s="6" t="s">
        <v>1926</v>
      </c>
      <c r="C901" s="6" t="s">
        <v>731</v>
      </c>
      <c r="D901">
        <v>5835108606</v>
      </c>
      <c r="E901">
        <v>583501001</v>
      </c>
      <c r="F901" t="s">
        <v>52</v>
      </c>
      <c r="G901" t="s">
        <v>3354</v>
      </c>
      <c r="H901" s="1">
        <v>45728</v>
      </c>
      <c r="J901" s="8">
        <v>45740</v>
      </c>
      <c r="K901" s="1" t="s">
        <v>2872</v>
      </c>
      <c r="L901" t="s">
        <v>3354</v>
      </c>
      <c r="M901" t="s">
        <v>534</v>
      </c>
      <c r="N901" s="2">
        <v>8864208</v>
      </c>
      <c r="O901" t="s">
        <v>494</v>
      </c>
      <c r="P901" s="6" t="s">
        <v>36</v>
      </c>
      <c r="R901" t="s">
        <v>38</v>
      </c>
      <c r="S901" s="9">
        <v>3468</v>
      </c>
      <c r="T901" s="9">
        <v>2556</v>
      </c>
      <c r="U901" s="9">
        <v>8864208</v>
      </c>
      <c r="V901" s="6" t="s">
        <v>58</v>
      </c>
      <c r="W901" t="s">
        <v>59</v>
      </c>
      <c r="X901" s="4">
        <v>5262222144</v>
      </c>
      <c r="Y901">
        <v>526201001</v>
      </c>
      <c r="Z901" s="3">
        <v>45741.556944444441</v>
      </c>
      <c r="AA901" s="6">
        <v>2025</v>
      </c>
      <c r="AB901" s="1">
        <v>45891</v>
      </c>
    </row>
    <row r="902" spans="1:28" x14ac:dyDescent="0.3">
      <c r="A902" t="s">
        <v>3355</v>
      </c>
      <c r="B902" s="6" t="s">
        <v>3356</v>
      </c>
      <c r="C902" s="6" t="s">
        <v>539</v>
      </c>
      <c r="D902">
        <v>7802010020</v>
      </c>
      <c r="E902">
        <v>780201001</v>
      </c>
      <c r="F902" t="s">
        <v>52</v>
      </c>
      <c r="G902" t="s">
        <v>3357</v>
      </c>
      <c r="H902" s="1">
        <v>45728</v>
      </c>
      <c r="I902" t="s">
        <v>3321</v>
      </c>
      <c r="J902" s="8">
        <v>45740</v>
      </c>
      <c r="K902" s="1" t="s">
        <v>2872</v>
      </c>
      <c r="L902" t="s">
        <v>3358</v>
      </c>
      <c r="M902" t="s">
        <v>3359</v>
      </c>
      <c r="N902" s="2">
        <v>55000</v>
      </c>
      <c r="O902" t="s">
        <v>3360</v>
      </c>
      <c r="P902" s="6" t="s">
        <v>36</v>
      </c>
      <c r="R902" t="s">
        <v>66</v>
      </c>
      <c r="S902" s="9">
        <v>5500</v>
      </c>
      <c r="T902" s="9">
        <v>10</v>
      </c>
      <c r="U902" s="9">
        <v>55000</v>
      </c>
      <c r="V902" s="6" t="s">
        <v>39</v>
      </c>
      <c r="W902" t="s">
        <v>40</v>
      </c>
      <c r="X902">
        <v>7810687137</v>
      </c>
      <c r="Y902">
        <v>781401001</v>
      </c>
      <c r="Z902" s="3">
        <v>45740.716666666667</v>
      </c>
      <c r="AA902" s="6">
        <v>2025</v>
      </c>
      <c r="AB902" s="1">
        <v>46022</v>
      </c>
    </row>
    <row r="903" spans="1:28" x14ac:dyDescent="0.3">
      <c r="A903" t="s">
        <v>3361</v>
      </c>
      <c r="B903" s="6" t="s">
        <v>567</v>
      </c>
      <c r="C903" s="6" t="s">
        <v>568</v>
      </c>
      <c r="D903">
        <v>4909085785</v>
      </c>
      <c r="E903">
        <v>490901001</v>
      </c>
      <c r="F903" t="s">
        <v>94</v>
      </c>
      <c r="G903" t="s">
        <v>3362</v>
      </c>
      <c r="H903" s="1">
        <v>45735</v>
      </c>
      <c r="J903" s="8">
        <v>45740</v>
      </c>
      <c r="K903" s="1" t="s">
        <v>2872</v>
      </c>
      <c r="L903" t="s">
        <v>3363</v>
      </c>
      <c r="M903" t="s">
        <v>3364</v>
      </c>
      <c r="N903" s="2">
        <v>2451400</v>
      </c>
      <c r="O903" t="s">
        <v>494</v>
      </c>
      <c r="P903" s="6" t="s">
        <v>36</v>
      </c>
      <c r="Q903" t="s">
        <v>1993</v>
      </c>
      <c r="R903" t="s">
        <v>38</v>
      </c>
      <c r="S903" s="9">
        <v>3400</v>
      </c>
      <c r="T903" s="9">
        <v>721</v>
      </c>
      <c r="U903" s="9">
        <v>2451400</v>
      </c>
      <c r="V903" s="6" t="s">
        <v>39</v>
      </c>
      <c r="W903" t="s">
        <v>40</v>
      </c>
      <c r="X903">
        <v>7810687137</v>
      </c>
      <c r="Y903">
        <v>781401001</v>
      </c>
      <c r="Z903" s="3">
        <v>45740.336111111108</v>
      </c>
      <c r="AA903" s="6">
        <v>2025</v>
      </c>
      <c r="AB903" s="1">
        <v>46022</v>
      </c>
    </row>
    <row r="904" spans="1:28" x14ac:dyDescent="0.3">
      <c r="A904" t="s">
        <v>3365</v>
      </c>
      <c r="B904" s="6" t="s">
        <v>2694</v>
      </c>
      <c r="C904" s="6" t="s">
        <v>105</v>
      </c>
      <c r="D904">
        <v>6623097055</v>
      </c>
      <c r="E904">
        <v>662301001</v>
      </c>
      <c r="F904" t="s">
        <v>619</v>
      </c>
      <c r="G904" t="s">
        <v>3366</v>
      </c>
      <c r="H904" s="1">
        <v>45727</v>
      </c>
      <c r="J904" s="8">
        <v>45741</v>
      </c>
      <c r="K904" s="1" t="s">
        <v>2872</v>
      </c>
      <c r="L904" t="s">
        <v>3367</v>
      </c>
      <c r="M904" t="s">
        <v>2697</v>
      </c>
      <c r="N904" s="2">
        <v>34824160</v>
      </c>
      <c r="O904" t="s">
        <v>2698</v>
      </c>
      <c r="P904" s="6" t="s">
        <v>891</v>
      </c>
      <c r="Q904" t="s">
        <v>1993</v>
      </c>
      <c r="R904" t="s">
        <v>48</v>
      </c>
      <c r="S904" s="9">
        <v>4974.88</v>
      </c>
      <c r="T904" s="9">
        <v>7000</v>
      </c>
      <c r="U904" s="9">
        <v>34824160</v>
      </c>
      <c r="V904" s="6" t="s">
        <v>2699</v>
      </c>
      <c r="W904" t="s">
        <v>59</v>
      </c>
      <c r="Z904" s="3"/>
      <c r="AA904" s="6">
        <v>2025</v>
      </c>
      <c r="AB904" s="1"/>
    </row>
    <row r="905" spans="1:28" x14ac:dyDescent="0.3">
      <c r="A905" t="s">
        <v>3368</v>
      </c>
      <c r="B905" s="6" t="s">
        <v>501</v>
      </c>
      <c r="C905" s="6" t="s">
        <v>502</v>
      </c>
      <c r="D905">
        <v>6318197367</v>
      </c>
      <c r="E905">
        <v>631801001</v>
      </c>
      <c r="F905" t="s">
        <v>52</v>
      </c>
      <c r="G905" t="s">
        <v>3369</v>
      </c>
      <c r="H905" s="1">
        <v>45728</v>
      </c>
      <c r="I905" t="s">
        <v>3321</v>
      </c>
      <c r="J905" s="8">
        <v>45741</v>
      </c>
      <c r="K905" s="1" t="s">
        <v>2872</v>
      </c>
      <c r="L905" t="s">
        <v>3370</v>
      </c>
      <c r="M905" t="s">
        <v>3326</v>
      </c>
      <c r="N905" s="2">
        <v>21756352.800000001</v>
      </c>
      <c r="O905" t="s">
        <v>2458</v>
      </c>
      <c r="P905" s="6" t="s">
        <v>2277</v>
      </c>
      <c r="R905" t="s">
        <v>38</v>
      </c>
      <c r="S905" s="9">
        <v>4194.3999999999996</v>
      </c>
      <c r="T905" s="9">
        <v>5187</v>
      </c>
      <c r="U905" s="9">
        <v>21756352.800000001</v>
      </c>
      <c r="V905" s="6" t="s">
        <v>2459</v>
      </c>
      <c r="W905" t="s">
        <v>2460</v>
      </c>
      <c r="X905">
        <v>4003032047</v>
      </c>
      <c r="Y905">
        <v>772201001</v>
      </c>
      <c r="Z905" s="3">
        <v>45742.323611111111</v>
      </c>
      <c r="AA905" s="6">
        <v>2025</v>
      </c>
      <c r="AB905" s="1">
        <v>46022</v>
      </c>
    </row>
    <row r="906" spans="1:28" x14ac:dyDescent="0.3">
      <c r="A906" s="4" t="s">
        <v>3371</v>
      </c>
      <c r="B906" s="6" t="s">
        <v>1317</v>
      </c>
      <c r="C906" s="6" t="s">
        <v>380</v>
      </c>
      <c r="D906">
        <v>4700001180</v>
      </c>
      <c r="E906">
        <v>784201001</v>
      </c>
      <c r="F906" t="s">
        <v>52</v>
      </c>
      <c r="G906" t="s">
        <v>3372</v>
      </c>
      <c r="H906" s="1">
        <v>45730</v>
      </c>
      <c r="J906" s="8">
        <v>45741</v>
      </c>
      <c r="K906" s="1" t="s">
        <v>2872</v>
      </c>
      <c r="L906" t="s">
        <v>3373</v>
      </c>
      <c r="M906" t="s">
        <v>3374</v>
      </c>
      <c r="N906" s="2">
        <v>64763400</v>
      </c>
      <c r="O906" t="s">
        <v>494</v>
      </c>
      <c r="P906" s="6" t="s">
        <v>36</v>
      </c>
      <c r="R906" t="s">
        <v>38</v>
      </c>
      <c r="S906" s="9">
        <v>4370</v>
      </c>
      <c r="T906" s="9">
        <v>14820</v>
      </c>
      <c r="U906" s="9">
        <v>64763400</v>
      </c>
      <c r="V906" s="6" t="s">
        <v>39</v>
      </c>
      <c r="W906" t="s">
        <v>40</v>
      </c>
      <c r="X906">
        <v>7810687137</v>
      </c>
      <c r="Y906">
        <v>781401001</v>
      </c>
      <c r="Z906" s="3">
        <v>45742.392361111109</v>
      </c>
      <c r="AA906" s="6">
        <v>2025</v>
      </c>
      <c r="AB906" s="1">
        <v>45940</v>
      </c>
    </row>
    <row r="907" spans="1:28" x14ac:dyDescent="0.3">
      <c r="A907" t="s">
        <v>3375</v>
      </c>
      <c r="B907" s="6" t="s">
        <v>2353</v>
      </c>
      <c r="C907" s="6" t="s">
        <v>2354</v>
      </c>
      <c r="D907" s="4">
        <v>2801123720</v>
      </c>
      <c r="E907">
        <v>280101001</v>
      </c>
      <c r="F907" t="s">
        <v>52</v>
      </c>
      <c r="G907" t="s">
        <v>3376</v>
      </c>
      <c r="H907" s="1">
        <v>45730</v>
      </c>
      <c r="J907" s="8">
        <v>45742</v>
      </c>
      <c r="K907" s="1" t="s">
        <v>2872</v>
      </c>
      <c r="L907" t="s">
        <v>3377</v>
      </c>
      <c r="M907" t="s">
        <v>3378</v>
      </c>
      <c r="N907" s="2">
        <v>499719.48</v>
      </c>
      <c r="O907" t="s">
        <v>2458</v>
      </c>
      <c r="P907" s="6" t="s">
        <v>2277</v>
      </c>
      <c r="R907" t="s">
        <v>38</v>
      </c>
      <c r="S907" s="9">
        <v>3203.33</v>
      </c>
      <c r="T907" s="9">
        <v>156</v>
      </c>
      <c r="U907" s="9">
        <v>499719.48</v>
      </c>
      <c r="V907" s="6" t="s">
        <v>3244</v>
      </c>
      <c r="W907" t="s">
        <v>3245</v>
      </c>
      <c r="X907">
        <v>7733271117</v>
      </c>
      <c r="Y907">
        <v>772201001</v>
      </c>
      <c r="Z907" s="3">
        <v>45743.413888888892</v>
      </c>
      <c r="AA907" s="6">
        <v>2025</v>
      </c>
      <c r="AB907" s="1">
        <v>45794</v>
      </c>
    </row>
    <row r="908" spans="1:28" x14ac:dyDescent="0.3">
      <c r="A908" t="s">
        <v>3379</v>
      </c>
      <c r="B908" s="6" t="s">
        <v>2353</v>
      </c>
      <c r="C908" s="6" t="s">
        <v>2354</v>
      </c>
      <c r="D908">
        <v>2801123720</v>
      </c>
      <c r="E908">
        <v>280101001</v>
      </c>
      <c r="F908" t="s">
        <v>52</v>
      </c>
      <c r="G908" t="s">
        <v>3380</v>
      </c>
      <c r="H908" s="1">
        <v>45730</v>
      </c>
      <c r="J908" s="8">
        <v>45742</v>
      </c>
      <c r="K908" s="1" t="s">
        <v>2872</v>
      </c>
      <c r="L908" t="s">
        <v>3381</v>
      </c>
      <c r="M908" t="s">
        <v>2427</v>
      </c>
      <c r="N908" s="2">
        <v>23583560</v>
      </c>
      <c r="O908" t="s">
        <v>2458</v>
      </c>
      <c r="P908" s="6" t="s">
        <v>2277</v>
      </c>
      <c r="R908" t="s">
        <v>38</v>
      </c>
      <c r="S908" s="9">
        <v>3410</v>
      </c>
      <c r="T908" s="9">
        <v>6916</v>
      </c>
      <c r="U908" s="9">
        <v>23583560</v>
      </c>
      <c r="V908" s="6" t="s">
        <v>3244</v>
      </c>
      <c r="W908" t="s">
        <v>3245</v>
      </c>
      <c r="X908">
        <v>7733271117</v>
      </c>
      <c r="Y908">
        <v>772201001</v>
      </c>
      <c r="Z908" s="3">
        <v>45743.413888888892</v>
      </c>
      <c r="AA908" s="6">
        <v>2025</v>
      </c>
      <c r="AB908" s="1">
        <v>45794</v>
      </c>
    </row>
    <row r="909" spans="1:28" x14ac:dyDescent="0.3">
      <c r="A909" t="s">
        <v>3382</v>
      </c>
      <c r="B909" s="6" t="s">
        <v>1145</v>
      </c>
      <c r="C909" s="6" t="s">
        <v>1146</v>
      </c>
      <c r="D909">
        <v>6501024966</v>
      </c>
      <c r="E909">
        <v>650101001</v>
      </c>
      <c r="F909" t="s">
        <v>52</v>
      </c>
      <c r="G909" t="s">
        <v>3383</v>
      </c>
      <c r="H909" s="1">
        <v>45730</v>
      </c>
      <c r="J909" s="8">
        <v>45742</v>
      </c>
      <c r="K909" s="1" t="s">
        <v>2872</v>
      </c>
      <c r="L909" t="s">
        <v>3383</v>
      </c>
      <c r="M909" t="s">
        <v>2588</v>
      </c>
      <c r="N909" s="2">
        <v>14051290.5</v>
      </c>
      <c r="O909" t="s">
        <v>494</v>
      </c>
      <c r="P909" s="6" t="s">
        <v>36</v>
      </c>
      <c r="R909" t="s">
        <v>38</v>
      </c>
      <c r="S909" s="9">
        <v>5074.5</v>
      </c>
      <c r="T909" s="9">
        <v>2769</v>
      </c>
      <c r="U909" s="9">
        <v>14051290.5</v>
      </c>
      <c r="V909" s="6" t="s">
        <v>111</v>
      </c>
      <c r="W909" t="s">
        <v>59</v>
      </c>
      <c r="X909">
        <v>5262258091</v>
      </c>
      <c r="Y909">
        <v>526201001</v>
      </c>
      <c r="Z909" s="3">
        <v>45747.329861111109</v>
      </c>
      <c r="AA909" s="6">
        <v>2025</v>
      </c>
      <c r="AB909" s="1">
        <v>45801</v>
      </c>
    </row>
    <row r="910" spans="1:28" x14ac:dyDescent="0.3">
      <c r="A910" t="s">
        <v>3384</v>
      </c>
      <c r="B910" s="6" t="s">
        <v>2440</v>
      </c>
      <c r="C910" s="6" t="s">
        <v>1030</v>
      </c>
      <c r="D910">
        <v>7536120581</v>
      </c>
      <c r="E910">
        <v>753601001</v>
      </c>
      <c r="F910" t="s">
        <v>52</v>
      </c>
      <c r="G910" t="s">
        <v>3385</v>
      </c>
      <c r="H910" s="1">
        <v>45733</v>
      </c>
      <c r="I910" t="s">
        <v>3386</v>
      </c>
      <c r="J910" s="8">
        <v>45744</v>
      </c>
      <c r="K910" s="1" t="s">
        <v>2872</v>
      </c>
      <c r="L910" t="s">
        <v>3387</v>
      </c>
      <c r="M910" t="s">
        <v>3388</v>
      </c>
      <c r="N910" s="2">
        <v>21599050.800000001</v>
      </c>
      <c r="O910" t="s">
        <v>3098</v>
      </c>
      <c r="P910" s="6" t="s">
        <v>2277</v>
      </c>
      <c r="R910" t="s">
        <v>38</v>
      </c>
      <c r="S910" s="9">
        <v>3114.05</v>
      </c>
      <c r="T910" s="9">
        <v>6936</v>
      </c>
      <c r="U910" s="9">
        <v>21599050.800000001</v>
      </c>
      <c r="V910" s="6" t="s">
        <v>3099</v>
      </c>
      <c r="W910" t="s">
        <v>3100</v>
      </c>
      <c r="X910">
        <v>7724871238</v>
      </c>
      <c r="Y910">
        <v>772901001</v>
      </c>
      <c r="Z910" s="3">
        <v>45744.05</v>
      </c>
      <c r="AA910" s="6">
        <v>2025</v>
      </c>
      <c r="AB910" s="1">
        <v>46022</v>
      </c>
    </row>
    <row r="911" spans="1:28" x14ac:dyDescent="0.3">
      <c r="A911" t="s">
        <v>3389</v>
      </c>
      <c r="B911" s="6" t="s">
        <v>1637</v>
      </c>
      <c r="C911" s="6" t="s">
        <v>122</v>
      </c>
      <c r="D911">
        <v>5403106150</v>
      </c>
      <c r="E911">
        <v>540301001</v>
      </c>
      <c r="F911" t="s">
        <v>52</v>
      </c>
      <c r="G911" t="s">
        <v>3390</v>
      </c>
      <c r="H911" s="1">
        <v>45733</v>
      </c>
      <c r="I911" t="s">
        <v>3386</v>
      </c>
      <c r="J911" s="8">
        <v>45744</v>
      </c>
      <c r="K911" s="1" t="s">
        <v>2872</v>
      </c>
      <c r="L911" t="s">
        <v>3391</v>
      </c>
      <c r="M911" t="s">
        <v>179</v>
      </c>
      <c r="N911" s="2">
        <v>579960</v>
      </c>
      <c r="O911" t="s">
        <v>273</v>
      </c>
      <c r="P911" s="6" t="s">
        <v>464</v>
      </c>
      <c r="R911" t="s">
        <v>66</v>
      </c>
      <c r="S911" s="9">
        <v>5890</v>
      </c>
      <c r="T911" s="9">
        <v>95</v>
      </c>
      <c r="U911" s="9">
        <v>559550</v>
      </c>
      <c r="V911" s="6" t="s">
        <v>3392</v>
      </c>
      <c r="W911" t="s">
        <v>3393</v>
      </c>
      <c r="X911">
        <v>6658423648</v>
      </c>
      <c r="Y911">
        <v>665801001</v>
      </c>
      <c r="Z911" s="3">
        <v>45747.37222222222</v>
      </c>
      <c r="AA911" s="6">
        <v>2025</v>
      </c>
      <c r="AB911" s="1">
        <v>46080</v>
      </c>
    </row>
    <row r="912" spans="1:28" x14ac:dyDescent="0.3">
      <c r="A912" s="4" t="s">
        <v>3394</v>
      </c>
      <c r="B912" s="6" t="s">
        <v>1926</v>
      </c>
      <c r="C912" s="6" t="s">
        <v>731</v>
      </c>
      <c r="D912" s="4">
        <v>5835108606</v>
      </c>
      <c r="E912">
        <v>583501001</v>
      </c>
      <c r="F912" t="s">
        <v>52</v>
      </c>
      <c r="G912" s="4" t="s">
        <v>3395</v>
      </c>
      <c r="H912" s="1">
        <v>45733</v>
      </c>
      <c r="J912" s="8">
        <v>45744</v>
      </c>
      <c r="K912" s="1" t="s">
        <v>2872</v>
      </c>
      <c r="L912" s="4" t="s">
        <v>3394</v>
      </c>
      <c r="M912" t="s">
        <v>534</v>
      </c>
      <c r="N912" s="2">
        <v>16970250</v>
      </c>
      <c r="O912" t="s">
        <v>2853</v>
      </c>
      <c r="P912" s="6" t="s">
        <v>2277</v>
      </c>
      <c r="R912" t="s">
        <v>38</v>
      </c>
      <c r="S912" s="9">
        <v>3085.5</v>
      </c>
      <c r="T912" s="9">
        <v>5500</v>
      </c>
      <c r="U912" s="9">
        <v>16970250</v>
      </c>
      <c r="V912" s="6" t="s">
        <v>1502</v>
      </c>
      <c r="W912" t="s">
        <v>1503</v>
      </c>
      <c r="X912">
        <v>1658196026</v>
      </c>
      <c r="Y912">
        <v>168301001</v>
      </c>
      <c r="Z912" s="3">
        <v>45748.447222222225</v>
      </c>
      <c r="AA912" s="6">
        <v>2025</v>
      </c>
      <c r="AB912" s="1">
        <v>45925</v>
      </c>
    </row>
    <row r="913" spans="1:28" x14ac:dyDescent="0.3">
      <c r="A913" t="s">
        <v>3396</v>
      </c>
      <c r="B913" s="6" t="s">
        <v>113</v>
      </c>
      <c r="C913" s="6" t="s">
        <v>114</v>
      </c>
      <c r="D913" s="4">
        <v>8601035838</v>
      </c>
      <c r="E913">
        <v>860201001</v>
      </c>
      <c r="F913" t="s">
        <v>52</v>
      </c>
      <c r="G913" t="s">
        <v>3397</v>
      </c>
      <c r="H913" s="1">
        <v>45730</v>
      </c>
      <c r="J913" s="8">
        <v>45744</v>
      </c>
      <c r="K913" s="1" t="s">
        <v>2872</v>
      </c>
      <c r="L913" t="s">
        <v>3398</v>
      </c>
      <c r="M913" t="s">
        <v>3399</v>
      </c>
      <c r="N913" s="2">
        <v>25665082.690000001</v>
      </c>
      <c r="O913" t="s">
        <v>494</v>
      </c>
      <c r="P913" s="6" t="s">
        <v>36</v>
      </c>
      <c r="R913" t="s">
        <v>38</v>
      </c>
      <c r="S913" s="9">
        <v>3012.33</v>
      </c>
      <c r="T913" s="9">
        <v>8520</v>
      </c>
      <c r="U913" s="9">
        <v>25665082.690000001</v>
      </c>
      <c r="V913" s="6" t="s">
        <v>58</v>
      </c>
      <c r="W913" t="s">
        <v>59</v>
      </c>
      <c r="X913">
        <v>5262222144</v>
      </c>
      <c r="Y913">
        <v>526201001</v>
      </c>
      <c r="Z913" s="3">
        <v>45744.413194444445</v>
      </c>
      <c r="AA913" s="6">
        <v>2025</v>
      </c>
      <c r="AB913" s="1">
        <v>45819</v>
      </c>
    </row>
    <row r="914" spans="1:28" x14ac:dyDescent="0.3">
      <c r="A914" t="s">
        <v>3400</v>
      </c>
      <c r="B914" s="6" t="s">
        <v>3401</v>
      </c>
      <c r="C914" s="6" t="s">
        <v>965</v>
      </c>
      <c r="D914">
        <v>7017245682</v>
      </c>
      <c r="E914">
        <v>701701001</v>
      </c>
      <c r="F914" t="s">
        <v>44</v>
      </c>
      <c r="G914" t="s">
        <v>3402</v>
      </c>
      <c r="H914" s="1">
        <v>45744</v>
      </c>
      <c r="J914" s="8">
        <v>45744</v>
      </c>
      <c r="K914" s="1" t="s">
        <v>2872</v>
      </c>
      <c r="L914" t="s">
        <v>3403</v>
      </c>
      <c r="M914" t="s">
        <v>3404</v>
      </c>
      <c r="N914" s="2">
        <v>6080000</v>
      </c>
      <c r="O914" t="s">
        <v>3405</v>
      </c>
      <c r="P914" s="6" t="s">
        <v>36</v>
      </c>
      <c r="R914" t="s">
        <v>48</v>
      </c>
      <c r="S914" s="9">
        <v>3800</v>
      </c>
      <c r="T914" s="9">
        <v>1600</v>
      </c>
      <c r="U914" s="9">
        <v>6080000</v>
      </c>
      <c r="V914" s="6" t="s">
        <v>58</v>
      </c>
      <c r="W914" t="s">
        <v>59</v>
      </c>
      <c r="Z914" s="3"/>
      <c r="AA914" s="6">
        <v>2025</v>
      </c>
      <c r="AB914" s="1"/>
    </row>
    <row r="915" spans="1:28" x14ac:dyDescent="0.3">
      <c r="A915" t="s">
        <v>3406</v>
      </c>
      <c r="B915" s="6" t="s">
        <v>1926</v>
      </c>
      <c r="C915" s="6" t="s">
        <v>731</v>
      </c>
      <c r="D915">
        <v>5835108606</v>
      </c>
      <c r="E915">
        <v>583501001</v>
      </c>
      <c r="F915" t="s">
        <v>52</v>
      </c>
      <c r="G915" t="s">
        <v>3407</v>
      </c>
      <c r="H915" s="1">
        <v>45733</v>
      </c>
      <c r="J915" s="8">
        <v>45744</v>
      </c>
      <c r="K915" s="1" t="s">
        <v>2872</v>
      </c>
      <c r="L915" t="s">
        <v>3407</v>
      </c>
      <c r="M915" t="s">
        <v>534</v>
      </c>
      <c r="N915" s="2">
        <v>32641530</v>
      </c>
      <c r="O915" t="s">
        <v>2853</v>
      </c>
      <c r="P915" s="6" t="s">
        <v>2277</v>
      </c>
      <c r="R915" t="s">
        <v>38</v>
      </c>
      <c r="S915" s="15">
        <v>2958</v>
      </c>
      <c r="T915" s="9">
        <v>11035</v>
      </c>
      <c r="U915" s="9">
        <v>32641530</v>
      </c>
      <c r="V915" s="6" t="s">
        <v>1502</v>
      </c>
      <c r="W915" t="s">
        <v>1503</v>
      </c>
      <c r="X915">
        <v>1658196026</v>
      </c>
      <c r="Y915">
        <v>168301001</v>
      </c>
      <c r="Z915" s="3">
        <v>45748.447222222225</v>
      </c>
      <c r="AA915" s="6">
        <v>2025</v>
      </c>
      <c r="AB915" s="1">
        <v>45925</v>
      </c>
    </row>
    <row r="916" spans="1:28" x14ac:dyDescent="0.3">
      <c r="A916" t="s">
        <v>3408</v>
      </c>
      <c r="B916" s="6" t="s">
        <v>42</v>
      </c>
      <c r="C916" s="6" t="s">
        <v>43</v>
      </c>
      <c r="D916">
        <v>5609027223</v>
      </c>
      <c r="E916" s="5">
        <v>560901001</v>
      </c>
      <c r="F916" t="s">
        <v>619</v>
      </c>
      <c r="G916" t="s">
        <v>3409</v>
      </c>
      <c r="H916" s="1">
        <v>45723</v>
      </c>
      <c r="I916" t="s">
        <v>3410</v>
      </c>
      <c r="J916" s="8">
        <v>45744</v>
      </c>
      <c r="K916" s="1" t="s">
        <v>2872</v>
      </c>
      <c r="L916">
        <v>32514516205</v>
      </c>
      <c r="M916" t="s">
        <v>2975</v>
      </c>
      <c r="N916" s="2">
        <v>46753223.549999997</v>
      </c>
      <c r="O916" t="s">
        <v>3410</v>
      </c>
      <c r="P916" s="6" t="s">
        <v>36</v>
      </c>
      <c r="R916" t="s">
        <v>48</v>
      </c>
      <c r="S916" s="9">
        <v>4898.1899999999996</v>
      </c>
      <c r="T916" s="9">
        <v>5727</v>
      </c>
      <c r="U916" s="9">
        <v>46753223.549999997</v>
      </c>
      <c r="V916" s="6" t="s">
        <v>39</v>
      </c>
      <c r="W916" t="s">
        <v>40</v>
      </c>
      <c r="Z916" s="3"/>
      <c r="AA916" s="6">
        <v>2025</v>
      </c>
      <c r="AB916" s="1"/>
    </row>
    <row r="917" spans="1:28" x14ac:dyDescent="0.3">
      <c r="A917" t="s">
        <v>3411</v>
      </c>
      <c r="B917" s="6" t="s">
        <v>1926</v>
      </c>
      <c r="C917" s="6" t="s">
        <v>3412</v>
      </c>
      <c r="D917">
        <v>5835108606</v>
      </c>
      <c r="E917">
        <v>583501001</v>
      </c>
      <c r="F917" t="s">
        <v>52</v>
      </c>
      <c r="G917" t="s">
        <v>3413</v>
      </c>
      <c r="H917" s="1">
        <v>45733</v>
      </c>
      <c r="J917" s="8">
        <v>45744</v>
      </c>
      <c r="K917" s="1" t="s">
        <v>2872</v>
      </c>
      <c r="L917" t="s">
        <v>3413</v>
      </c>
      <c r="M917" t="s">
        <v>534</v>
      </c>
      <c r="N917" s="2">
        <v>780000</v>
      </c>
      <c r="O917" t="s">
        <v>1912</v>
      </c>
      <c r="P917" s="6" t="s">
        <v>891</v>
      </c>
      <c r="Q917" t="s">
        <v>37</v>
      </c>
      <c r="R917" t="s">
        <v>38</v>
      </c>
      <c r="S917" s="9">
        <v>5200</v>
      </c>
      <c r="T917" s="9">
        <v>150</v>
      </c>
      <c r="U917" s="9">
        <v>780000</v>
      </c>
      <c r="V917" s="6" t="s">
        <v>58</v>
      </c>
      <c r="W917" t="s">
        <v>59</v>
      </c>
      <c r="X917">
        <v>5262222144</v>
      </c>
      <c r="Y917">
        <v>526201001</v>
      </c>
      <c r="Z917" s="3">
        <v>45747.429166666669</v>
      </c>
      <c r="AA917" s="6">
        <v>2025</v>
      </c>
      <c r="AB917" s="1">
        <v>45800</v>
      </c>
    </row>
    <row r="918" spans="1:28" x14ac:dyDescent="0.3">
      <c r="A918" t="s">
        <v>3414</v>
      </c>
      <c r="B918" s="6" t="s">
        <v>3415</v>
      </c>
      <c r="C918" s="6" t="s">
        <v>618</v>
      </c>
      <c r="D918">
        <v>323056515</v>
      </c>
      <c r="E918">
        <v>32601001</v>
      </c>
      <c r="F918" t="s">
        <v>52</v>
      </c>
      <c r="G918" t="s">
        <v>3416</v>
      </c>
      <c r="H918" s="1">
        <v>45734</v>
      </c>
      <c r="J918" s="8">
        <v>45747</v>
      </c>
      <c r="K918" s="1" t="s">
        <v>2872</v>
      </c>
      <c r="L918" t="s">
        <v>3417</v>
      </c>
      <c r="M918" t="s">
        <v>1519</v>
      </c>
      <c r="N918" s="2">
        <v>29037331.100000001</v>
      </c>
      <c r="O918" t="s">
        <v>1912</v>
      </c>
      <c r="P918" s="6" t="s">
        <v>891</v>
      </c>
      <c r="Q918" t="s">
        <v>37</v>
      </c>
      <c r="R918" t="s">
        <v>38</v>
      </c>
      <c r="S918" s="9">
        <v>5008.16</v>
      </c>
      <c r="T918" s="9">
        <v>2260</v>
      </c>
      <c r="U918" s="9">
        <v>11318449.17</v>
      </c>
      <c r="V918" s="6" t="s">
        <v>39</v>
      </c>
      <c r="W918" t="s">
        <v>40</v>
      </c>
      <c r="X918">
        <v>7810687137</v>
      </c>
      <c r="Y918">
        <v>781401001</v>
      </c>
      <c r="Z918" s="3">
        <v>45747.228472222225</v>
      </c>
      <c r="AA918" s="6">
        <v>2025</v>
      </c>
      <c r="AB918" s="1">
        <v>45961</v>
      </c>
    </row>
    <row r="919" spans="1:28" x14ac:dyDescent="0.3">
      <c r="A919" t="s">
        <v>3418</v>
      </c>
      <c r="B919" s="6" t="s">
        <v>177</v>
      </c>
      <c r="C919" s="6" t="s">
        <v>62</v>
      </c>
      <c r="D919">
        <v>4027122645</v>
      </c>
      <c r="E919">
        <v>402701001</v>
      </c>
      <c r="F919" t="s">
        <v>44</v>
      </c>
      <c r="G919">
        <v>0</v>
      </c>
      <c r="J919" s="8">
        <v>45747</v>
      </c>
      <c r="K919" s="1" t="s">
        <v>2872</v>
      </c>
      <c r="L919" t="s">
        <v>3419</v>
      </c>
      <c r="M919" t="s">
        <v>179</v>
      </c>
      <c r="N919" s="2">
        <v>25760589.219999999</v>
      </c>
      <c r="O919" t="s">
        <v>3420</v>
      </c>
      <c r="P919" s="6" t="s">
        <v>891</v>
      </c>
      <c r="Q919" t="s">
        <v>37</v>
      </c>
      <c r="R919" t="s">
        <v>48</v>
      </c>
      <c r="S919" s="9">
        <v>6390.62</v>
      </c>
      <c r="T919" s="9">
        <v>1371</v>
      </c>
      <c r="U919" s="9">
        <v>8761540.0199999996</v>
      </c>
      <c r="V919" s="6" t="s">
        <v>61</v>
      </c>
      <c r="W919" t="s">
        <v>59</v>
      </c>
      <c r="X919">
        <v>4027022305</v>
      </c>
      <c r="Y919">
        <v>402701001</v>
      </c>
      <c r="Z919" s="3">
        <v>45747.51458333333</v>
      </c>
      <c r="AA919" s="6">
        <v>2025</v>
      </c>
      <c r="AB919" s="1">
        <v>46022</v>
      </c>
    </row>
    <row r="920" spans="1:28" x14ac:dyDescent="0.3">
      <c r="A920" t="s">
        <v>3421</v>
      </c>
      <c r="B920" s="6" t="s">
        <v>177</v>
      </c>
      <c r="C920" s="6" t="s">
        <v>62</v>
      </c>
      <c r="D920">
        <v>4027122645</v>
      </c>
      <c r="E920">
        <v>402701001</v>
      </c>
      <c r="F920" t="s">
        <v>44</v>
      </c>
      <c r="G920" t="s">
        <v>3422</v>
      </c>
      <c r="J920" s="8">
        <v>45747</v>
      </c>
      <c r="K920" s="1" t="s">
        <v>2872</v>
      </c>
      <c r="L920" t="s">
        <v>3423</v>
      </c>
      <c r="M920" t="s">
        <v>179</v>
      </c>
      <c r="N920" s="2">
        <v>20754500</v>
      </c>
      <c r="O920" t="s">
        <v>3420</v>
      </c>
      <c r="P920" s="6" t="s">
        <v>891</v>
      </c>
      <c r="Q920" t="s">
        <v>37</v>
      </c>
      <c r="R920" t="s">
        <v>48</v>
      </c>
      <c r="S920" s="9">
        <v>6437.5</v>
      </c>
      <c r="T920" s="9">
        <v>1096</v>
      </c>
      <c r="U920" s="9">
        <v>7055500</v>
      </c>
      <c r="V920" s="6" t="s">
        <v>61</v>
      </c>
      <c r="W920" t="s">
        <v>59</v>
      </c>
      <c r="X920">
        <v>4027022305</v>
      </c>
      <c r="Y920">
        <v>402701001</v>
      </c>
      <c r="Z920" s="3">
        <v>45747.515277777777</v>
      </c>
      <c r="AA920" s="6">
        <v>2025</v>
      </c>
      <c r="AB920" s="1">
        <v>46022</v>
      </c>
    </row>
    <row r="921" spans="1:28" x14ac:dyDescent="0.3">
      <c r="A921" t="s">
        <v>3421</v>
      </c>
      <c r="B921" s="6" t="s">
        <v>177</v>
      </c>
      <c r="C921" s="6" t="s">
        <v>62</v>
      </c>
      <c r="D921">
        <v>4027122645</v>
      </c>
      <c r="E921">
        <v>402701001</v>
      </c>
      <c r="F921" t="s">
        <v>44</v>
      </c>
      <c r="G921" t="s">
        <v>3422</v>
      </c>
      <c r="J921" s="8">
        <v>45747</v>
      </c>
      <c r="K921" s="1" t="s">
        <v>2872</v>
      </c>
      <c r="L921" t="s">
        <v>3423</v>
      </c>
      <c r="M921" t="s">
        <v>179</v>
      </c>
      <c r="N921" s="2">
        <v>20754500</v>
      </c>
      <c r="O921" t="s">
        <v>2822</v>
      </c>
      <c r="P921" s="6" t="s">
        <v>36</v>
      </c>
      <c r="R921" t="s">
        <v>48</v>
      </c>
      <c r="S921" s="9">
        <v>6437.5</v>
      </c>
      <c r="T921" s="9">
        <v>1031</v>
      </c>
      <c r="U921" s="9">
        <v>6637062.5</v>
      </c>
      <c r="V921" s="6" t="s">
        <v>61</v>
      </c>
      <c r="W921" t="s">
        <v>59</v>
      </c>
      <c r="X921">
        <v>4027022305</v>
      </c>
      <c r="Y921">
        <v>402701001</v>
      </c>
      <c r="Z921" s="3">
        <v>45747.515277777777</v>
      </c>
      <c r="AA921" s="6">
        <v>2025</v>
      </c>
      <c r="AB921" s="1">
        <v>46022</v>
      </c>
    </row>
    <row r="922" spans="1:28" x14ac:dyDescent="0.3">
      <c r="A922" t="s">
        <v>3421</v>
      </c>
      <c r="B922" s="6" t="s">
        <v>177</v>
      </c>
      <c r="C922" s="6" t="s">
        <v>62</v>
      </c>
      <c r="D922">
        <v>4027122645</v>
      </c>
      <c r="E922">
        <v>402701001</v>
      </c>
      <c r="F922" t="s">
        <v>44</v>
      </c>
      <c r="G922" t="s">
        <v>3422</v>
      </c>
      <c r="J922" s="8">
        <v>45747</v>
      </c>
      <c r="K922" s="1" t="s">
        <v>2872</v>
      </c>
      <c r="L922" t="s">
        <v>3423</v>
      </c>
      <c r="M922" t="s">
        <v>179</v>
      </c>
      <c r="N922" s="2">
        <v>20754500</v>
      </c>
      <c r="O922" t="s">
        <v>3424</v>
      </c>
      <c r="P922" s="6" t="s">
        <v>2277</v>
      </c>
      <c r="R922" t="s">
        <v>48</v>
      </c>
      <c r="S922" s="9">
        <v>6437.5</v>
      </c>
      <c r="T922" s="9">
        <v>1097</v>
      </c>
      <c r="U922" s="9">
        <v>7061937.5</v>
      </c>
      <c r="V922" s="6" t="s">
        <v>61</v>
      </c>
      <c r="W922" t="s">
        <v>59</v>
      </c>
      <c r="X922">
        <v>4027022305</v>
      </c>
      <c r="Y922">
        <v>402701001</v>
      </c>
      <c r="Z922" s="3">
        <v>45747.515277777777</v>
      </c>
      <c r="AA922" s="6">
        <v>2025</v>
      </c>
      <c r="AB922" s="1">
        <v>46022</v>
      </c>
    </row>
    <row r="923" spans="1:28" x14ac:dyDescent="0.3">
      <c r="A923" t="s">
        <v>3418</v>
      </c>
      <c r="B923" s="6" t="s">
        <v>177</v>
      </c>
      <c r="C923" s="6" t="s">
        <v>62</v>
      </c>
      <c r="D923">
        <v>4027122645</v>
      </c>
      <c r="E923">
        <v>402701001</v>
      </c>
      <c r="F923" t="s">
        <v>44</v>
      </c>
      <c r="G923">
        <v>0</v>
      </c>
      <c r="J923" s="8">
        <v>45747</v>
      </c>
      <c r="K923" s="1" t="s">
        <v>2872</v>
      </c>
      <c r="L923" t="s">
        <v>3419</v>
      </c>
      <c r="M923" t="s">
        <v>179</v>
      </c>
      <c r="N923" s="2">
        <v>25760589.219999999</v>
      </c>
      <c r="O923" t="s">
        <v>2822</v>
      </c>
      <c r="P923" s="6" t="s">
        <v>36</v>
      </c>
      <c r="R923" t="s">
        <v>48</v>
      </c>
      <c r="S923" s="9">
        <v>6390.62</v>
      </c>
      <c r="T923" s="9">
        <v>1289</v>
      </c>
      <c r="U923" s="9">
        <v>8237509.1799999997</v>
      </c>
      <c r="V923" s="6" t="s">
        <v>61</v>
      </c>
      <c r="W923" t="s">
        <v>59</v>
      </c>
      <c r="X923">
        <v>4027022305</v>
      </c>
      <c r="Y923">
        <v>402701001</v>
      </c>
      <c r="Z923" s="3">
        <v>45747.51458333333</v>
      </c>
      <c r="AA923" s="6">
        <v>2025</v>
      </c>
      <c r="AB923" s="1">
        <v>46022</v>
      </c>
    </row>
    <row r="924" spans="1:28" x14ac:dyDescent="0.3">
      <c r="A924" t="s">
        <v>3418</v>
      </c>
      <c r="B924" s="6" t="s">
        <v>177</v>
      </c>
      <c r="C924" s="6" t="s">
        <v>62</v>
      </c>
      <c r="D924">
        <v>4027122645</v>
      </c>
      <c r="E924">
        <v>402701001</v>
      </c>
      <c r="F924" t="s">
        <v>44</v>
      </c>
      <c r="G924">
        <v>0</v>
      </c>
      <c r="J924" s="8">
        <v>45747</v>
      </c>
      <c r="K924" s="1" t="s">
        <v>2872</v>
      </c>
      <c r="L924" t="s">
        <v>3419</v>
      </c>
      <c r="M924" t="s">
        <v>179</v>
      </c>
      <c r="N924" s="2">
        <v>25760589.219999999</v>
      </c>
      <c r="O924" t="s">
        <v>3424</v>
      </c>
      <c r="P924" s="6" t="s">
        <v>2277</v>
      </c>
      <c r="R924" t="s">
        <v>48</v>
      </c>
      <c r="S924" s="9">
        <v>6390.62</v>
      </c>
      <c r="T924" s="9">
        <v>1371</v>
      </c>
      <c r="U924" s="9">
        <v>8761540.0199999996</v>
      </c>
      <c r="V924" s="6" t="s">
        <v>61</v>
      </c>
      <c r="W924" t="s">
        <v>59</v>
      </c>
      <c r="X924">
        <v>4027022305</v>
      </c>
      <c r="Y924">
        <v>402701001</v>
      </c>
      <c r="Z924" s="3">
        <v>45747.51458333333</v>
      </c>
      <c r="AA924" s="6">
        <v>2025</v>
      </c>
      <c r="AB924" s="1">
        <v>46022</v>
      </c>
    </row>
    <row r="925" spans="1:28" x14ac:dyDescent="0.3">
      <c r="A925" t="s">
        <v>3425</v>
      </c>
      <c r="B925" s="6" t="s">
        <v>924</v>
      </c>
      <c r="C925" s="6" t="s">
        <v>925</v>
      </c>
      <c r="D925">
        <v>4205349664</v>
      </c>
      <c r="E925">
        <v>420501001</v>
      </c>
      <c r="F925" t="s">
        <v>52</v>
      </c>
      <c r="G925" t="s">
        <v>3426</v>
      </c>
      <c r="H925" s="1">
        <v>45734</v>
      </c>
      <c r="J925" s="8">
        <v>45747</v>
      </c>
      <c r="K925" s="1" t="s">
        <v>2872</v>
      </c>
      <c r="L925" t="s">
        <v>3427</v>
      </c>
      <c r="M925" t="s">
        <v>3428</v>
      </c>
      <c r="N925" s="2">
        <v>3595037.76</v>
      </c>
      <c r="O925" t="s">
        <v>2853</v>
      </c>
      <c r="P925" s="6" t="s">
        <v>2277</v>
      </c>
      <c r="R925" t="s">
        <v>38</v>
      </c>
      <c r="S925" s="9">
        <v>3353.58</v>
      </c>
      <c r="T925" s="9">
        <v>1072</v>
      </c>
      <c r="U925" s="9">
        <v>3595037.76</v>
      </c>
      <c r="V925" s="6" t="s">
        <v>2947</v>
      </c>
      <c r="W925" t="s">
        <v>2948</v>
      </c>
      <c r="X925">
        <v>7720727040</v>
      </c>
      <c r="Y925">
        <v>772001001</v>
      </c>
      <c r="Z925" s="3">
        <v>45747.436111111114</v>
      </c>
      <c r="AA925" s="6">
        <v>2025</v>
      </c>
      <c r="AB925" s="1">
        <v>46022</v>
      </c>
    </row>
    <row r="926" spans="1:28" x14ac:dyDescent="0.3">
      <c r="A926" t="s">
        <v>3429</v>
      </c>
      <c r="B926" s="6" t="s">
        <v>924</v>
      </c>
      <c r="C926" s="6" t="s">
        <v>925</v>
      </c>
      <c r="D926">
        <v>4205349664</v>
      </c>
      <c r="E926">
        <v>420501001</v>
      </c>
      <c r="F926" t="s">
        <v>52</v>
      </c>
      <c r="G926" t="s">
        <v>3430</v>
      </c>
      <c r="H926" s="1">
        <v>45734</v>
      </c>
      <c r="J926" s="8">
        <v>45747</v>
      </c>
      <c r="K926" s="1" t="s">
        <v>2872</v>
      </c>
      <c r="L926" t="s">
        <v>3431</v>
      </c>
      <c r="M926" t="s">
        <v>3432</v>
      </c>
      <c r="N926" s="2">
        <v>73572934.640000001</v>
      </c>
      <c r="O926" t="s">
        <v>2853</v>
      </c>
      <c r="P926" s="6" t="s">
        <v>2277</v>
      </c>
      <c r="R926" t="s">
        <v>38</v>
      </c>
      <c r="S926" s="9">
        <v>3455.59</v>
      </c>
      <c r="T926" s="9">
        <v>21291</v>
      </c>
      <c r="U926" s="9">
        <v>73572934.640000001</v>
      </c>
      <c r="V926" s="6" t="s">
        <v>2947</v>
      </c>
      <c r="W926" t="s">
        <v>2948</v>
      </c>
      <c r="X926">
        <v>7720727040</v>
      </c>
      <c r="Y926">
        <v>772001001</v>
      </c>
      <c r="Z926" s="3">
        <v>45747.438888888886</v>
      </c>
      <c r="AA926" s="6">
        <v>2025</v>
      </c>
      <c r="AB926" s="1">
        <v>46022</v>
      </c>
    </row>
    <row r="927" spans="1:28" x14ac:dyDescent="0.3">
      <c r="A927" t="s">
        <v>3433</v>
      </c>
      <c r="B927" s="6" t="s">
        <v>121</v>
      </c>
      <c r="C927" s="6" t="s">
        <v>122</v>
      </c>
      <c r="D927">
        <v>5402155123</v>
      </c>
      <c r="E927">
        <v>540201001</v>
      </c>
      <c r="F927" t="s">
        <v>52</v>
      </c>
      <c r="G927" t="s">
        <v>3434</v>
      </c>
      <c r="H927" s="1">
        <v>45736</v>
      </c>
      <c r="I927" t="s">
        <v>3435</v>
      </c>
      <c r="J927" s="8">
        <v>45747</v>
      </c>
      <c r="K927" s="1" t="s">
        <v>2872</v>
      </c>
      <c r="L927" t="s">
        <v>3436</v>
      </c>
      <c r="M927" t="s">
        <v>3437</v>
      </c>
      <c r="N927" s="2">
        <v>19240000</v>
      </c>
      <c r="O927" t="s">
        <v>3438</v>
      </c>
      <c r="P927" s="6" t="s">
        <v>2277</v>
      </c>
      <c r="R927" t="s">
        <v>38</v>
      </c>
      <c r="S927" s="9">
        <v>3848</v>
      </c>
      <c r="T927" s="9">
        <v>2500</v>
      </c>
      <c r="U927" s="9">
        <v>9620000</v>
      </c>
      <c r="V927" s="6" t="s">
        <v>3392</v>
      </c>
      <c r="W927" t="s">
        <v>3393</v>
      </c>
      <c r="X927">
        <v>6658423648</v>
      </c>
      <c r="Y927">
        <v>665801001</v>
      </c>
      <c r="Z927" s="3">
        <v>45748.218055555553</v>
      </c>
      <c r="AA927" s="6">
        <v>2025</v>
      </c>
      <c r="AB927" s="1">
        <v>45991</v>
      </c>
    </row>
    <row r="928" spans="1:28" x14ac:dyDescent="0.3">
      <c r="A928" t="s">
        <v>3433</v>
      </c>
      <c r="B928" s="6" t="s">
        <v>121</v>
      </c>
      <c r="C928" s="6" t="s">
        <v>122</v>
      </c>
      <c r="D928">
        <v>5402155123</v>
      </c>
      <c r="E928">
        <v>540201001</v>
      </c>
      <c r="F928" t="s">
        <v>52</v>
      </c>
      <c r="G928" t="s">
        <v>3434</v>
      </c>
      <c r="H928" s="1">
        <v>45736</v>
      </c>
      <c r="I928" t="s">
        <v>3435</v>
      </c>
      <c r="J928" s="8">
        <v>45747</v>
      </c>
      <c r="K928" s="1" t="s">
        <v>2872</v>
      </c>
      <c r="L928" t="s">
        <v>3436</v>
      </c>
      <c r="M928" t="s">
        <v>3437</v>
      </c>
      <c r="N928" s="2">
        <v>19240000</v>
      </c>
      <c r="O928" t="s">
        <v>377</v>
      </c>
      <c r="P928" s="6" t="s">
        <v>1814</v>
      </c>
      <c r="R928" t="s">
        <v>38</v>
      </c>
      <c r="S928" s="9">
        <v>3848</v>
      </c>
      <c r="T928" s="9">
        <v>2500</v>
      </c>
      <c r="U928" s="9">
        <v>9620000</v>
      </c>
      <c r="V928" s="6" t="s">
        <v>3392</v>
      </c>
      <c r="W928" t="s">
        <v>3393</v>
      </c>
      <c r="X928">
        <v>6658423648</v>
      </c>
      <c r="Y928">
        <v>665801001</v>
      </c>
      <c r="Z928" s="3">
        <v>45748.218055555553</v>
      </c>
      <c r="AA928" s="6">
        <v>2025</v>
      </c>
      <c r="AB928" s="1">
        <v>45991</v>
      </c>
    </row>
    <row r="929" spans="1:28" x14ac:dyDescent="0.3">
      <c r="A929" t="s">
        <v>3439</v>
      </c>
      <c r="B929" s="6" t="s">
        <v>501</v>
      </c>
      <c r="C929" s="6" t="s">
        <v>502</v>
      </c>
      <c r="D929">
        <v>6318197367</v>
      </c>
      <c r="E929">
        <v>631801001</v>
      </c>
      <c r="F929" t="s">
        <v>52</v>
      </c>
      <c r="G929" t="s">
        <v>3440</v>
      </c>
      <c r="H929" s="1">
        <v>45734</v>
      </c>
      <c r="I929" t="s">
        <v>3441</v>
      </c>
      <c r="J929" s="8">
        <v>45747</v>
      </c>
      <c r="K929" s="1" t="s">
        <v>2872</v>
      </c>
      <c r="L929" t="s">
        <v>3442</v>
      </c>
      <c r="M929" t="s">
        <v>3326</v>
      </c>
      <c r="N929" s="2">
        <v>19740584.100000001</v>
      </c>
      <c r="O929" t="s">
        <v>377</v>
      </c>
      <c r="P929" s="6" t="s">
        <v>2277</v>
      </c>
      <c r="R929" t="s">
        <v>38</v>
      </c>
      <c r="S929" s="9">
        <v>3295.59</v>
      </c>
      <c r="T929" s="9">
        <v>5990</v>
      </c>
      <c r="U929" s="9">
        <v>19740584.100000001</v>
      </c>
      <c r="V929" s="6" t="s">
        <v>251</v>
      </c>
      <c r="W929" t="s">
        <v>252</v>
      </c>
      <c r="X929">
        <v>5027262517</v>
      </c>
      <c r="Y929">
        <v>502701001</v>
      </c>
      <c r="Z929" s="3">
        <v>45748.415277777778</v>
      </c>
      <c r="AA929" s="6">
        <v>2025</v>
      </c>
      <c r="AB929" s="1">
        <v>46022</v>
      </c>
    </row>
    <row r="930" spans="1:28" x14ac:dyDescent="0.3">
      <c r="A930" t="s">
        <v>3414</v>
      </c>
      <c r="B930" s="6" t="s">
        <v>3415</v>
      </c>
      <c r="C930" s="6" t="s">
        <v>618</v>
      </c>
      <c r="D930">
        <v>323056515</v>
      </c>
      <c r="E930">
        <v>32601001</v>
      </c>
      <c r="F930" t="s">
        <v>52</v>
      </c>
      <c r="G930" t="s">
        <v>3416</v>
      </c>
      <c r="H930" s="1">
        <v>45734</v>
      </c>
      <c r="J930" s="8">
        <v>45747</v>
      </c>
      <c r="K930" s="1" t="s">
        <v>2872</v>
      </c>
      <c r="L930" t="s">
        <v>3417</v>
      </c>
      <c r="M930" t="s">
        <v>1519</v>
      </c>
      <c r="N930" s="2">
        <v>29037331.100000001</v>
      </c>
      <c r="O930" t="s">
        <v>1906</v>
      </c>
      <c r="P930" s="6" t="s">
        <v>1814</v>
      </c>
      <c r="R930" t="s">
        <v>38</v>
      </c>
      <c r="S930" s="9">
        <v>5008.16</v>
      </c>
      <c r="T930" s="9">
        <v>1606</v>
      </c>
      <c r="U930" s="9">
        <v>8043110.3399999999</v>
      </c>
      <c r="V930" s="6" t="s">
        <v>39</v>
      </c>
      <c r="W930" t="s">
        <v>40</v>
      </c>
      <c r="X930">
        <v>7810687137</v>
      </c>
      <c r="Y930">
        <v>781401001</v>
      </c>
      <c r="Z930" s="3">
        <v>45747.228472222225</v>
      </c>
      <c r="AA930" s="6">
        <v>2025</v>
      </c>
      <c r="AB930" s="1">
        <v>45961</v>
      </c>
    </row>
    <row r="931" spans="1:28" x14ac:dyDescent="0.3">
      <c r="A931" t="s">
        <v>3414</v>
      </c>
      <c r="B931" s="6" t="s">
        <v>3415</v>
      </c>
      <c r="C931" s="6" t="s">
        <v>618</v>
      </c>
      <c r="D931">
        <v>323056515</v>
      </c>
      <c r="E931">
        <v>32601001</v>
      </c>
      <c r="F931" t="s">
        <v>52</v>
      </c>
      <c r="G931" t="s">
        <v>3416</v>
      </c>
      <c r="H931" s="1">
        <v>45734</v>
      </c>
      <c r="J931" s="8">
        <v>45747</v>
      </c>
      <c r="K931" s="1" t="s">
        <v>2872</v>
      </c>
      <c r="L931" t="s">
        <v>3417</v>
      </c>
      <c r="M931" t="s">
        <v>1519</v>
      </c>
      <c r="N931" s="2">
        <v>29037331.100000001</v>
      </c>
      <c r="O931" t="s">
        <v>3443</v>
      </c>
      <c r="P931" s="6" t="s">
        <v>2277</v>
      </c>
      <c r="R931" t="s">
        <v>38</v>
      </c>
      <c r="S931" s="9">
        <v>5008.16</v>
      </c>
      <c r="T931" s="9">
        <v>1932</v>
      </c>
      <c r="U931" s="9">
        <v>9675771.5899999999</v>
      </c>
      <c r="V931" s="6" t="s">
        <v>39</v>
      </c>
      <c r="W931" t="s">
        <v>40</v>
      </c>
      <c r="X931">
        <v>7810687137</v>
      </c>
      <c r="Y931">
        <v>781401001</v>
      </c>
      <c r="Z931" s="3">
        <v>45747.228472222225</v>
      </c>
      <c r="AA931" s="6">
        <v>2025</v>
      </c>
      <c r="AB931" s="1">
        <v>45961</v>
      </c>
    </row>
    <row r="932" spans="1:28" x14ac:dyDescent="0.3">
      <c r="A932" t="s">
        <v>3444</v>
      </c>
      <c r="B932" s="6" t="s">
        <v>472</v>
      </c>
      <c r="C932" s="6" t="s">
        <v>473</v>
      </c>
      <c r="D932">
        <v>3729010595</v>
      </c>
      <c r="E932">
        <v>370201001</v>
      </c>
      <c r="F932" t="s">
        <v>52</v>
      </c>
      <c r="G932" t="s">
        <v>3445</v>
      </c>
      <c r="H932" s="1">
        <v>45736</v>
      </c>
      <c r="I932" t="s">
        <v>3435</v>
      </c>
      <c r="J932" s="8">
        <v>45747</v>
      </c>
      <c r="K932" s="1" t="s">
        <v>2872</v>
      </c>
      <c r="L932" t="s">
        <v>3445</v>
      </c>
      <c r="M932" t="s">
        <v>3446</v>
      </c>
      <c r="N932" s="2">
        <v>49214700.600000001</v>
      </c>
      <c r="O932" t="s">
        <v>494</v>
      </c>
      <c r="P932" s="6" t="s">
        <v>36</v>
      </c>
      <c r="R932" t="s">
        <v>38</v>
      </c>
      <c r="S932" s="9">
        <v>3320.83</v>
      </c>
      <c r="T932" s="9">
        <v>14820</v>
      </c>
      <c r="U932" s="9">
        <v>49214700.600000001</v>
      </c>
      <c r="V932" s="6" t="s">
        <v>58</v>
      </c>
      <c r="W932" t="s">
        <v>59</v>
      </c>
      <c r="X932">
        <v>5262222144</v>
      </c>
      <c r="Y932">
        <v>526201001</v>
      </c>
      <c r="Z932" s="3">
        <v>45747.448611111111</v>
      </c>
      <c r="AA932" s="6">
        <v>2025</v>
      </c>
      <c r="AB932" s="1">
        <v>46020</v>
      </c>
    </row>
    <row r="933" spans="1:28" x14ac:dyDescent="0.3">
      <c r="A933" t="s">
        <v>3447</v>
      </c>
      <c r="B933" s="6" t="s">
        <v>752</v>
      </c>
      <c r="C933" s="6" t="s">
        <v>213</v>
      </c>
      <c r="D933">
        <v>1654017170</v>
      </c>
      <c r="E933">
        <v>165501001</v>
      </c>
      <c r="F933" t="s">
        <v>52</v>
      </c>
      <c r="G933" t="s">
        <v>3448</v>
      </c>
      <c r="H933" s="1">
        <v>45735</v>
      </c>
      <c r="I933" t="s">
        <v>3449</v>
      </c>
      <c r="J933" s="8">
        <v>45747</v>
      </c>
      <c r="K933" s="1" t="s">
        <v>2872</v>
      </c>
      <c r="L933" t="s">
        <v>3448</v>
      </c>
      <c r="M933" t="s">
        <v>2634</v>
      </c>
      <c r="N933" s="2">
        <v>37905082.200000003</v>
      </c>
      <c r="O933" t="s">
        <v>494</v>
      </c>
      <c r="P933" s="6" t="s">
        <v>36</v>
      </c>
      <c r="R933" t="s">
        <v>38</v>
      </c>
      <c r="S933" s="9">
        <v>3462.6</v>
      </c>
      <c r="T933" s="9">
        <v>10947</v>
      </c>
      <c r="U933" s="9">
        <v>37905082.200000003</v>
      </c>
      <c r="V933" s="6" t="s">
        <v>58</v>
      </c>
      <c r="W933" t="s">
        <v>59</v>
      </c>
      <c r="X933">
        <v>5262222144</v>
      </c>
      <c r="Y933">
        <v>526201001</v>
      </c>
      <c r="Z933" s="3">
        <v>45748.352777777778</v>
      </c>
      <c r="AA933" s="6">
        <v>2025</v>
      </c>
      <c r="AB933" s="1">
        <v>46022</v>
      </c>
    </row>
    <row r="934" spans="1:28" x14ac:dyDescent="0.3">
      <c r="A934" t="s">
        <v>3450</v>
      </c>
      <c r="B934" s="6" t="s">
        <v>3451</v>
      </c>
      <c r="C934" s="6" t="s">
        <v>3452</v>
      </c>
      <c r="D934">
        <v>9001024530</v>
      </c>
      <c r="E934">
        <v>900101001</v>
      </c>
      <c r="F934" t="s">
        <v>52</v>
      </c>
      <c r="G934" t="s">
        <v>3453</v>
      </c>
      <c r="H934" s="1">
        <v>45734</v>
      </c>
      <c r="I934" t="s">
        <v>3441</v>
      </c>
      <c r="J934" s="8">
        <v>45747</v>
      </c>
      <c r="K934" s="1" t="s">
        <v>2872</v>
      </c>
      <c r="L934" t="s">
        <v>3454</v>
      </c>
      <c r="M934" t="s">
        <v>3455</v>
      </c>
      <c r="N934" s="2">
        <v>6073920</v>
      </c>
      <c r="O934" t="s">
        <v>377</v>
      </c>
      <c r="P934" s="6" t="s">
        <v>464</v>
      </c>
      <c r="R934" t="s">
        <v>38</v>
      </c>
      <c r="S934" s="9">
        <v>4104</v>
      </c>
      <c r="T934" s="9">
        <v>1480</v>
      </c>
      <c r="U934" s="9">
        <v>6073920</v>
      </c>
      <c r="V934" s="6" t="s">
        <v>3456</v>
      </c>
      <c r="W934" t="s">
        <v>3457</v>
      </c>
      <c r="X934">
        <v>9102048375</v>
      </c>
      <c r="Y934">
        <v>910201001</v>
      </c>
      <c r="Z934" s="3">
        <v>45747.464583333334</v>
      </c>
      <c r="AA934" s="6">
        <v>2025</v>
      </c>
      <c r="AB934" s="1">
        <v>46022</v>
      </c>
    </row>
    <row r="935" spans="1:28" x14ac:dyDescent="0.3">
      <c r="A935" t="s">
        <v>3458</v>
      </c>
      <c r="B935" s="6" t="s">
        <v>3451</v>
      </c>
      <c r="C935" s="6" t="s">
        <v>3452</v>
      </c>
      <c r="D935">
        <v>9001024530</v>
      </c>
      <c r="E935">
        <v>900101001</v>
      </c>
      <c r="F935" t="s">
        <v>52</v>
      </c>
      <c r="G935" t="s">
        <v>3459</v>
      </c>
      <c r="H935" s="1">
        <v>45734</v>
      </c>
      <c r="J935" s="8">
        <v>45747</v>
      </c>
      <c r="K935" s="1" t="s">
        <v>2872</v>
      </c>
      <c r="L935" t="s">
        <v>3460</v>
      </c>
      <c r="M935" t="s">
        <v>3461</v>
      </c>
      <c r="N935" s="2">
        <v>3376927.6</v>
      </c>
      <c r="O935" t="s">
        <v>377</v>
      </c>
      <c r="P935" s="6" t="s">
        <v>464</v>
      </c>
      <c r="R935" t="s">
        <v>38</v>
      </c>
      <c r="S935" s="9">
        <v>3926.66</v>
      </c>
      <c r="T935" s="9">
        <v>860</v>
      </c>
      <c r="U935" s="9">
        <v>3376927.6</v>
      </c>
      <c r="V935" s="6" t="s">
        <v>3456</v>
      </c>
      <c r="W935" t="s">
        <v>3457</v>
      </c>
      <c r="X935">
        <v>9102048375</v>
      </c>
      <c r="Y935">
        <v>910201001</v>
      </c>
      <c r="Z935" s="3">
        <v>45747.463194444441</v>
      </c>
      <c r="AA935" s="6">
        <v>2025</v>
      </c>
      <c r="AB935" s="1">
        <v>46022</v>
      </c>
    </row>
    <row r="936" spans="1:28" x14ac:dyDescent="0.3">
      <c r="A936" t="s">
        <v>3462</v>
      </c>
      <c r="B936" s="6" t="s">
        <v>924</v>
      </c>
      <c r="C936" s="6" t="s">
        <v>925</v>
      </c>
      <c r="D936">
        <v>4205349664</v>
      </c>
      <c r="E936">
        <v>420501001</v>
      </c>
      <c r="F936" t="s">
        <v>52</v>
      </c>
      <c r="G936" t="s">
        <v>3463</v>
      </c>
      <c r="H936" s="1">
        <v>45737</v>
      </c>
      <c r="J936" s="8">
        <v>45748</v>
      </c>
      <c r="K936" s="1" t="s">
        <v>2872</v>
      </c>
      <c r="L936" t="s">
        <v>3464</v>
      </c>
      <c r="M936" t="s">
        <v>3428</v>
      </c>
      <c r="N936" s="2">
        <v>88359601.590000004</v>
      </c>
      <c r="O936" t="s">
        <v>494</v>
      </c>
      <c r="P936" s="6" t="s">
        <v>36</v>
      </c>
      <c r="R936" t="s">
        <v>38</v>
      </c>
      <c r="S936" s="9">
        <v>3575.43</v>
      </c>
      <c r="T936" s="9">
        <v>24713</v>
      </c>
      <c r="U936" s="9">
        <v>88359601.590000004</v>
      </c>
      <c r="V936" s="6" t="s">
        <v>58</v>
      </c>
      <c r="W936" t="s">
        <v>59</v>
      </c>
      <c r="X936">
        <v>5262222144</v>
      </c>
      <c r="Y936">
        <v>526201001</v>
      </c>
      <c r="Z936" s="3">
        <v>45748.376388888886</v>
      </c>
      <c r="AA936" s="6">
        <v>2025</v>
      </c>
      <c r="AB936" s="1">
        <v>46022</v>
      </c>
    </row>
    <row r="937" spans="1:28" x14ac:dyDescent="0.3">
      <c r="A937" t="s">
        <v>3465</v>
      </c>
      <c r="B937" s="6" t="s">
        <v>796</v>
      </c>
      <c r="C937" s="6" t="s">
        <v>69</v>
      </c>
      <c r="D937">
        <v>8901007006</v>
      </c>
      <c r="E937">
        <v>890101001</v>
      </c>
      <c r="F937" t="s">
        <v>52</v>
      </c>
      <c r="G937" t="s">
        <v>3466</v>
      </c>
      <c r="H937" s="1">
        <v>45737</v>
      </c>
      <c r="J937" s="8">
        <v>45748</v>
      </c>
      <c r="K937" s="1" t="s">
        <v>2872</v>
      </c>
      <c r="L937" t="s">
        <v>3467</v>
      </c>
      <c r="M937" t="s">
        <v>1553</v>
      </c>
      <c r="N937" s="2">
        <v>5478200</v>
      </c>
      <c r="O937" t="s">
        <v>2968</v>
      </c>
      <c r="P937" s="6" t="s">
        <v>36</v>
      </c>
      <c r="R937" t="s">
        <v>38</v>
      </c>
      <c r="S937" s="9">
        <v>4900</v>
      </c>
      <c r="T937" s="9">
        <v>1118</v>
      </c>
      <c r="U937" s="9">
        <v>5478200</v>
      </c>
      <c r="V937" s="6" t="s">
        <v>58</v>
      </c>
      <c r="W937" t="s">
        <v>59</v>
      </c>
      <c r="X937">
        <v>5262222144</v>
      </c>
      <c r="Y937">
        <v>526201001</v>
      </c>
      <c r="Z937" s="3">
        <v>45748.492361111108</v>
      </c>
      <c r="AA937" s="6">
        <v>2025</v>
      </c>
      <c r="AB937" s="1">
        <v>45866</v>
      </c>
    </row>
    <row r="938" spans="1:28" x14ac:dyDescent="0.3">
      <c r="A938" t="s">
        <v>3468</v>
      </c>
      <c r="B938" s="6" t="s">
        <v>3469</v>
      </c>
      <c r="C938" s="6" t="s">
        <v>965</v>
      </c>
      <c r="D938">
        <v>7020016160</v>
      </c>
      <c r="E938">
        <v>701701001</v>
      </c>
      <c r="F938" t="s">
        <v>44</v>
      </c>
      <c r="G938">
        <v>0</v>
      </c>
      <c r="H938" s="1">
        <v>45748</v>
      </c>
      <c r="I938" t="s">
        <v>3470</v>
      </c>
      <c r="J938" s="8">
        <v>45748</v>
      </c>
      <c r="K938" s="1" t="s">
        <v>2872</v>
      </c>
      <c r="L938" t="s">
        <v>3471</v>
      </c>
      <c r="M938" t="s">
        <v>3472</v>
      </c>
      <c r="N938" s="2">
        <v>228000</v>
      </c>
      <c r="O938" t="s">
        <v>3470</v>
      </c>
      <c r="P938" s="6" t="s">
        <v>36</v>
      </c>
      <c r="R938" t="s">
        <v>48</v>
      </c>
      <c r="S938" s="9">
        <v>3800</v>
      </c>
      <c r="T938" s="9">
        <v>60</v>
      </c>
      <c r="U938" s="9">
        <v>228000</v>
      </c>
      <c r="V938" s="6" t="s">
        <v>58</v>
      </c>
      <c r="W938" t="s">
        <v>59</v>
      </c>
      <c r="Z938" s="3"/>
      <c r="AA938" s="6">
        <v>2025</v>
      </c>
      <c r="AB938" s="1">
        <v>45991</v>
      </c>
    </row>
    <row r="939" spans="1:28" x14ac:dyDescent="0.3">
      <c r="A939" t="s">
        <v>3473</v>
      </c>
      <c r="B939" s="6" t="s">
        <v>3474</v>
      </c>
      <c r="C939" s="6" t="s">
        <v>539</v>
      </c>
      <c r="D939">
        <v>7820013553</v>
      </c>
      <c r="E939">
        <v>782001001</v>
      </c>
      <c r="F939" t="s">
        <v>52</v>
      </c>
      <c r="G939" t="s">
        <v>3475</v>
      </c>
      <c r="H939" s="1">
        <v>45737</v>
      </c>
      <c r="I939" t="s">
        <v>3476</v>
      </c>
      <c r="J939" s="8">
        <v>45748</v>
      </c>
      <c r="K939" s="1" t="s">
        <v>2872</v>
      </c>
      <c r="L939" t="s">
        <v>3477</v>
      </c>
      <c r="M939" t="s">
        <v>3478</v>
      </c>
      <c r="N939" s="2">
        <v>357000</v>
      </c>
      <c r="O939" t="s">
        <v>377</v>
      </c>
      <c r="P939" s="6" t="s">
        <v>36</v>
      </c>
      <c r="R939" t="s">
        <v>38</v>
      </c>
      <c r="S939" s="9">
        <v>5950</v>
      </c>
      <c r="T939" s="9">
        <v>60</v>
      </c>
      <c r="U939" s="9">
        <v>357000</v>
      </c>
      <c r="V939" s="6" t="s">
        <v>39</v>
      </c>
      <c r="W939" t="s">
        <v>40</v>
      </c>
      <c r="X939">
        <v>7810687137</v>
      </c>
      <c r="Y939">
        <v>781401001</v>
      </c>
      <c r="Z939" s="3">
        <v>45749.425000000003</v>
      </c>
      <c r="AA939" s="6">
        <v>2025</v>
      </c>
      <c r="AB939" s="1">
        <v>46022</v>
      </c>
    </row>
    <row r="940" spans="1:28" x14ac:dyDescent="0.3">
      <c r="A940" t="s">
        <v>3479</v>
      </c>
      <c r="B940" s="6" t="s">
        <v>3415</v>
      </c>
      <c r="C940" s="6" t="s">
        <v>618</v>
      </c>
      <c r="D940">
        <v>323056515</v>
      </c>
      <c r="E940">
        <v>32601001</v>
      </c>
      <c r="F940" t="s">
        <v>52</v>
      </c>
      <c r="G940" t="s">
        <v>3480</v>
      </c>
      <c r="H940" s="1">
        <v>45736</v>
      </c>
      <c r="I940" t="s">
        <v>3435</v>
      </c>
      <c r="J940" s="8">
        <v>45748</v>
      </c>
      <c r="K940" s="1" t="s">
        <v>2872</v>
      </c>
      <c r="L940" t="s">
        <v>3481</v>
      </c>
      <c r="M940" t="s">
        <v>3482</v>
      </c>
      <c r="N940" s="2">
        <v>29365833.760000002</v>
      </c>
      <c r="O940" t="s">
        <v>3098</v>
      </c>
      <c r="P940" s="6" t="s">
        <v>2277</v>
      </c>
      <c r="R940" t="s">
        <v>38</v>
      </c>
      <c r="S940" s="9">
        <v>3021.49</v>
      </c>
      <c r="T940" s="9">
        <v>9719</v>
      </c>
      <c r="U940" s="9">
        <v>29365833.760000002</v>
      </c>
      <c r="V940" s="6" t="s">
        <v>3099</v>
      </c>
      <c r="W940" t="s">
        <v>3100</v>
      </c>
      <c r="X940">
        <v>7724871238</v>
      </c>
      <c r="Y940">
        <v>772901001</v>
      </c>
      <c r="Z940" s="3">
        <v>45748.273611111108</v>
      </c>
      <c r="AA940" s="6">
        <v>2025</v>
      </c>
      <c r="AB940" s="1">
        <v>45961</v>
      </c>
    </row>
    <row r="941" spans="1:28" x14ac:dyDescent="0.3">
      <c r="A941" t="s">
        <v>3483</v>
      </c>
      <c r="B941" s="6" t="s">
        <v>2223</v>
      </c>
      <c r="C941" s="6" t="s">
        <v>1104</v>
      </c>
      <c r="D941">
        <v>4345404435</v>
      </c>
      <c r="E941">
        <v>434501001</v>
      </c>
      <c r="F941" t="s">
        <v>52</v>
      </c>
      <c r="G941" t="s">
        <v>3484</v>
      </c>
      <c r="H941" s="1">
        <v>45736</v>
      </c>
      <c r="J941" s="8">
        <v>45748</v>
      </c>
      <c r="K941" s="1" t="s">
        <v>2872</v>
      </c>
      <c r="L941" t="s">
        <v>3484</v>
      </c>
      <c r="M941" t="s">
        <v>3485</v>
      </c>
      <c r="N941" s="2">
        <v>61342800</v>
      </c>
      <c r="O941" t="s">
        <v>3486</v>
      </c>
      <c r="P941" s="6" t="s">
        <v>36</v>
      </c>
      <c r="R941" t="s">
        <v>48</v>
      </c>
      <c r="S941" s="9">
        <v>5100</v>
      </c>
      <c r="T941" s="9">
        <v>12028</v>
      </c>
      <c r="U941" s="9">
        <v>61342800</v>
      </c>
      <c r="V941" s="6" t="s">
        <v>58</v>
      </c>
      <c r="W941" t="s">
        <v>59</v>
      </c>
      <c r="X941">
        <v>5262222144</v>
      </c>
      <c r="Y941" s="4">
        <v>526201001</v>
      </c>
      <c r="Z941" s="3">
        <v>45749.688888888886</v>
      </c>
      <c r="AA941" s="6">
        <v>2025</v>
      </c>
      <c r="AB941" s="1">
        <v>46022</v>
      </c>
    </row>
    <row r="942" spans="1:28" x14ac:dyDescent="0.3">
      <c r="A942" t="s">
        <v>3487</v>
      </c>
      <c r="B942" s="6" t="s">
        <v>426</v>
      </c>
      <c r="C942" s="6" t="s">
        <v>427</v>
      </c>
      <c r="D942">
        <v>5192150013</v>
      </c>
      <c r="E942">
        <v>519001001</v>
      </c>
      <c r="F942" t="s">
        <v>52</v>
      </c>
      <c r="G942" t="s">
        <v>3488</v>
      </c>
      <c r="H942" s="1">
        <v>45733</v>
      </c>
      <c r="J942" s="8">
        <v>45748</v>
      </c>
      <c r="K942" s="1" t="s">
        <v>2872</v>
      </c>
      <c r="L942" t="s">
        <v>3489</v>
      </c>
      <c r="M942" t="s">
        <v>431</v>
      </c>
      <c r="N942" s="2">
        <v>175616.5</v>
      </c>
      <c r="O942" t="s">
        <v>1886</v>
      </c>
      <c r="P942" s="6" t="s">
        <v>36</v>
      </c>
      <c r="R942" t="s">
        <v>66</v>
      </c>
      <c r="S942" s="9">
        <v>5853.88</v>
      </c>
      <c r="T942" s="9">
        <v>30</v>
      </c>
      <c r="U942" s="9">
        <v>175616.5</v>
      </c>
      <c r="V942" s="6" t="s">
        <v>352</v>
      </c>
      <c r="W942" t="s">
        <v>40</v>
      </c>
      <c r="X942">
        <v>7843014747</v>
      </c>
      <c r="Y942">
        <v>781401001</v>
      </c>
      <c r="Z942" s="3">
        <v>45748.586111111108</v>
      </c>
      <c r="AA942" s="6">
        <v>2025</v>
      </c>
      <c r="AB942" s="1">
        <v>46022</v>
      </c>
    </row>
    <row r="943" spans="1:28" x14ac:dyDescent="0.3">
      <c r="A943" t="s">
        <v>3490</v>
      </c>
      <c r="B943" s="6" t="s">
        <v>1596</v>
      </c>
      <c r="C943" s="6" t="s">
        <v>285</v>
      </c>
      <c r="D943">
        <v>3325008103</v>
      </c>
      <c r="E943">
        <v>332501001</v>
      </c>
      <c r="F943" t="s">
        <v>44</v>
      </c>
      <c r="G943" t="s">
        <v>3491</v>
      </c>
      <c r="I943" t="s">
        <v>3492</v>
      </c>
      <c r="J943" s="8">
        <v>45749</v>
      </c>
      <c r="K943" s="1" t="s">
        <v>2872</v>
      </c>
      <c r="L943" t="s">
        <v>3493</v>
      </c>
      <c r="M943" t="s">
        <v>3494</v>
      </c>
      <c r="N943" s="2">
        <v>24800</v>
      </c>
      <c r="O943" t="s">
        <v>3495</v>
      </c>
      <c r="P943" s="6" t="s">
        <v>36</v>
      </c>
      <c r="R943" t="s">
        <v>38</v>
      </c>
      <c r="S943" s="9">
        <v>6200</v>
      </c>
      <c r="T943" s="9">
        <v>4</v>
      </c>
      <c r="U943" s="9">
        <v>24800</v>
      </c>
      <c r="V943" s="6" t="s">
        <v>290</v>
      </c>
      <c r="W943" t="s">
        <v>59</v>
      </c>
      <c r="X943">
        <v>3302013594</v>
      </c>
      <c r="Y943">
        <v>332801001</v>
      </c>
      <c r="Z943" s="3">
        <v>45755.47152777778</v>
      </c>
      <c r="AA943" s="6">
        <v>2025</v>
      </c>
      <c r="AB943" s="1">
        <v>46021</v>
      </c>
    </row>
    <row r="944" spans="1:28" x14ac:dyDescent="0.3">
      <c r="A944" t="s">
        <v>3496</v>
      </c>
      <c r="B944" s="6" t="s">
        <v>657</v>
      </c>
      <c r="C944" s="6" t="s">
        <v>658</v>
      </c>
      <c r="D944">
        <v>3015068159</v>
      </c>
      <c r="E944">
        <v>301601001</v>
      </c>
      <c r="F944" t="s">
        <v>52</v>
      </c>
      <c r="G944" t="s">
        <v>3497</v>
      </c>
      <c r="H944" s="1">
        <v>45737</v>
      </c>
      <c r="J944" s="8">
        <v>45749</v>
      </c>
      <c r="K944" s="1" t="s">
        <v>2872</v>
      </c>
      <c r="L944" t="s">
        <v>3498</v>
      </c>
      <c r="M944" t="s">
        <v>3499</v>
      </c>
      <c r="N944" s="2">
        <v>41725006.840000004</v>
      </c>
      <c r="O944" t="s">
        <v>494</v>
      </c>
      <c r="P944" s="6" t="s">
        <v>36</v>
      </c>
      <c r="R944" t="s">
        <v>38</v>
      </c>
      <c r="S944" s="9">
        <v>3467.26</v>
      </c>
      <c r="T944" s="9">
        <v>12034</v>
      </c>
      <c r="U944" s="9">
        <v>41725006.840000004</v>
      </c>
      <c r="V944" s="6" t="s">
        <v>39</v>
      </c>
      <c r="W944" t="s">
        <v>40</v>
      </c>
      <c r="X944">
        <v>7810687137</v>
      </c>
      <c r="Y944">
        <v>781401001</v>
      </c>
      <c r="Z944" s="3">
        <v>45749.684027777781</v>
      </c>
      <c r="AA944" s="6">
        <v>2025</v>
      </c>
      <c r="AB944" s="1">
        <v>46022</v>
      </c>
    </row>
    <row r="945" spans="1:28" x14ac:dyDescent="0.3">
      <c r="A945" t="s">
        <v>3500</v>
      </c>
      <c r="B945" s="6" t="s">
        <v>1145</v>
      </c>
      <c r="C945" s="6" t="s">
        <v>1146</v>
      </c>
      <c r="D945" s="4">
        <v>6501024966</v>
      </c>
      <c r="E945">
        <v>650101001</v>
      </c>
      <c r="F945" t="s">
        <v>52</v>
      </c>
      <c r="G945" t="s">
        <v>3501</v>
      </c>
      <c r="H945" s="1">
        <v>45737</v>
      </c>
      <c r="J945" s="8">
        <v>45749</v>
      </c>
      <c r="K945" s="1" t="s">
        <v>2872</v>
      </c>
      <c r="L945" t="s">
        <v>3501</v>
      </c>
      <c r="M945" t="s">
        <v>3502</v>
      </c>
      <c r="N945" s="2">
        <v>4302564</v>
      </c>
      <c r="O945" t="s">
        <v>377</v>
      </c>
      <c r="P945" s="6" t="s">
        <v>2277</v>
      </c>
      <c r="R945" t="s">
        <v>38</v>
      </c>
      <c r="S945" s="9">
        <v>4105.5</v>
      </c>
      <c r="T945" s="9">
        <v>1048</v>
      </c>
      <c r="U945" s="9">
        <v>4302564</v>
      </c>
      <c r="V945" s="6" t="s">
        <v>3249</v>
      </c>
      <c r="W945" t="s">
        <v>3250</v>
      </c>
      <c r="X945">
        <v>9722079736</v>
      </c>
      <c r="Y945">
        <v>772201001</v>
      </c>
      <c r="Z945" s="3">
        <v>45754.507638888892</v>
      </c>
      <c r="AA945" s="6">
        <v>2025</v>
      </c>
      <c r="AB945" s="1">
        <v>45808</v>
      </c>
    </row>
    <row r="946" spans="1:28" x14ac:dyDescent="0.3">
      <c r="A946" t="s">
        <v>3503</v>
      </c>
      <c r="B946" s="6" t="s">
        <v>516</v>
      </c>
      <c r="C946" s="6" t="s">
        <v>517</v>
      </c>
      <c r="D946">
        <v>9204023281</v>
      </c>
      <c r="E946">
        <v>920401001</v>
      </c>
      <c r="F946" t="s">
        <v>94</v>
      </c>
      <c r="G946" t="s">
        <v>3504</v>
      </c>
      <c r="H946" s="1">
        <v>45744</v>
      </c>
      <c r="I946" t="s">
        <v>3505</v>
      </c>
      <c r="J946" s="8">
        <v>45749</v>
      </c>
      <c r="K946" s="1" t="s">
        <v>2872</v>
      </c>
      <c r="L946" t="s">
        <v>3504</v>
      </c>
      <c r="M946" t="s">
        <v>3506</v>
      </c>
      <c r="N946" s="2">
        <v>1700000</v>
      </c>
      <c r="O946" t="s">
        <v>377</v>
      </c>
      <c r="P946" s="6" t="s">
        <v>2277</v>
      </c>
      <c r="R946" t="s">
        <v>38</v>
      </c>
      <c r="S946" s="9">
        <v>3400</v>
      </c>
      <c r="T946" s="9">
        <v>500</v>
      </c>
      <c r="U946" s="9">
        <v>1700000</v>
      </c>
      <c r="V946" s="6" t="s">
        <v>251</v>
      </c>
      <c r="W946" t="s">
        <v>252</v>
      </c>
      <c r="X946">
        <v>5027262517</v>
      </c>
      <c r="Y946">
        <v>502701001</v>
      </c>
      <c r="Z946" s="3">
        <v>45749.78402777778</v>
      </c>
      <c r="AA946" s="6">
        <v>2025</v>
      </c>
      <c r="AB946" s="1">
        <v>45958</v>
      </c>
    </row>
    <row r="947" spans="1:28" x14ac:dyDescent="0.3">
      <c r="A947" s="4" t="s">
        <v>3507</v>
      </c>
      <c r="B947" s="6" t="s">
        <v>516</v>
      </c>
      <c r="C947" s="6" t="s">
        <v>517</v>
      </c>
      <c r="D947">
        <v>9204023281</v>
      </c>
      <c r="E947">
        <v>920401001</v>
      </c>
      <c r="F947" t="s">
        <v>52</v>
      </c>
      <c r="G947" t="s">
        <v>3508</v>
      </c>
      <c r="H947" s="1">
        <v>45735</v>
      </c>
      <c r="I947" t="s">
        <v>3509</v>
      </c>
      <c r="J947" s="8">
        <v>45749</v>
      </c>
      <c r="K947" s="1" t="s">
        <v>2872</v>
      </c>
      <c r="L947" t="s">
        <v>3508</v>
      </c>
      <c r="M947" t="s">
        <v>3510</v>
      </c>
      <c r="N947" s="2">
        <v>9266194.9199999999</v>
      </c>
      <c r="O947" t="s">
        <v>3511</v>
      </c>
      <c r="P947" s="6" t="s">
        <v>2277</v>
      </c>
      <c r="R947" t="s">
        <v>38</v>
      </c>
      <c r="S947" s="9">
        <v>2544.2600000000002</v>
      </c>
      <c r="T947" s="9">
        <v>3642</v>
      </c>
      <c r="U947" s="9">
        <v>9266194.9199999999</v>
      </c>
      <c r="V947" s="6" t="s">
        <v>251</v>
      </c>
      <c r="W947" t="s">
        <v>252</v>
      </c>
      <c r="X947">
        <v>5027262517</v>
      </c>
      <c r="Y947">
        <v>502701001</v>
      </c>
      <c r="Z947" s="3">
        <v>45749.797222222223</v>
      </c>
      <c r="AA947" s="6">
        <v>2025</v>
      </c>
      <c r="AB947" s="1">
        <v>45958</v>
      </c>
    </row>
    <row r="948" spans="1:28" x14ac:dyDescent="0.3">
      <c r="A948" t="s">
        <v>3512</v>
      </c>
      <c r="B948" s="6" t="s">
        <v>491</v>
      </c>
      <c r="C948" s="6" t="s">
        <v>492</v>
      </c>
      <c r="D948">
        <v>2724041260</v>
      </c>
      <c r="E948">
        <v>272101001</v>
      </c>
      <c r="F948" t="s">
        <v>94</v>
      </c>
      <c r="G948" t="s">
        <v>3513</v>
      </c>
      <c r="H948" s="1">
        <v>45744</v>
      </c>
      <c r="J948" s="8">
        <v>45749</v>
      </c>
      <c r="K948" s="1" t="s">
        <v>2872</v>
      </c>
      <c r="L948" t="s">
        <v>3513</v>
      </c>
      <c r="M948" t="s">
        <v>3514</v>
      </c>
      <c r="N948" s="2">
        <v>31900200</v>
      </c>
      <c r="O948" t="s">
        <v>377</v>
      </c>
      <c r="P948" s="6" t="s">
        <v>2277</v>
      </c>
      <c r="R948" t="s">
        <v>38</v>
      </c>
      <c r="S948" s="9">
        <v>3950</v>
      </c>
      <c r="T948" s="9">
        <v>8076</v>
      </c>
      <c r="U948" s="9">
        <v>31900200</v>
      </c>
      <c r="V948" s="6" t="s">
        <v>3244</v>
      </c>
      <c r="W948" t="s">
        <v>3245</v>
      </c>
      <c r="X948">
        <v>7733271117</v>
      </c>
      <c r="Y948" s="4" t="s">
        <v>3515</v>
      </c>
      <c r="Z948" s="3">
        <v>45750.556250000001</v>
      </c>
      <c r="AA948" s="6">
        <v>2025</v>
      </c>
      <c r="AB948" s="1">
        <v>45975</v>
      </c>
    </row>
    <row r="949" spans="1:28" x14ac:dyDescent="0.3">
      <c r="A949" t="s">
        <v>3516</v>
      </c>
      <c r="B949" s="6" t="s">
        <v>657</v>
      </c>
      <c r="C949" s="6" t="s">
        <v>658</v>
      </c>
      <c r="D949">
        <v>3015068159</v>
      </c>
      <c r="E949">
        <v>301601001</v>
      </c>
      <c r="F949" t="s">
        <v>52</v>
      </c>
      <c r="G949" t="s">
        <v>3517</v>
      </c>
      <c r="H949" s="1">
        <v>45737</v>
      </c>
      <c r="J949" s="8">
        <v>45750</v>
      </c>
      <c r="K949" s="1" t="s">
        <v>2872</v>
      </c>
      <c r="L949" t="s">
        <v>3518</v>
      </c>
      <c r="M949" t="s">
        <v>3499</v>
      </c>
      <c r="N949" s="2">
        <v>15502500</v>
      </c>
      <c r="O949" t="s">
        <v>1906</v>
      </c>
      <c r="P949" s="6" t="s">
        <v>1814</v>
      </c>
      <c r="R949" t="s">
        <v>38</v>
      </c>
      <c r="S949" s="9">
        <v>3445</v>
      </c>
      <c r="T949" s="9">
        <v>4500</v>
      </c>
      <c r="U949" s="9">
        <v>15502500</v>
      </c>
      <c r="V949" s="6" t="s">
        <v>1815</v>
      </c>
      <c r="W949" t="s">
        <v>1816</v>
      </c>
      <c r="X949">
        <v>7708813060</v>
      </c>
      <c r="Y949">
        <v>770801001</v>
      </c>
      <c r="Z949" s="3">
        <v>45750.474999999999</v>
      </c>
      <c r="AA949" s="6">
        <v>2025</v>
      </c>
      <c r="AB949" s="1">
        <v>46022</v>
      </c>
    </row>
    <row r="950" spans="1:28" x14ac:dyDescent="0.3">
      <c r="A950" t="s">
        <v>3519</v>
      </c>
      <c r="B950" s="6" t="s">
        <v>234</v>
      </c>
      <c r="C950" s="6" t="s">
        <v>235</v>
      </c>
      <c r="D950">
        <v>1501024759</v>
      </c>
      <c r="E950">
        <v>151601001</v>
      </c>
      <c r="F950" t="s">
        <v>52</v>
      </c>
      <c r="G950" t="s">
        <v>3520</v>
      </c>
      <c r="H950" s="1">
        <v>45735</v>
      </c>
      <c r="J950" s="8">
        <v>45750</v>
      </c>
      <c r="K950" s="1" t="s">
        <v>2872</v>
      </c>
      <c r="L950" t="s">
        <v>3520</v>
      </c>
      <c r="M950" t="s">
        <v>3521</v>
      </c>
      <c r="N950" s="2">
        <v>1195916.98</v>
      </c>
      <c r="O950" t="s">
        <v>494</v>
      </c>
      <c r="P950" s="6" t="s">
        <v>36</v>
      </c>
      <c r="R950" t="s">
        <v>38</v>
      </c>
      <c r="S950" s="9">
        <v>3959.99</v>
      </c>
      <c r="T950" s="9">
        <v>302</v>
      </c>
      <c r="U950" s="9">
        <v>1195916.98</v>
      </c>
      <c r="V950" s="6" t="s">
        <v>352</v>
      </c>
      <c r="W950" t="s">
        <v>40</v>
      </c>
      <c r="X950">
        <v>7843014747</v>
      </c>
      <c r="Y950">
        <v>781401001</v>
      </c>
      <c r="Z950" s="3">
        <v>45750.692361111112</v>
      </c>
      <c r="AA950" s="6">
        <v>2025</v>
      </c>
      <c r="AB950" s="1">
        <v>46022</v>
      </c>
    </row>
    <row r="951" spans="1:28" x14ac:dyDescent="0.3">
      <c r="A951" t="s">
        <v>3522</v>
      </c>
      <c r="B951" s="6" t="s">
        <v>220</v>
      </c>
      <c r="C951" s="6" t="s">
        <v>221</v>
      </c>
      <c r="D951">
        <v>5024068656</v>
      </c>
      <c r="E951">
        <v>502401001</v>
      </c>
      <c r="F951" t="s">
        <v>52</v>
      </c>
      <c r="G951" t="s">
        <v>3523</v>
      </c>
      <c r="H951" s="1">
        <v>45734</v>
      </c>
      <c r="J951" s="8">
        <v>45750</v>
      </c>
      <c r="K951" s="1" t="s">
        <v>2872</v>
      </c>
      <c r="L951" t="s">
        <v>3523</v>
      </c>
      <c r="M951" t="s">
        <v>3524</v>
      </c>
      <c r="N951" s="2">
        <v>198847284</v>
      </c>
      <c r="O951" t="s">
        <v>494</v>
      </c>
      <c r="P951" s="6" t="s">
        <v>36</v>
      </c>
      <c r="R951" t="s">
        <v>38</v>
      </c>
      <c r="S951" s="9">
        <v>3370.75</v>
      </c>
      <c r="T951" s="9">
        <v>58992</v>
      </c>
      <c r="U951" s="9">
        <v>198847284</v>
      </c>
      <c r="V951" s="6" t="s">
        <v>128</v>
      </c>
      <c r="W951" t="s">
        <v>129</v>
      </c>
      <c r="X951" s="4">
        <v>274110679</v>
      </c>
      <c r="Y951">
        <v>500801001</v>
      </c>
      <c r="Z951" s="3">
        <v>45750.745833333334</v>
      </c>
      <c r="AA951" s="6">
        <v>2025</v>
      </c>
      <c r="AB951" s="1">
        <v>45805</v>
      </c>
    </row>
    <row r="952" spans="1:28" x14ac:dyDescent="0.3">
      <c r="A952" t="s">
        <v>3525</v>
      </c>
      <c r="B952" s="6" t="s">
        <v>1399</v>
      </c>
      <c r="C952" s="6" t="s">
        <v>93</v>
      </c>
      <c r="D952">
        <v>4501025099</v>
      </c>
      <c r="E952">
        <v>450101001</v>
      </c>
      <c r="F952" t="s">
        <v>149</v>
      </c>
      <c r="G952" t="s">
        <v>3526</v>
      </c>
      <c r="H952" s="1">
        <v>45747</v>
      </c>
      <c r="J952" s="8">
        <v>45750</v>
      </c>
      <c r="K952" s="1" t="s">
        <v>2872</v>
      </c>
      <c r="L952" t="s">
        <v>3527</v>
      </c>
      <c r="M952" t="s">
        <v>377</v>
      </c>
      <c r="N952" s="2">
        <v>4999500</v>
      </c>
      <c r="O952" t="s">
        <v>1912</v>
      </c>
      <c r="P952" s="6" t="s">
        <v>891</v>
      </c>
      <c r="Q952" t="s">
        <v>1993</v>
      </c>
      <c r="R952" t="s">
        <v>38</v>
      </c>
      <c r="S952" s="9">
        <v>4950</v>
      </c>
      <c r="T952" s="9">
        <v>1010</v>
      </c>
      <c r="U952" s="9">
        <v>4999500</v>
      </c>
      <c r="V952" s="6" t="s">
        <v>1612</v>
      </c>
      <c r="W952" t="s">
        <v>1613</v>
      </c>
      <c r="X952">
        <v>9727026181</v>
      </c>
      <c r="Y952">
        <v>770601001</v>
      </c>
      <c r="Z952" s="3">
        <v>45754.56527777778</v>
      </c>
      <c r="AA952" s="6">
        <v>2025</v>
      </c>
      <c r="AB952" s="1">
        <v>45808</v>
      </c>
    </row>
    <row r="953" spans="1:28" x14ac:dyDescent="0.3">
      <c r="A953" s="4" t="s">
        <v>3528</v>
      </c>
      <c r="B953" s="6" t="s">
        <v>1399</v>
      </c>
      <c r="C953" s="6" t="s">
        <v>93</v>
      </c>
      <c r="D953">
        <v>4501025099</v>
      </c>
      <c r="E953">
        <v>450101001</v>
      </c>
      <c r="F953" t="s">
        <v>149</v>
      </c>
      <c r="G953" t="s">
        <v>3529</v>
      </c>
      <c r="H953" s="1">
        <v>45747</v>
      </c>
      <c r="J953" s="8">
        <v>45750</v>
      </c>
      <c r="K953" s="1" t="s">
        <v>2872</v>
      </c>
      <c r="L953" t="s">
        <v>3530</v>
      </c>
      <c r="M953" t="s">
        <v>377</v>
      </c>
      <c r="N953" s="2">
        <v>4999500</v>
      </c>
      <c r="O953" t="s">
        <v>1912</v>
      </c>
      <c r="P953" s="6" t="s">
        <v>891</v>
      </c>
      <c r="Q953" t="s">
        <v>1993</v>
      </c>
      <c r="R953" t="s">
        <v>38</v>
      </c>
      <c r="S953" s="9">
        <v>4950</v>
      </c>
      <c r="T953" s="9">
        <v>1010</v>
      </c>
      <c r="U953" s="9">
        <v>4999500</v>
      </c>
      <c r="V953" s="6" t="s">
        <v>1612</v>
      </c>
      <c r="W953" t="s">
        <v>1613</v>
      </c>
      <c r="X953">
        <v>9727026181</v>
      </c>
      <c r="Y953">
        <v>770601001</v>
      </c>
      <c r="Z953" s="3">
        <v>45754.566666666666</v>
      </c>
      <c r="AA953" s="6">
        <v>2025</v>
      </c>
      <c r="AB953" s="1">
        <v>45808</v>
      </c>
    </row>
    <row r="954" spans="1:28" x14ac:dyDescent="0.3">
      <c r="A954" t="s">
        <v>3531</v>
      </c>
      <c r="B954" s="6" t="s">
        <v>1399</v>
      </c>
      <c r="C954" s="6" t="s">
        <v>93</v>
      </c>
      <c r="D954">
        <v>4501025099</v>
      </c>
      <c r="E954">
        <v>450101001</v>
      </c>
      <c r="F954" t="s">
        <v>149</v>
      </c>
      <c r="G954" t="s">
        <v>3532</v>
      </c>
      <c r="H954" s="1">
        <v>45747</v>
      </c>
      <c r="J954" s="8">
        <v>45750</v>
      </c>
      <c r="K954" s="1" t="s">
        <v>2872</v>
      </c>
      <c r="L954" t="s">
        <v>3533</v>
      </c>
      <c r="M954" t="s">
        <v>377</v>
      </c>
      <c r="N954" s="2">
        <v>3281850</v>
      </c>
      <c r="O954" t="s">
        <v>1912</v>
      </c>
      <c r="P954" s="6" t="s">
        <v>891</v>
      </c>
      <c r="Q954" t="s">
        <v>1993</v>
      </c>
      <c r="R954" t="s">
        <v>38</v>
      </c>
      <c r="S954" s="9">
        <v>4950</v>
      </c>
      <c r="T954" s="9">
        <v>663</v>
      </c>
      <c r="U954" s="9">
        <v>3281850</v>
      </c>
      <c r="V954" s="6" t="s">
        <v>1612</v>
      </c>
      <c r="W954" t="s">
        <v>1613</v>
      </c>
      <c r="X954">
        <v>9727026181</v>
      </c>
      <c r="Y954">
        <v>770601001</v>
      </c>
      <c r="Z954" s="3">
        <v>45754.570138888892</v>
      </c>
      <c r="AA954" s="6">
        <v>2025</v>
      </c>
      <c r="AB954" s="1">
        <v>45808</v>
      </c>
    </row>
    <row r="955" spans="1:28" x14ac:dyDescent="0.3">
      <c r="A955" t="s">
        <v>3534</v>
      </c>
      <c r="B955" s="6" t="s">
        <v>609</v>
      </c>
      <c r="C955" s="6" t="s">
        <v>270</v>
      </c>
      <c r="D955">
        <v>1833002854</v>
      </c>
      <c r="E955">
        <v>184001001</v>
      </c>
      <c r="F955" t="s">
        <v>149</v>
      </c>
      <c r="G955" t="s">
        <v>3535</v>
      </c>
      <c r="H955" s="1">
        <v>45747</v>
      </c>
      <c r="J955" s="8">
        <v>45751</v>
      </c>
      <c r="K955" s="1" t="s">
        <v>2872</v>
      </c>
      <c r="L955" t="s">
        <v>3535</v>
      </c>
      <c r="M955" t="s">
        <v>377</v>
      </c>
      <c r="N955" s="2">
        <v>68400</v>
      </c>
      <c r="O955" t="s">
        <v>3536</v>
      </c>
      <c r="P955" s="6" t="s">
        <v>36</v>
      </c>
      <c r="R955" t="s">
        <v>38</v>
      </c>
      <c r="S955" s="9">
        <v>5700</v>
      </c>
      <c r="T955" s="9">
        <v>12</v>
      </c>
      <c r="U955" s="9">
        <v>68400</v>
      </c>
      <c r="V955" s="6" t="s">
        <v>170</v>
      </c>
      <c r="W955" t="s">
        <v>171</v>
      </c>
      <c r="X955">
        <v>540231059610</v>
      </c>
      <c r="Z955" s="3">
        <v>45751.581944444442</v>
      </c>
      <c r="AA955" s="6">
        <v>2025</v>
      </c>
      <c r="AB955" s="1">
        <v>45821</v>
      </c>
    </row>
    <row r="956" spans="1:28" x14ac:dyDescent="0.3">
      <c r="A956" t="s">
        <v>3537</v>
      </c>
      <c r="B956" s="6" t="s">
        <v>104</v>
      </c>
      <c r="C956" s="6" t="s">
        <v>105</v>
      </c>
      <c r="D956">
        <v>6660010415</v>
      </c>
      <c r="E956">
        <v>667101001</v>
      </c>
      <c r="F956" t="s">
        <v>52</v>
      </c>
      <c r="G956" t="s">
        <v>3538</v>
      </c>
      <c r="H956" s="1">
        <v>45737</v>
      </c>
      <c r="J956" s="8">
        <v>45754</v>
      </c>
      <c r="K956" s="1" t="s">
        <v>2872</v>
      </c>
      <c r="L956" t="s">
        <v>3539</v>
      </c>
      <c r="M956" t="s">
        <v>377</v>
      </c>
      <c r="N956" s="2">
        <v>45083450</v>
      </c>
      <c r="O956" t="s">
        <v>377</v>
      </c>
      <c r="P956" s="6" t="s">
        <v>891</v>
      </c>
      <c r="Q956" t="s">
        <v>37</v>
      </c>
      <c r="R956" t="s">
        <v>38</v>
      </c>
      <c r="S956" s="9">
        <v>3920.3</v>
      </c>
      <c r="T956" s="9">
        <v>3833</v>
      </c>
      <c r="U956" s="9">
        <v>15026509.9</v>
      </c>
      <c r="V956" s="6" t="s">
        <v>3540</v>
      </c>
      <c r="W956" t="s">
        <v>3541</v>
      </c>
      <c r="X956">
        <v>9717130095</v>
      </c>
      <c r="Y956">
        <v>771701001</v>
      </c>
      <c r="Z956" s="3">
        <v>45755.449305555558</v>
      </c>
      <c r="AA956" s="6">
        <v>2025</v>
      </c>
      <c r="AB956" s="1">
        <v>46022</v>
      </c>
    </row>
    <row r="957" spans="1:28" x14ac:dyDescent="0.3">
      <c r="A957" t="s">
        <v>3542</v>
      </c>
      <c r="B957" s="6" t="s">
        <v>796</v>
      </c>
      <c r="C957" s="6" t="s">
        <v>69</v>
      </c>
      <c r="D957">
        <v>8901007006</v>
      </c>
      <c r="E957">
        <v>890101001</v>
      </c>
      <c r="F957" t="s">
        <v>52</v>
      </c>
      <c r="G957" t="s">
        <v>3543</v>
      </c>
      <c r="H957" s="1">
        <v>45742</v>
      </c>
      <c r="J957" s="8">
        <v>45754</v>
      </c>
      <c r="K957" s="1" t="s">
        <v>2872</v>
      </c>
      <c r="L957" t="s">
        <v>3544</v>
      </c>
      <c r="M957" t="s">
        <v>3545</v>
      </c>
      <c r="N957" s="2">
        <v>14244300</v>
      </c>
      <c r="O957" t="s">
        <v>494</v>
      </c>
      <c r="P957" s="6" t="s">
        <v>36</v>
      </c>
      <c r="R957" t="s">
        <v>38</v>
      </c>
      <c r="S957" s="9">
        <v>4900</v>
      </c>
      <c r="T957" s="9">
        <v>2907</v>
      </c>
      <c r="U957" s="9">
        <v>14244300</v>
      </c>
      <c r="V957" s="6" t="s">
        <v>58</v>
      </c>
      <c r="W957" t="s">
        <v>59</v>
      </c>
      <c r="X957">
        <v>5262222144</v>
      </c>
      <c r="Y957">
        <v>526201001</v>
      </c>
      <c r="Z957" s="3">
        <v>45755.272222222222</v>
      </c>
      <c r="AA957" s="6">
        <v>2025</v>
      </c>
      <c r="AB957" s="1">
        <v>45856</v>
      </c>
    </row>
    <row r="958" spans="1:28" x14ac:dyDescent="0.3">
      <c r="A958" t="s">
        <v>3546</v>
      </c>
      <c r="B958" s="6" t="s">
        <v>796</v>
      </c>
      <c r="C958" s="6" t="s">
        <v>69</v>
      </c>
      <c r="D958">
        <v>8901007006</v>
      </c>
      <c r="E958">
        <v>890101001</v>
      </c>
      <c r="F958" t="s">
        <v>52</v>
      </c>
      <c r="G958" t="s">
        <v>3547</v>
      </c>
      <c r="H958" s="1">
        <v>45743</v>
      </c>
      <c r="J958" s="8">
        <v>45754</v>
      </c>
      <c r="K958" s="1" t="s">
        <v>2872</v>
      </c>
      <c r="L958" t="s">
        <v>3548</v>
      </c>
      <c r="M958" t="s">
        <v>3545</v>
      </c>
      <c r="N958" s="2">
        <v>5434100</v>
      </c>
      <c r="O958" t="s">
        <v>494</v>
      </c>
      <c r="P958" s="6" t="s">
        <v>36</v>
      </c>
      <c r="R958" t="s">
        <v>38</v>
      </c>
      <c r="S958" s="9">
        <v>4900</v>
      </c>
      <c r="T958" s="9">
        <v>1109</v>
      </c>
      <c r="U958" s="9">
        <v>5434100</v>
      </c>
      <c r="V958" s="6" t="s">
        <v>58</v>
      </c>
      <c r="W958" t="s">
        <v>59</v>
      </c>
      <c r="X958">
        <v>5262222144</v>
      </c>
      <c r="Y958">
        <v>526201001</v>
      </c>
      <c r="Z958" s="3">
        <v>45754.35</v>
      </c>
      <c r="AA958" s="6">
        <v>2025</v>
      </c>
      <c r="AB958" s="1">
        <v>45996</v>
      </c>
    </row>
    <row r="959" spans="1:28" x14ac:dyDescent="0.3">
      <c r="A959" t="s">
        <v>3549</v>
      </c>
      <c r="B959" s="6" t="s">
        <v>796</v>
      </c>
      <c r="C959" s="6" t="s">
        <v>69</v>
      </c>
      <c r="D959">
        <v>8901007006</v>
      </c>
      <c r="E959">
        <v>890101001</v>
      </c>
      <c r="F959" t="s">
        <v>52</v>
      </c>
      <c r="G959" t="s">
        <v>3550</v>
      </c>
      <c r="H959" s="1">
        <v>45742</v>
      </c>
      <c r="J959" s="8">
        <v>45754</v>
      </c>
      <c r="K959" s="1" t="s">
        <v>2872</v>
      </c>
      <c r="L959" t="s">
        <v>3551</v>
      </c>
      <c r="M959" t="s">
        <v>1553</v>
      </c>
      <c r="N959" s="2">
        <v>10544800</v>
      </c>
      <c r="O959" t="s">
        <v>494</v>
      </c>
      <c r="P959" s="6" t="s">
        <v>36</v>
      </c>
      <c r="R959" t="s">
        <v>38</v>
      </c>
      <c r="S959" s="9">
        <v>4900</v>
      </c>
      <c r="T959" s="9">
        <v>2152</v>
      </c>
      <c r="U959" s="9">
        <v>10544800</v>
      </c>
      <c r="V959" s="6" t="s">
        <v>58</v>
      </c>
      <c r="W959" t="s">
        <v>59</v>
      </c>
      <c r="X959">
        <v>5262222144</v>
      </c>
      <c r="Y959">
        <v>526201001</v>
      </c>
      <c r="Z959" s="3">
        <v>45754.35833333333</v>
      </c>
      <c r="AA959" s="6">
        <v>2025</v>
      </c>
      <c r="AB959" s="1">
        <v>46013</v>
      </c>
    </row>
    <row r="960" spans="1:28" x14ac:dyDescent="0.3">
      <c r="A960" t="s">
        <v>3552</v>
      </c>
      <c r="B960" s="6" t="s">
        <v>602</v>
      </c>
      <c r="C960" s="6" t="s">
        <v>548</v>
      </c>
      <c r="D960">
        <v>1901130110</v>
      </c>
      <c r="E960">
        <v>190101001</v>
      </c>
      <c r="F960" t="s">
        <v>52</v>
      </c>
      <c r="G960" t="s">
        <v>3553</v>
      </c>
      <c r="H960" s="1">
        <v>45742</v>
      </c>
      <c r="J960" s="8">
        <v>45754</v>
      </c>
      <c r="K960" s="1" t="s">
        <v>2872</v>
      </c>
      <c r="L960" t="s">
        <v>3554</v>
      </c>
      <c r="M960" t="s">
        <v>3555</v>
      </c>
      <c r="N960" s="2">
        <v>1782000</v>
      </c>
      <c r="O960" t="s">
        <v>494</v>
      </c>
      <c r="P960" s="6" t="s">
        <v>36</v>
      </c>
      <c r="R960" t="s">
        <v>38</v>
      </c>
      <c r="S960" s="9">
        <v>4950</v>
      </c>
      <c r="T960" s="9">
        <v>360</v>
      </c>
      <c r="U960" s="9">
        <v>1782000</v>
      </c>
      <c r="V960" s="6" t="s">
        <v>352</v>
      </c>
      <c r="W960" t="s">
        <v>40</v>
      </c>
      <c r="X960">
        <v>7843014747</v>
      </c>
      <c r="Y960">
        <v>781401001</v>
      </c>
      <c r="Z960" s="3">
        <v>45754.246527777781</v>
      </c>
      <c r="AA960" s="6">
        <v>2025</v>
      </c>
      <c r="AB960" s="1">
        <v>45838</v>
      </c>
    </row>
    <row r="961" spans="1:28" x14ac:dyDescent="0.3">
      <c r="A961" t="s">
        <v>3556</v>
      </c>
      <c r="B961" s="6" t="s">
        <v>1926</v>
      </c>
      <c r="C961" s="6" t="s">
        <v>731</v>
      </c>
      <c r="D961" s="4">
        <v>5835108606</v>
      </c>
      <c r="E961">
        <v>583501001</v>
      </c>
      <c r="F961" t="s">
        <v>52</v>
      </c>
      <c r="G961" t="s">
        <v>3557</v>
      </c>
      <c r="H961" s="1">
        <v>45741</v>
      </c>
      <c r="J961" s="8">
        <v>45754</v>
      </c>
      <c r="K961" s="1" t="s">
        <v>2872</v>
      </c>
      <c r="L961" t="s">
        <v>3557</v>
      </c>
      <c r="M961" t="s">
        <v>534</v>
      </c>
      <c r="N961" s="2">
        <v>2087812.5</v>
      </c>
      <c r="O961" t="s">
        <v>494</v>
      </c>
      <c r="P961" s="6" t="s">
        <v>36</v>
      </c>
      <c r="R961" t="s">
        <v>38</v>
      </c>
      <c r="S961" s="9">
        <v>3340.5</v>
      </c>
      <c r="T961" s="9">
        <v>625</v>
      </c>
      <c r="U961" s="9">
        <v>2087812.5</v>
      </c>
      <c r="V961" s="6" t="s">
        <v>58</v>
      </c>
      <c r="W961" t="s">
        <v>59</v>
      </c>
      <c r="X961">
        <v>5262222144</v>
      </c>
      <c r="Y961">
        <v>526201001</v>
      </c>
      <c r="Z961" s="3">
        <v>45755.67083333333</v>
      </c>
      <c r="AA961" s="6">
        <v>2025</v>
      </c>
      <c r="AB961" s="1">
        <v>45810</v>
      </c>
    </row>
    <row r="962" spans="1:28" x14ac:dyDescent="0.3">
      <c r="A962" t="s">
        <v>3558</v>
      </c>
      <c r="B962" s="6" t="s">
        <v>220</v>
      </c>
      <c r="C962" s="6" t="s">
        <v>221</v>
      </c>
      <c r="D962">
        <v>5024068656</v>
      </c>
      <c r="E962">
        <v>502401001</v>
      </c>
      <c r="F962" t="s">
        <v>52</v>
      </c>
      <c r="G962" t="s">
        <v>3559</v>
      </c>
      <c r="H962" s="1">
        <v>45737</v>
      </c>
      <c r="J962" s="8">
        <v>45754</v>
      </c>
      <c r="K962" s="1" t="s">
        <v>2872</v>
      </c>
      <c r="L962" t="s">
        <v>3559</v>
      </c>
      <c r="M962" t="s">
        <v>3560</v>
      </c>
      <c r="N962" s="2">
        <v>82845275</v>
      </c>
      <c r="O962" t="s">
        <v>377</v>
      </c>
      <c r="P962" s="6" t="s">
        <v>2277</v>
      </c>
      <c r="R962" t="s">
        <v>38</v>
      </c>
      <c r="S962" s="9">
        <v>3079.75</v>
      </c>
      <c r="T962" s="9">
        <v>26900</v>
      </c>
      <c r="U962" s="9">
        <v>82845275</v>
      </c>
      <c r="V962" s="6" t="s">
        <v>251</v>
      </c>
      <c r="W962" t="s">
        <v>252</v>
      </c>
      <c r="X962">
        <v>5027262517</v>
      </c>
      <c r="Y962">
        <v>502701001</v>
      </c>
      <c r="Z962" s="3">
        <v>45756.542361111111</v>
      </c>
      <c r="AA962" s="6">
        <v>2025</v>
      </c>
      <c r="AB962" s="1">
        <v>45807</v>
      </c>
    </row>
    <row r="963" spans="1:28" x14ac:dyDescent="0.3">
      <c r="A963" t="s">
        <v>2719</v>
      </c>
      <c r="B963" s="6" t="s">
        <v>573</v>
      </c>
      <c r="C963" s="6" t="s">
        <v>405</v>
      </c>
      <c r="D963">
        <v>562044550</v>
      </c>
      <c r="E963">
        <v>57201001</v>
      </c>
      <c r="F963" t="s">
        <v>94</v>
      </c>
      <c r="G963" t="s">
        <v>2720</v>
      </c>
      <c r="H963" s="1">
        <v>45749</v>
      </c>
      <c r="I963" t="s">
        <v>3561</v>
      </c>
      <c r="J963" s="8">
        <v>45754</v>
      </c>
      <c r="K963" s="1" t="s">
        <v>2872</v>
      </c>
      <c r="L963" t="s">
        <v>2720</v>
      </c>
      <c r="M963" t="s">
        <v>179</v>
      </c>
      <c r="N963" s="2">
        <v>9500000</v>
      </c>
      <c r="O963" t="s">
        <v>2853</v>
      </c>
      <c r="P963" s="6" t="s">
        <v>2277</v>
      </c>
      <c r="R963" t="s">
        <v>38</v>
      </c>
      <c r="S963" s="9">
        <v>3800</v>
      </c>
      <c r="T963" s="9">
        <v>2500</v>
      </c>
      <c r="U963" s="9">
        <v>9500000</v>
      </c>
      <c r="V963" s="6" t="s">
        <v>2927</v>
      </c>
      <c r="W963" t="s">
        <v>2928</v>
      </c>
      <c r="X963">
        <v>7707440087</v>
      </c>
      <c r="Y963">
        <v>770701001</v>
      </c>
      <c r="Z963" s="3">
        <v>45755.445138888892</v>
      </c>
      <c r="AA963" s="6">
        <v>2025</v>
      </c>
      <c r="AB963" s="1">
        <v>46022</v>
      </c>
    </row>
    <row r="964" spans="1:28" x14ac:dyDescent="0.3">
      <c r="A964" t="s">
        <v>3537</v>
      </c>
      <c r="B964" s="6" t="s">
        <v>104</v>
      </c>
      <c r="C964" s="6" t="s">
        <v>105</v>
      </c>
      <c r="D964">
        <v>6660010415</v>
      </c>
      <c r="E964">
        <v>667101001</v>
      </c>
      <c r="F964" t="s">
        <v>52</v>
      </c>
      <c r="G964" t="s">
        <v>3538</v>
      </c>
      <c r="H964" s="1">
        <v>45737</v>
      </c>
      <c r="J964" s="8">
        <v>45754</v>
      </c>
      <c r="K964" s="1" t="s">
        <v>2872</v>
      </c>
      <c r="L964" t="s">
        <v>3539</v>
      </c>
      <c r="M964" t="s">
        <v>377</v>
      </c>
      <c r="N964" s="2">
        <v>45083450</v>
      </c>
      <c r="O964" t="s">
        <v>377</v>
      </c>
      <c r="P964" s="6" t="s">
        <v>2277</v>
      </c>
      <c r="Q964" t="s">
        <v>37</v>
      </c>
      <c r="R964" t="s">
        <v>38</v>
      </c>
      <c r="S964" s="9">
        <v>3920.3</v>
      </c>
      <c r="T964" s="9">
        <v>7667</v>
      </c>
      <c r="U964" s="9">
        <v>30056940.100000001</v>
      </c>
      <c r="V964" s="6" t="s">
        <v>3540</v>
      </c>
      <c r="W964" t="s">
        <v>3541</v>
      </c>
      <c r="X964">
        <v>9717130095</v>
      </c>
      <c r="Y964">
        <v>771701001</v>
      </c>
      <c r="Z964" s="3">
        <v>45755.449305555558</v>
      </c>
      <c r="AA964" s="6">
        <v>2025</v>
      </c>
      <c r="AB964" s="1">
        <v>46022</v>
      </c>
    </row>
    <row r="965" spans="1:28" x14ac:dyDescent="0.3">
      <c r="A965" t="s">
        <v>3562</v>
      </c>
      <c r="B965" s="6" t="s">
        <v>1317</v>
      </c>
      <c r="C965" s="6" t="s">
        <v>380</v>
      </c>
      <c r="D965">
        <v>4700001180</v>
      </c>
      <c r="E965">
        <v>784201001</v>
      </c>
      <c r="F965" t="s">
        <v>52</v>
      </c>
      <c r="G965" t="s">
        <v>3563</v>
      </c>
      <c r="H965" s="1">
        <v>45741</v>
      </c>
      <c r="J965" s="8">
        <v>45754</v>
      </c>
      <c r="K965" s="1" t="s">
        <v>2872</v>
      </c>
      <c r="L965" t="s">
        <v>3564</v>
      </c>
      <c r="M965" t="s">
        <v>3565</v>
      </c>
      <c r="N965" s="2">
        <v>38351120</v>
      </c>
      <c r="O965" t="s">
        <v>494</v>
      </c>
      <c r="P965" s="6" t="s">
        <v>36</v>
      </c>
      <c r="R965" t="s">
        <v>38</v>
      </c>
      <c r="S965" s="9">
        <v>4370</v>
      </c>
      <c r="T965" s="9">
        <v>8776</v>
      </c>
      <c r="U965" s="9">
        <v>38351120</v>
      </c>
      <c r="V965" s="6" t="s">
        <v>39</v>
      </c>
      <c r="W965" t="s">
        <v>40</v>
      </c>
      <c r="X965">
        <v>7810687137</v>
      </c>
      <c r="Y965">
        <v>781401001</v>
      </c>
      <c r="Z965" s="3">
        <v>45755.463194444441</v>
      </c>
      <c r="AA965" s="6">
        <v>2025</v>
      </c>
      <c r="AB965" s="1">
        <v>45931</v>
      </c>
    </row>
    <row r="966" spans="1:28" x14ac:dyDescent="0.3">
      <c r="A966" t="s">
        <v>3566</v>
      </c>
      <c r="B966" s="6" t="s">
        <v>472</v>
      </c>
      <c r="C966" s="6" t="s">
        <v>473</v>
      </c>
      <c r="D966">
        <v>3729010595</v>
      </c>
      <c r="E966">
        <v>370201001</v>
      </c>
      <c r="F966" t="s">
        <v>52</v>
      </c>
      <c r="G966" t="s">
        <v>3567</v>
      </c>
      <c r="H966" s="1">
        <v>45742</v>
      </c>
      <c r="I966" t="s">
        <v>3568</v>
      </c>
      <c r="J966" s="8">
        <v>45754</v>
      </c>
      <c r="K966" s="1" t="s">
        <v>2872</v>
      </c>
      <c r="L966" t="s">
        <v>3567</v>
      </c>
      <c r="M966" t="s">
        <v>3446</v>
      </c>
      <c r="N966" s="2">
        <v>12739649.560000001</v>
      </c>
      <c r="O966" t="s">
        <v>377</v>
      </c>
      <c r="P966" s="6" t="s">
        <v>2277</v>
      </c>
      <c r="R966" t="s">
        <v>38</v>
      </c>
      <c r="S966" s="9">
        <v>3613.06</v>
      </c>
      <c r="T966" s="9">
        <v>3526</v>
      </c>
      <c r="U966" s="9">
        <v>12739649.560000001</v>
      </c>
      <c r="V966" s="6" t="s">
        <v>3244</v>
      </c>
      <c r="W966" t="s">
        <v>3245</v>
      </c>
      <c r="X966">
        <v>7733271117</v>
      </c>
      <c r="Y966">
        <v>772201001</v>
      </c>
      <c r="Z966" s="3">
        <v>45754.493750000001</v>
      </c>
      <c r="AA966" s="6">
        <v>2025</v>
      </c>
      <c r="AB966" s="1">
        <v>46020</v>
      </c>
    </row>
    <row r="967" spans="1:28" x14ac:dyDescent="0.3">
      <c r="A967" t="s">
        <v>3569</v>
      </c>
      <c r="B967" s="6" t="s">
        <v>910</v>
      </c>
      <c r="C967" s="6" t="s">
        <v>911</v>
      </c>
      <c r="D967">
        <v>1200000881</v>
      </c>
      <c r="E967">
        <v>121501001</v>
      </c>
      <c r="F967" t="s">
        <v>94</v>
      </c>
      <c r="G967" t="s">
        <v>3570</v>
      </c>
      <c r="H967" s="1">
        <v>45749</v>
      </c>
      <c r="J967" s="8">
        <v>45754</v>
      </c>
      <c r="K967" s="1" t="s">
        <v>2872</v>
      </c>
      <c r="L967" t="s">
        <v>3571</v>
      </c>
      <c r="M967" t="s">
        <v>3572</v>
      </c>
      <c r="N967" s="2">
        <v>6297400</v>
      </c>
      <c r="O967" t="s">
        <v>494</v>
      </c>
      <c r="P967" s="6" t="s">
        <v>36</v>
      </c>
      <c r="R967" t="s">
        <v>38</v>
      </c>
      <c r="S967" s="9">
        <v>3700</v>
      </c>
      <c r="T967" s="9">
        <v>1702</v>
      </c>
      <c r="U967" s="9">
        <v>6297400</v>
      </c>
      <c r="V967" s="6" t="s">
        <v>111</v>
      </c>
      <c r="W967" t="s">
        <v>59</v>
      </c>
      <c r="X967">
        <v>5262258091</v>
      </c>
      <c r="Y967">
        <v>526201001</v>
      </c>
      <c r="Z967" s="3">
        <v>45754.444444444445</v>
      </c>
      <c r="AA967" s="6">
        <v>2025</v>
      </c>
      <c r="AB967" s="1">
        <v>46022</v>
      </c>
    </row>
    <row r="968" spans="1:28" x14ac:dyDescent="0.3">
      <c r="A968" t="s">
        <v>3546</v>
      </c>
      <c r="B968" s="6" t="s">
        <v>796</v>
      </c>
      <c r="C968" s="6" t="s">
        <v>69</v>
      </c>
      <c r="D968">
        <v>8901007006</v>
      </c>
      <c r="E968">
        <v>890101001</v>
      </c>
      <c r="F968" t="s">
        <v>52</v>
      </c>
      <c r="G968" s="4" t="s">
        <v>3573</v>
      </c>
      <c r="H968" s="1">
        <v>45743</v>
      </c>
      <c r="J968" s="8">
        <v>45754</v>
      </c>
      <c r="K968" s="1" t="s">
        <v>2872</v>
      </c>
      <c r="L968" s="4" t="s">
        <v>3574</v>
      </c>
      <c r="M968" t="s">
        <v>3545</v>
      </c>
      <c r="N968" s="2">
        <v>14185500</v>
      </c>
      <c r="O968" t="s">
        <v>494</v>
      </c>
      <c r="P968" s="6" t="s">
        <v>36</v>
      </c>
      <c r="R968" t="s">
        <v>38</v>
      </c>
      <c r="S968" s="9">
        <v>4900</v>
      </c>
      <c r="T968" s="9">
        <v>2895</v>
      </c>
      <c r="U968" s="9">
        <v>14185500</v>
      </c>
      <c r="V968" s="6" t="s">
        <v>58</v>
      </c>
      <c r="W968" t="s">
        <v>59</v>
      </c>
      <c r="X968">
        <v>5262222144</v>
      </c>
      <c r="Y968">
        <v>526201001</v>
      </c>
      <c r="Z968" s="3">
        <v>45754.35</v>
      </c>
      <c r="AA968" s="6">
        <v>2025</v>
      </c>
      <c r="AB968" s="1">
        <v>45996</v>
      </c>
    </row>
    <row r="969" spans="1:28" x14ac:dyDescent="0.3">
      <c r="A969" t="s">
        <v>3575</v>
      </c>
      <c r="B969" s="6" t="s">
        <v>472</v>
      </c>
      <c r="C969" s="6" t="s">
        <v>473</v>
      </c>
      <c r="D969">
        <v>3729010595</v>
      </c>
      <c r="E969">
        <v>370201001</v>
      </c>
      <c r="F969" t="s">
        <v>52</v>
      </c>
      <c r="G969" t="s">
        <v>3576</v>
      </c>
      <c r="H969" s="1">
        <v>45741</v>
      </c>
      <c r="I969" t="s">
        <v>3577</v>
      </c>
      <c r="J969" s="8">
        <v>45754</v>
      </c>
      <c r="K969" s="1" t="s">
        <v>2872</v>
      </c>
      <c r="L969" t="s">
        <v>3576</v>
      </c>
      <c r="M969" t="s">
        <v>3446</v>
      </c>
      <c r="N969" s="2">
        <v>2762929.97</v>
      </c>
      <c r="O969" t="s">
        <v>3578</v>
      </c>
      <c r="P969" s="6" t="s">
        <v>891</v>
      </c>
      <c r="Q969" t="s">
        <v>37</v>
      </c>
      <c r="R969" t="s">
        <v>38</v>
      </c>
      <c r="S969" s="9">
        <v>5222.93</v>
      </c>
      <c r="T969" s="9">
        <v>529</v>
      </c>
      <c r="U969" s="9">
        <v>2762929.97</v>
      </c>
      <c r="V969" s="6" t="s">
        <v>58</v>
      </c>
      <c r="W969" t="s">
        <v>59</v>
      </c>
      <c r="X969">
        <v>5262222144</v>
      </c>
      <c r="Y969">
        <v>526201001</v>
      </c>
      <c r="Z969" s="3">
        <v>45754.487500000003</v>
      </c>
      <c r="AA969" s="6">
        <v>2025</v>
      </c>
      <c r="AB969" s="1">
        <v>46020</v>
      </c>
    </row>
    <row r="970" spans="1:28" x14ac:dyDescent="0.3">
      <c r="A970" t="s">
        <v>3579</v>
      </c>
      <c r="B970" s="6" t="s">
        <v>672</v>
      </c>
      <c r="C970" s="6" t="s">
        <v>673</v>
      </c>
      <c r="D970">
        <v>6455046666</v>
      </c>
      <c r="E970">
        <v>645501001</v>
      </c>
      <c r="F970" t="s">
        <v>52</v>
      </c>
      <c r="G970" t="s">
        <v>3580</v>
      </c>
      <c r="H970" s="1">
        <v>45737</v>
      </c>
      <c r="J970" s="8">
        <v>45755</v>
      </c>
      <c r="K970" s="1" t="s">
        <v>2872</v>
      </c>
      <c r="L970" t="s">
        <v>3580</v>
      </c>
      <c r="M970" t="s">
        <v>676</v>
      </c>
      <c r="N970" s="2">
        <v>78434964</v>
      </c>
      <c r="O970" t="s">
        <v>3259</v>
      </c>
      <c r="P970" s="6" t="s">
        <v>891</v>
      </c>
      <c r="Q970" t="s">
        <v>37</v>
      </c>
      <c r="R970" t="s">
        <v>38</v>
      </c>
      <c r="S970" s="9">
        <v>4491.66</v>
      </c>
      <c r="T970" s="9">
        <v>5400</v>
      </c>
      <c r="U970" s="9">
        <v>24254964</v>
      </c>
      <c r="V970" s="6" t="s">
        <v>2807</v>
      </c>
      <c r="W970" t="s">
        <v>59</v>
      </c>
      <c r="X970">
        <v>6454027519</v>
      </c>
      <c r="Y970">
        <v>645301001</v>
      </c>
      <c r="Z970" s="3">
        <v>45755.67291666667</v>
      </c>
      <c r="AA970" s="6">
        <v>2025</v>
      </c>
      <c r="AB970" s="1">
        <v>45819</v>
      </c>
    </row>
    <row r="971" spans="1:28" x14ac:dyDescent="0.3">
      <c r="A971" t="s">
        <v>3581</v>
      </c>
      <c r="B971" s="6" t="s">
        <v>672</v>
      </c>
      <c r="C971" s="6" t="s">
        <v>673</v>
      </c>
      <c r="D971" s="4">
        <v>6455046666</v>
      </c>
      <c r="E971">
        <v>645501001</v>
      </c>
      <c r="F971" t="s">
        <v>52</v>
      </c>
      <c r="G971" t="s">
        <v>3582</v>
      </c>
      <c r="H971" s="1">
        <v>45737</v>
      </c>
      <c r="J971" s="8">
        <v>45755</v>
      </c>
      <c r="K971" s="1" t="s">
        <v>2872</v>
      </c>
      <c r="L971" t="s">
        <v>3582</v>
      </c>
      <c r="M971" t="s">
        <v>676</v>
      </c>
      <c r="N971" s="2">
        <v>26650304.440000001</v>
      </c>
      <c r="O971" t="s">
        <v>3259</v>
      </c>
      <c r="P971" s="6" t="s">
        <v>891</v>
      </c>
      <c r="Q971" t="s">
        <v>3121</v>
      </c>
      <c r="R971" t="s">
        <v>38</v>
      </c>
      <c r="S971" s="9">
        <v>4491.66</v>
      </c>
      <c r="T971" s="9">
        <v>1834</v>
      </c>
      <c r="U971" s="9">
        <v>8237704.4400000004</v>
      </c>
      <c r="V971" s="6" t="s">
        <v>2807</v>
      </c>
      <c r="W971" t="s">
        <v>59</v>
      </c>
      <c r="X971">
        <v>6454027519</v>
      </c>
      <c r="Y971">
        <v>645301001</v>
      </c>
      <c r="Z971" s="3">
        <v>45756.652083333334</v>
      </c>
      <c r="AA971" s="6">
        <v>2025</v>
      </c>
      <c r="AB971" s="1">
        <v>45937</v>
      </c>
    </row>
    <row r="972" spans="1:28" x14ac:dyDescent="0.3">
      <c r="A972" t="s">
        <v>1392</v>
      </c>
      <c r="B972" s="6" t="s">
        <v>68</v>
      </c>
      <c r="C972" s="6" t="s">
        <v>69</v>
      </c>
      <c r="D972">
        <v>8300010526</v>
      </c>
      <c r="E972">
        <v>298301001</v>
      </c>
      <c r="F972" t="s">
        <v>149</v>
      </c>
      <c r="G972" t="s">
        <v>3583</v>
      </c>
      <c r="H972" s="1">
        <v>45750</v>
      </c>
      <c r="I972" t="s">
        <v>3584</v>
      </c>
      <c r="J972" s="8">
        <v>45755</v>
      </c>
      <c r="K972" s="1" t="s">
        <v>2872</v>
      </c>
      <c r="L972" t="s">
        <v>3585</v>
      </c>
      <c r="M972" t="s">
        <v>377</v>
      </c>
      <c r="N972" s="2">
        <v>3480000</v>
      </c>
      <c r="O972" t="s">
        <v>2236</v>
      </c>
      <c r="P972" s="6" t="s">
        <v>36</v>
      </c>
      <c r="R972" t="s">
        <v>38</v>
      </c>
      <c r="S972" s="9">
        <v>5000</v>
      </c>
      <c r="T972" s="9">
        <v>696</v>
      </c>
      <c r="U972" s="9">
        <v>3480000</v>
      </c>
      <c r="V972" s="6" t="s">
        <v>39</v>
      </c>
      <c r="W972" t="s">
        <v>40</v>
      </c>
      <c r="X972">
        <v>7810687137</v>
      </c>
      <c r="Y972">
        <v>781401001</v>
      </c>
      <c r="Z972" s="3">
        <v>45755.356249999997</v>
      </c>
      <c r="AA972" s="6">
        <v>2025</v>
      </c>
      <c r="AB972" s="1">
        <v>46021</v>
      </c>
    </row>
    <row r="973" spans="1:28" x14ac:dyDescent="0.3">
      <c r="A973" t="s">
        <v>3579</v>
      </c>
      <c r="B973" s="6" t="s">
        <v>672</v>
      </c>
      <c r="C973" s="6" t="s">
        <v>673</v>
      </c>
      <c r="D973">
        <v>6455046666</v>
      </c>
      <c r="E973">
        <v>645501001</v>
      </c>
      <c r="F973" t="s">
        <v>52</v>
      </c>
      <c r="G973" t="s">
        <v>3580</v>
      </c>
      <c r="H973" s="1">
        <v>45737</v>
      </c>
      <c r="J973" s="8">
        <v>45755</v>
      </c>
      <c r="K973" s="1" t="s">
        <v>2872</v>
      </c>
      <c r="L973" t="s">
        <v>3580</v>
      </c>
      <c r="M973" t="s">
        <v>676</v>
      </c>
      <c r="N973" s="2">
        <v>78434964</v>
      </c>
      <c r="O973" t="s">
        <v>3586</v>
      </c>
      <c r="P973" s="6" t="s">
        <v>36</v>
      </c>
      <c r="Q973" t="s">
        <v>37</v>
      </c>
      <c r="R973" t="s">
        <v>38</v>
      </c>
      <c r="S973" s="9">
        <v>4300</v>
      </c>
      <c r="T973" s="9">
        <v>12600</v>
      </c>
      <c r="U973" s="9">
        <v>54180000</v>
      </c>
      <c r="V973" s="6" t="s">
        <v>2807</v>
      </c>
      <c r="W973" t="s">
        <v>59</v>
      </c>
      <c r="X973">
        <v>6454027519</v>
      </c>
      <c r="Y973">
        <v>645301001</v>
      </c>
      <c r="Z973" s="3">
        <v>45755.67291666667</v>
      </c>
      <c r="AA973" s="6">
        <v>2025</v>
      </c>
      <c r="AB973" s="1">
        <v>45819</v>
      </c>
    </row>
    <row r="974" spans="1:28" x14ac:dyDescent="0.3">
      <c r="A974" t="s">
        <v>3581</v>
      </c>
      <c r="B974" s="6" t="s">
        <v>672</v>
      </c>
      <c r="C974" s="6" t="s">
        <v>673</v>
      </c>
      <c r="D974">
        <v>6455046666</v>
      </c>
      <c r="E974">
        <v>645501001</v>
      </c>
      <c r="F974" t="s">
        <v>52</v>
      </c>
      <c r="G974" t="s">
        <v>3582</v>
      </c>
      <c r="H974" s="1">
        <v>45737</v>
      </c>
      <c r="J974" s="8">
        <v>45755</v>
      </c>
      <c r="K974" s="1" t="s">
        <v>2872</v>
      </c>
      <c r="L974" t="s">
        <v>3582</v>
      </c>
      <c r="M974" t="s">
        <v>676</v>
      </c>
      <c r="N974" s="2">
        <v>26650304.440000001</v>
      </c>
      <c r="O974" t="s">
        <v>3586</v>
      </c>
      <c r="P974" s="6" t="s">
        <v>36</v>
      </c>
      <c r="Q974" t="s">
        <v>3121</v>
      </c>
      <c r="R974" t="s">
        <v>38</v>
      </c>
      <c r="S974" s="9">
        <v>4300</v>
      </c>
      <c r="T974" s="9">
        <v>4282</v>
      </c>
      <c r="U974" s="9">
        <v>18412600</v>
      </c>
      <c r="V974" s="6" t="s">
        <v>2807</v>
      </c>
      <c r="W974" t="s">
        <v>59</v>
      </c>
      <c r="X974">
        <v>6454027519</v>
      </c>
      <c r="Y974">
        <v>645301001</v>
      </c>
      <c r="Z974" s="3">
        <v>45756.652083333334</v>
      </c>
      <c r="AA974" s="6">
        <v>2025</v>
      </c>
      <c r="AB974" s="1">
        <v>45937</v>
      </c>
    </row>
    <row r="975" spans="1:28" x14ac:dyDescent="0.3">
      <c r="A975" t="s">
        <v>3587</v>
      </c>
      <c r="B975" s="6" t="s">
        <v>204</v>
      </c>
      <c r="C975" s="6" t="s">
        <v>205</v>
      </c>
      <c r="D975">
        <v>4101173350</v>
      </c>
      <c r="E975">
        <v>410101001</v>
      </c>
      <c r="F975" t="s">
        <v>52</v>
      </c>
      <c r="G975" t="s">
        <v>3588</v>
      </c>
      <c r="H975" s="1">
        <v>45744</v>
      </c>
      <c r="J975" s="8">
        <v>45755</v>
      </c>
      <c r="K975" s="1" t="s">
        <v>2872</v>
      </c>
      <c r="L975" t="s">
        <v>3588</v>
      </c>
      <c r="M975" t="s">
        <v>3589</v>
      </c>
      <c r="N975" s="2">
        <v>12722400</v>
      </c>
      <c r="O975" t="s">
        <v>494</v>
      </c>
      <c r="P975" s="6" t="s">
        <v>36</v>
      </c>
      <c r="R975" t="s">
        <v>38</v>
      </c>
      <c r="S975" s="9">
        <v>3800</v>
      </c>
      <c r="T975" s="9">
        <v>3348</v>
      </c>
      <c r="U975" s="9">
        <v>12722400</v>
      </c>
      <c r="V975" s="6" t="s">
        <v>58</v>
      </c>
      <c r="W975" t="s">
        <v>59</v>
      </c>
      <c r="X975">
        <v>5262222144</v>
      </c>
      <c r="Y975">
        <v>526201001</v>
      </c>
      <c r="Z975" s="3">
        <v>45755.051388888889</v>
      </c>
      <c r="AA975" s="6">
        <v>2025</v>
      </c>
      <c r="AB975" s="1">
        <v>45828</v>
      </c>
    </row>
    <row r="976" spans="1:28" x14ac:dyDescent="0.3">
      <c r="A976" t="s">
        <v>3590</v>
      </c>
      <c r="B976" s="6" t="s">
        <v>204</v>
      </c>
      <c r="C976" s="6" t="s">
        <v>205</v>
      </c>
      <c r="D976">
        <v>4101173350</v>
      </c>
      <c r="E976">
        <v>410101001</v>
      </c>
      <c r="F976" t="s">
        <v>52</v>
      </c>
      <c r="G976" t="s">
        <v>3591</v>
      </c>
      <c r="H976" s="1">
        <v>45744</v>
      </c>
      <c r="I976" t="s">
        <v>3592</v>
      </c>
      <c r="J976" s="8">
        <v>45755</v>
      </c>
      <c r="K976" s="1" t="s">
        <v>2872</v>
      </c>
      <c r="L976" t="s">
        <v>3591</v>
      </c>
      <c r="M976" t="s">
        <v>3593</v>
      </c>
      <c r="N976" s="2">
        <v>9028800</v>
      </c>
      <c r="O976" t="s">
        <v>494</v>
      </c>
      <c r="P976" s="6" t="s">
        <v>36</v>
      </c>
      <c r="R976" t="s">
        <v>38</v>
      </c>
      <c r="S976" s="9">
        <v>3800</v>
      </c>
      <c r="T976" s="9">
        <v>2376</v>
      </c>
      <c r="U976" s="9">
        <v>9028800</v>
      </c>
      <c r="V976" s="6" t="s">
        <v>58</v>
      </c>
      <c r="W976" t="s">
        <v>59</v>
      </c>
      <c r="X976">
        <v>5262222144</v>
      </c>
      <c r="Y976">
        <v>526201001</v>
      </c>
      <c r="Z976" s="3">
        <v>45755.049305555556</v>
      </c>
      <c r="AA976" s="6">
        <v>2025</v>
      </c>
      <c r="AB976" s="1">
        <v>45828</v>
      </c>
    </row>
    <row r="977" spans="1:28" x14ac:dyDescent="0.3">
      <c r="A977" t="s">
        <v>3594</v>
      </c>
      <c r="B977" s="6" t="s">
        <v>412</v>
      </c>
      <c r="C977" s="6" t="s">
        <v>285</v>
      </c>
      <c r="D977">
        <v>3329025565</v>
      </c>
      <c r="E977">
        <v>332901001</v>
      </c>
      <c r="F977" t="s">
        <v>52</v>
      </c>
      <c r="G977" t="s">
        <v>3595</v>
      </c>
      <c r="H977" s="1">
        <v>45744</v>
      </c>
      <c r="J977" s="8">
        <v>45755</v>
      </c>
      <c r="K977" s="1" t="s">
        <v>2872</v>
      </c>
      <c r="L977" t="s">
        <v>3595</v>
      </c>
      <c r="M977" t="s">
        <v>179</v>
      </c>
      <c r="N977" s="2">
        <v>159045</v>
      </c>
      <c r="O977" t="s">
        <v>3596</v>
      </c>
      <c r="P977" s="6" t="s">
        <v>36</v>
      </c>
      <c r="R977" t="s">
        <v>48</v>
      </c>
      <c r="S977" s="9">
        <v>6915</v>
      </c>
      <c r="T977" s="9">
        <v>23</v>
      </c>
      <c r="U977" s="9">
        <v>159045</v>
      </c>
      <c r="V977" s="6" t="s">
        <v>290</v>
      </c>
      <c r="W977" t="s">
        <v>59</v>
      </c>
      <c r="X977">
        <v>3302013594</v>
      </c>
      <c r="Y977">
        <v>332801001</v>
      </c>
      <c r="Z977" s="3">
        <v>45755.37222222222</v>
      </c>
      <c r="AA977" s="6">
        <v>2025</v>
      </c>
      <c r="AB977" s="1">
        <v>46053</v>
      </c>
    </row>
    <row r="978" spans="1:28" x14ac:dyDescent="0.3">
      <c r="A978" t="s">
        <v>3597</v>
      </c>
      <c r="B978" s="6" t="s">
        <v>910</v>
      </c>
      <c r="C978" s="6" t="s">
        <v>911</v>
      </c>
      <c r="D978">
        <v>1200000881</v>
      </c>
      <c r="E978">
        <v>121501001</v>
      </c>
      <c r="F978" t="s">
        <v>94</v>
      </c>
      <c r="G978" t="s">
        <v>3598</v>
      </c>
      <c r="H978" s="1">
        <v>45750</v>
      </c>
      <c r="J978" s="8">
        <v>45755</v>
      </c>
      <c r="K978" s="1" t="s">
        <v>2872</v>
      </c>
      <c r="L978" t="s">
        <v>3599</v>
      </c>
      <c r="M978" t="s">
        <v>3572</v>
      </c>
      <c r="N978" s="2">
        <v>7004100</v>
      </c>
      <c r="O978" t="s">
        <v>1906</v>
      </c>
      <c r="P978" s="6" t="s">
        <v>1814</v>
      </c>
      <c r="R978" t="s">
        <v>38</v>
      </c>
      <c r="S978" s="9">
        <v>3700</v>
      </c>
      <c r="T978" s="9">
        <v>1893</v>
      </c>
      <c r="U978" s="9">
        <v>7004100</v>
      </c>
      <c r="V978" s="6" t="s">
        <v>1815</v>
      </c>
      <c r="W978" t="s">
        <v>1816</v>
      </c>
      <c r="X978">
        <v>7708813060</v>
      </c>
      <c r="Y978">
        <v>770801001</v>
      </c>
      <c r="Z978" s="3">
        <v>45755.401388888888</v>
      </c>
      <c r="AA978" s="6">
        <v>2025</v>
      </c>
      <c r="AB978" s="1">
        <v>46022</v>
      </c>
    </row>
    <row r="979" spans="1:28" x14ac:dyDescent="0.3">
      <c r="A979" t="s">
        <v>3600</v>
      </c>
      <c r="B979" s="6" t="s">
        <v>345</v>
      </c>
      <c r="C979" s="6" t="s">
        <v>346</v>
      </c>
      <c r="D979">
        <v>1101487135</v>
      </c>
      <c r="E979">
        <v>110101001</v>
      </c>
      <c r="F979" t="s">
        <v>52</v>
      </c>
      <c r="G979" t="s">
        <v>3601</v>
      </c>
      <c r="H979" s="1">
        <v>45744</v>
      </c>
      <c r="I979" t="s">
        <v>3592</v>
      </c>
      <c r="J979" s="8">
        <v>45756</v>
      </c>
      <c r="K979" s="1" t="s">
        <v>2872</v>
      </c>
      <c r="L979" t="s">
        <v>3602</v>
      </c>
      <c r="M979" t="s">
        <v>3603</v>
      </c>
      <c r="N979" s="2">
        <v>263250</v>
      </c>
      <c r="O979" t="s">
        <v>440</v>
      </c>
      <c r="P979" s="6" t="s">
        <v>36</v>
      </c>
      <c r="R979" t="s">
        <v>66</v>
      </c>
      <c r="S979" s="9">
        <v>5850</v>
      </c>
      <c r="T979" s="9">
        <v>45</v>
      </c>
      <c r="U979" s="9">
        <v>263250</v>
      </c>
      <c r="V979" s="6" t="s">
        <v>352</v>
      </c>
      <c r="W979" t="s">
        <v>40</v>
      </c>
      <c r="X979">
        <v>7843014747</v>
      </c>
      <c r="Y979">
        <v>781401001</v>
      </c>
      <c r="Z979" s="3">
        <v>45757.663888888892</v>
      </c>
      <c r="AA979" s="6">
        <v>2025</v>
      </c>
      <c r="AB979" s="1">
        <v>46022</v>
      </c>
    </row>
    <row r="980" spans="1:28" x14ac:dyDescent="0.3">
      <c r="A980" t="s">
        <v>3604</v>
      </c>
      <c r="B980" s="6" t="s">
        <v>1296</v>
      </c>
      <c r="C980" s="6" t="s">
        <v>164</v>
      </c>
      <c r="D980">
        <v>7720093523</v>
      </c>
      <c r="E980">
        <v>772001001</v>
      </c>
      <c r="F980" t="s">
        <v>94</v>
      </c>
      <c r="G980" t="s">
        <v>3605</v>
      </c>
      <c r="H980" s="1">
        <v>45754</v>
      </c>
      <c r="I980" t="s">
        <v>3606</v>
      </c>
      <c r="J980" s="8">
        <v>45757</v>
      </c>
      <c r="K980" s="1" t="s">
        <v>2872</v>
      </c>
      <c r="L980" t="s">
        <v>3605</v>
      </c>
      <c r="M980" t="s">
        <v>3607</v>
      </c>
      <c r="N980" s="2">
        <v>872000</v>
      </c>
      <c r="O980" t="s">
        <v>377</v>
      </c>
      <c r="P980" s="6" t="s">
        <v>36</v>
      </c>
      <c r="R980" t="s">
        <v>38</v>
      </c>
      <c r="S980" s="9">
        <v>10800</v>
      </c>
      <c r="T980" s="9">
        <f>U980/S980</f>
        <v>80.740740740740748</v>
      </c>
      <c r="U980" s="9">
        <v>872000</v>
      </c>
      <c r="V980" s="6" t="s">
        <v>3608</v>
      </c>
      <c r="W980" t="s">
        <v>3609</v>
      </c>
      <c r="X980">
        <v>9729323493</v>
      </c>
      <c r="Y980">
        <v>772901001</v>
      </c>
      <c r="Z980" s="3">
        <v>45762.413888888892</v>
      </c>
      <c r="AA980" s="6">
        <v>2025</v>
      </c>
      <c r="AB980" s="1">
        <v>46004</v>
      </c>
    </row>
    <row r="981" spans="1:28" x14ac:dyDescent="0.3">
      <c r="A981" s="4" t="s">
        <v>3610</v>
      </c>
      <c r="B981" s="6" t="s">
        <v>657</v>
      </c>
      <c r="C981" s="6" t="s">
        <v>658</v>
      </c>
      <c r="D981">
        <v>3015068159</v>
      </c>
      <c r="E981">
        <v>301601001</v>
      </c>
      <c r="F981" t="s">
        <v>52</v>
      </c>
      <c r="G981" t="s">
        <v>3611</v>
      </c>
      <c r="H981" s="1">
        <v>45747</v>
      </c>
      <c r="J981" s="8">
        <v>45758</v>
      </c>
      <c r="K981" s="1" t="s">
        <v>2872</v>
      </c>
      <c r="L981" t="s">
        <v>3612</v>
      </c>
      <c r="M981" t="s">
        <v>3499</v>
      </c>
      <c r="N981" s="2">
        <v>14452068.75</v>
      </c>
      <c r="O981" t="s">
        <v>3613</v>
      </c>
      <c r="P981" s="6" t="s">
        <v>1814</v>
      </c>
      <c r="R981" t="s">
        <v>38</v>
      </c>
      <c r="S981" s="9">
        <v>3911.25</v>
      </c>
      <c r="T981" s="9">
        <v>1108</v>
      </c>
      <c r="U981" s="9">
        <v>4333665</v>
      </c>
      <c r="V981" s="6" t="s">
        <v>3244</v>
      </c>
      <c r="W981" t="s">
        <v>3245</v>
      </c>
      <c r="X981">
        <v>7733271117</v>
      </c>
      <c r="Y981">
        <v>772201001</v>
      </c>
      <c r="Z981" s="3">
        <v>45761.674305555556</v>
      </c>
      <c r="AA981" s="6">
        <v>2025</v>
      </c>
      <c r="AB981" s="1">
        <v>46022</v>
      </c>
    </row>
    <row r="982" spans="1:28" x14ac:dyDescent="0.3">
      <c r="A982" t="s">
        <v>3614</v>
      </c>
      <c r="B982" s="6" t="s">
        <v>657</v>
      </c>
      <c r="C982" s="6" t="s">
        <v>658</v>
      </c>
      <c r="D982">
        <v>3015068159</v>
      </c>
      <c r="E982">
        <v>301601001</v>
      </c>
      <c r="F982" t="s">
        <v>52</v>
      </c>
      <c r="G982" t="s">
        <v>3611</v>
      </c>
      <c r="H982" s="1">
        <v>45747</v>
      </c>
      <c r="J982" s="8">
        <v>45758</v>
      </c>
      <c r="K982" s="1" t="s">
        <v>2872</v>
      </c>
      <c r="L982" t="s">
        <v>3612</v>
      </c>
      <c r="M982" t="s">
        <v>3499</v>
      </c>
      <c r="N982" s="2">
        <v>14452068.75</v>
      </c>
      <c r="O982" t="s">
        <v>3613</v>
      </c>
      <c r="P982" s="6" t="s">
        <v>2277</v>
      </c>
      <c r="R982" t="s">
        <v>38</v>
      </c>
      <c r="S982" s="9">
        <v>3911.25</v>
      </c>
      <c r="T982" s="9">
        <v>2587</v>
      </c>
      <c r="U982" s="9">
        <v>10118403.75</v>
      </c>
      <c r="V982" s="6" t="s">
        <v>3244</v>
      </c>
      <c r="W982" t="s">
        <v>3245</v>
      </c>
      <c r="X982">
        <v>7733271117</v>
      </c>
      <c r="Y982">
        <v>772201001</v>
      </c>
      <c r="Z982" s="3">
        <v>45761.674305555556</v>
      </c>
      <c r="AA982" s="6">
        <v>2025</v>
      </c>
      <c r="AB982" s="1">
        <v>46022</v>
      </c>
    </row>
    <row r="983" spans="1:28" x14ac:dyDescent="0.3">
      <c r="A983" t="s">
        <v>3615</v>
      </c>
      <c r="B983" s="6" t="s">
        <v>1668</v>
      </c>
      <c r="C983" s="6" t="s">
        <v>43</v>
      </c>
      <c r="D983">
        <v>5612074128</v>
      </c>
      <c r="E983">
        <v>561201001</v>
      </c>
      <c r="F983" t="s">
        <v>94</v>
      </c>
      <c r="G983" t="s">
        <v>3616</v>
      </c>
      <c r="H983" s="1">
        <v>45755</v>
      </c>
      <c r="J983" s="8">
        <v>45758</v>
      </c>
      <c r="K983" s="1" t="s">
        <v>2872</v>
      </c>
      <c r="L983" t="s">
        <v>3616</v>
      </c>
      <c r="M983" t="s">
        <v>3617</v>
      </c>
      <c r="N983" s="2">
        <v>1750000</v>
      </c>
      <c r="O983" t="s">
        <v>1906</v>
      </c>
      <c r="P983" s="6" t="s">
        <v>1814</v>
      </c>
      <c r="R983" t="s">
        <v>38</v>
      </c>
      <c r="S983" s="9">
        <v>3500</v>
      </c>
      <c r="T983" s="9">
        <v>500</v>
      </c>
      <c r="U983" s="9">
        <v>1750000</v>
      </c>
      <c r="V983" s="6" t="s">
        <v>1815</v>
      </c>
      <c r="W983" t="s">
        <v>1816</v>
      </c>
      <c r="X983">
        <v>7708813060</v>
      </c>
      <c r="Y983">
        <v>770801001</v>
      </c>
      <c r="Z983" s="3">
        <v>45758.361805555556</v>
      </c>
      <c r="AA983" s="6">
        <v>2025</v>
      </c>
      <c r="AB983" s="1">
        <v>46022</v>
      </c>
    </row>
    <row r="984" spans="1:28" x14ac:dyDescent="0.3">
      <c r="A984" t="s">
        <v>3618</v>
      </c>
      <c r="B984" s="6" t="s">
        <v>394</v>
      </c>
      <c r="C984" s="6" t="s">
        <v>395</v>
      </c>
      <c r="D984">
        <v>7203000249</v>
      </c>
      <c r="E984">
        <v>720301001</v>
      </c>
      <c r="F984" t="s">
        <v>149</v>
      </c>
      <c r="G984" t="s">
        <v>3619</v>
      </c>
      <c r="H984" s="1">
        <v>45755</v>
      </c>
      <c r="J984" s="8">
        <v>45758</v>
      </c>
      <c r="K984" s="1" t="s">
        <v>2872</v>
      </c>
      <c r="L984" t="s">
        <v>3620</v>
      </c>
      <c r="M984" t="s">
        <v>377</v>
      </c>
      <c r="N984" s="2">
        <v>1760016</v>
      </c>
      <c r="O984" t="s">
        <v>377</v>
      </c>
      <c r="P984" s="6" t="s">
        <v>891</v>
      </c>
      <c r="Q984" t="s">
        <v>37</v>
      </c>
      <c r="R984" t="s">
        <v>38</v>
      </c>
      <c r="S984" s="15">
        <v>5500.05</v>
      </c>
      <c r="T984" s="9">
        <v>320</v>
      </c>
      <c r="U984" s="9">
        <v>1760016</v>
      </c>
      <c r="V984" s="6" t="s">
        <v>401</v>
      </c>
      <c r="W984" t="s">
        <v>402</v>
      </c>
      <c r="X984">
        <v>720208302235</v>
      </c>
      <c r="Z984" s="3">
        <v>45758.409722222219</v>
      </c>
      <c r="AA984" s="6">
        <v>2025</v>
      </c>
      <c r="AB984" s="1">
        <v>46022</v>
      </c>
    </row>
    <row r="985" spans="1:28" x14ac:dyDescent="0.3">
      <c r="A985" t="s">
        <v>3621</v>
      </c>
      <c r="B985" s="6" t="s">
        <v>516</v>
      </c>
      <c r="C985" s="6" t="s">
        <v>517</v>
      </c>
      <c r="D985">
        <v>9204023281</v>
      </c>
      <c r="E985">
        <v>920401001</v>
      </c>
      <c r="F985" t="s">
        <v>52</v>
      </c>
      <c r="G985" t="s">
        <v>3622</v>
      </c>
      <c r="H985" s="1">
        <v>45744</v>
      </c>
      <c r="I985" t="s">
        <v>3592</v>
      </c>
      <c r="J985" s="8">
        <v>45761</v>
      </c>
      <c r="K985" s="1" t="s">
        <v>2872</v>
      </c>
      <c r="L985" t="s">
        <v>3622</v>
      </c>
      <c r="M985" t="s">
        <v>3623</v>
      </c>
      <c r="N985" s="2">
        <v>20544319.25</v>
      </c>
      <c r="O985" t="s">
        <v>3624</v>
      </c>
      <c r="P985" s="6" t="s">
        <v>891</v>
      </c>
      <c r="Q985" t="s">
        <v>37</v>
      </c>
      <c r="R985" t="s">
        <v>38</v>
      </c>
      <c r="S985" s="9">
        <v>4390.75</v>
      </c>
      <c r="T985" s="9">
        <v>2339</v>
      </c>
      <c r="U985" s="9">
        <v>10269964.25</v>
      </c>
      <c r="V985" s="6" t="s">
        <v>39</v>
      </c>
      <c r="W985" t="s">
        <v>40</v>
      </c>
      <c r="X985">
        <v>7810687137</v>
      </c>
      <c r="Y985">
        <v>781401001</v>
      </c>
      <c r="Z985" s="3">
        <v>45761.709722222222</v>
      </c>
      <c r="AA985" s="6">
        <v>2025</v>
      </c>
      <c r="AB985" s="1">
        <v>45958</v>
      </c>
    </row>
    <row r="986" spans="1:28" x14ac:dyDescent="0.3">
      <c r="A986" t="s">
        <v>3625</v>
      </c>
      <c r="B986" s="6" t="s">
        <v>964</v>
      </c>
      <c r="C986" s="6" t="s">
        <v>965</v>
      </c>
      <c r="D986">
        <v>7021021653</v>
      </c>
      <c r="E986">
        <v>701701001</v>
      </c>
      <c r="F986" t="s">
        <v>52</v>
      </c>
      <c r="G986" t="s">
        <v>3626</v>
      </c>
      <c r="H986" s="1">
        <v>45748</v>
      </c>
      <c r="J986" s="8">
        <v>45761</v>
      </c>
      <c r="K986" s="1" t="s">
        <v>2872</v>
      </c>
      <c r="L986" t="s">
        <v>3627</v>
      </c>
      <c r="M986" t="s">
        <v>1496</v>
      </c>
      <c r="N986" s="2">
        <v>31228312.5</v>
      </c>
      <c r="O986" t="s">
        <v>3613</v>
      </c>
      <c r="P986" s="6" t="s">
        <v>2277</v>
      </c>
      <c r="R986" t="s">
        <v>38</v>
      </c>
      <c r="S986" s="9">
        <v>3785.25</v>
      </c>
      <c r="T986" s="9">
        <v>5775</v>
      </c>
      <c r="U986" s="9">
        <v>21859818.75</v>
      </c>
      <c r="V986" s="6" t="s">
        <v>3540</v>
      </c>
      <c r="W986" t="s">
        <v>3541</v>
      </c>
      <c r="X986">
        <v>9717130095</v>
      </c>
      <c r="Y986">
        <v>771701001</v>
      </c>
      <c r="Z986" s="3">
        <v>45762.237500000003</v>
      </c>
      <c r="AA986" s="6">
        <v>2025</v>
      </c>
      <c r="AB986" s="1">
        <v>46022</v>
      </c>
    </row>
    <row r="987" spans="1:28" x14ac:dyDescent="0.3">
      <c r="A987" t="s">
        <v>3625</v>
      </c>
      <c r="B987" s="6" t="s">
        <v>964</v>
      </c>
      <c r="C987" s="6" t="s">
        <v>965</v>
      </c>
      <c r="D987">
        <v>7021021653</v>
      </c>
      <c r="E987">
        <v>701701001</v>
      </c>
      <c r="F987" t="s">
        <v>52</v>
      </c>
      <c r="G987" t="s">
        <v>3626</v>
      </c>
      <c r="H987" s="1">
        <v>45748</v>
      </c>
      <c r="J987" s="8">
        <v>45761</v>
      </c>
      <c r="K987" s="1" t="s">
        <v>2872</v>
      </c>
      <c r="L987" t="s">
        <v>3627</v>
      </c>
      <c r="M987" t="s">
        <v>1496</v>
      </c>
      <c r="N987" s="2">
        <v>31228312.5</v>
      </c>
      <c r="O987" t="s">
        <v>3613</v>
      </c>
      <c r="P987" s="6" t="s">
        <v>1814</v>
      </c>
      <c r="R987" t="s">
        <v>38</v>
      </c>
      <c r="S987" s="9">
        <v>3785.25</v>
      </c>
      <c r="T987" s="9">
        <v>2475</v>
      </c>
      <c r="U987" s="9">
        <v>9368493.75</v>
      </c>
      <c r="V987" s="6" t="s">
        <v>3540</v>
      </c>
      <c r="W987" t="s">
        <v>3541</v>
      </c>
      <c r="X987">
        <v>9717130095</v>
      </c>
      <c r="Y987">
        <v>771701001</v>
      </c>
      <c r="Z987" s="3">
        <v>45762.237500000003</v>
      </c>
      <c r="AA987" s="6">
        <v>2025</v>
      </c>
      <c r="AB987" s="1">
        <v>46022</v>
      </c>
    </row>
    <row r="988" spans="1:28" x14ac:dyDescent="0.3">
      <c r="A988" t="s">
        <v>3628</v>
      </c>
      <c r="B988" s="6" t="s">
        <v>1463</v>
      </c>
      <c r="C988" s="6" t="s">
        <v>1257</v>
      </c>
      <c r="D988">
        <v>607000330</v>
      </c>
      <c r="E988">
        <v>60801001</v>
      </c>
      <c r="F988" t="s">
        <v>52</v>
      </c>
      <c r="G988" t="s">
        <v>3629</v>
      </c>
      <c r="H988" s="1">
        <v>45749</v>
      </c>
      <c r="I988" t="s">
        <v>3630</v>
      </c>
      <c r="J988" s="8">
        <v>45761</v>
      </c>
      <c r="K988" s="1" t="s">
        <v>2872</v>
      </c>
      <c r="L988" t="s">
        <v>3631</v>
      </c>
      <c r="M988" t="s">
        <v>3632</v>
      </c>
      <c r="N988" s="2">
        <v>1061867.3999999999</v>
      </c>
      <c r="O988" t="s">
        <v>3633</v>
      </c>
      <c r="P988" s="6" t="s">
        <v>36</v>
      </c>
      <c r="R988" t="s">
        <v>38</v>
      </c>
      <c r="S988" s="9">
        <v>4826.67</v>
      </c>
      <c r="T988" s="9">
        <v>220</v>
      </c>
      <c r="U988" s="9">
        <v>1061867.3999999999</v>
      </c>
      <c r="V988" s="6" t="s">
        <v>111</v>
      </c>
      <c r="W988" t="s">
        <v>59</v>
      </c>
      <c r="X988">
        <v>5262258091</v>
      </c>
      <c r="Y988">
        <v>526201001</v>
      </c>
      <c r="Z988" s="3">
        <v>45761.381944444445</v>
      </c>
      <c r="AA988" s="6">
        <v>2025</v>
      </c>
      <c r="AB988" s="1">
        <v>46021</v>
      </c>
    </row>
    <row r="989" spans="1:28" x14ac:dyDescent="0.3">
      <c r="A989" t="s">
        <v>3634</v>
      </c>
      <c r="B989" s="6" t="s">
        <v>113</v>
      </c>
      <c r="C989" s="6" t="s">
        <v>114</v>
      </c>
      <c r="D989">
        <v>8601035838</v>
      </c>
      <c r="E989">
        <v>860201001</v>
      </c>
      <c r="F989" t="s">
        <v>52</v>
      </c>
      <c r="G989" t="s">
        <v>3635</v>
      </c>
      <c r="H989" s="1">
        <v>45748</v>
      </c>
      <c r="J989" s="8">
        <v>45761</v>
      </c>
      <c r="K989" s="1" t="s">
        <v>2872</v>
      </c>
      <c r="L989" t="s">
        <v>3636</v>
      </c>
      <c r="M989" t="s">
        <v>2616</v>
      </c>
      <c r="N989" s="2">
        <v>80429118.120000005</v>
      </c>
      <c r="O989" t="s">
        <v>3633</v>
      </c>
      <c r="P989" s="6" t="s">
        <v>36</v>
      </c>
      <c r="R989" t="s">
        <v>38</v>
      </c>
      <c r="S989" s="9">
        <v>3770</v>
      </c>
      <c r="T989" s="9">
        <v>21334</v>
      </c>
      <c r="U989" s="9">
        <v>80429118.120000005</v>
      </c>
      <c r="V989" s="6" t="s">
        <v>58</v>
      </c>
      <c r="W989" t="s">
        <v>59</v>
      </c>
      <c r="X989">
        <v>5262222144</v>
      </c>
      <c r="Y989">
        <v>526201001</v>
      </c>
      <c r="Z989" s="3">
        <v>45761.515972222223</v>
      </c>
      <c r="AA989" s="6">
        <v>2025</v>
      </c>
      <c r="AB989" s="1">
        <v>46011</v>
      </c>
    </row>
    <row r="990" spans="1:28" x14ac:dyDescent="0.3">
      <c r="A990" t="s">
        <v>3637</v>
      </c>
      <c r="B990" s="6" t="s">
        <v>602</v>
      </c>
      <c r="C990" s="6" t="s">
        <v>548</v>
      </c>
      <c r="D990">
        <v>1901130110</v>
      </c>
      <c r="E990">
        <v>190101001</v>
      </c>
      <c r="F990" t="s">
        <v>52</v>
      </c>
      <c r="G990" t="s">
        <v>3638</v>
      </c>
      <c r="H990" s="1">
        <v>45748</v>
      </c>
      <c r="J990" s="8">
        <v>45761</v>
      </c>
      <c r="K990" s="1" t="s">
        <v>2872</v>
      </c>
      <c r="L990" t="s">
        <v>3639</v>
      </c>
      <c r="M990" t="s">
        <v>3640</v>
      </c>
      <c r="N990" s="2">
        <v>12302090</v>
      </c>
      <c r="O990" t="s">
        <v>3633</v>
      </c>
      <c r="P990" s="6" t="s">
        <v>36</v>
      </c>
      <c r="R990" t="s">
        <v>38</v>
      </c>
      <c r="S990" s="9">
        <v>4277.5</v>
      </c>
      <c r="T990" s="9">
        <v>2876</v>
      </c>
      <c r="U990" s="9">
        <v>12302090</v>
      </c>
      <c r="V990" s="6" t="s">
        <v>352</v>
      </c>
      <c r="W990" t="s">
        <v>40</v>
      </c>
      <c r="X990">
        <v>7843014747</v>
      </c>
      <c r="Y990">
        <v>781401001</v>
      </c>
      <c r="Z990" s="3">
        <v>45761.336805555555</v>
      </c>
      <c r="AA990" s="6">
        <v>2025</v>
      </c>
      <c r="AB990" s="1">
        <v>45838</v>
      </c>
    </row>
    <row r="991" spans="1:28" x14ac:dyDescent="0.3">
      <c r="A991" t="s">
        <v>3641</v>
      </c>
      <c r="B991" s="6" t="s">
        <v>92</v>
      </c>
      <c r="C991" s="6" t="s">
        <v>93</v>
      </c>
      <c r="D991">
        <v>4501024659</v>
      </c>
      <c r="E991">
        <v>450101001</v>
      </c>
      <c r="F991" t="s">
        <v>52</v>
      </c>
      <c r="G991" t="s">
        <v>3642</v>
      </c>
      <c r="H991" s="1">
        <v>45749</v>
      </c>
      <c r="J991" s="8">
        <v>45761</v>
      </c>
      <c r="K991" s="1" t="s">
        <v>2872</v>
      </c>
      <c r="L991" t="s">
        <v>3642</v>
      </c>
      <c r="M991" t="s">
        <v>2411</v>
      </c>
      <c r="N991" s="2">
        <v>1237500</v>
      </c>
      <c r="O991" t="s">
        <v>3643</v>
      </c>
      <c r="P991" s="6" t="s">
        <v>1814</v>
      </c>
      <c r="R991" t="s">
        <v>38</v>
      </c>
      <c r="S991" s="9">
        <v>4950</v>
      </c>
      <c r="T991" s="9">
        <v>250</v>
      </c>
      <c r="U991" s="9">
        <v>1237500</v>
      </c>
      <c r="V991" s="6" t="s">
        <v>39</v>
      </c>
      <c r="W991" t="s">
        <v>40</v>
      </c>
      <c r="X991">
        <v>7810687137</v>
      </c>
      <c r="Y991">
        <v>781401001</v>
      </c>
      <c r="Z991" s="3">
        <v>45762.475694444445</v>
      </c>
      <c r="AA991" s="6">
        <v>2025</v>
      </c>
      <c r="AB991" s="1">
        <v>45992</v>
      </c>
    </row>
    <row r="992" spans="1:28" x14ac:dyDescent="0.3">
      <c r="A992" t="s">
        <v>3644</v>
      </c>
      <c r="B992" s="6" t="s">
        <v>92</v>
      </c>
      <c r="C992" s="6" t="s">
        <v>93</v>
      </c>
      <c r="D992">
        <v>4501024659</v>
      </c>
      <c r="E992">
        <v>450101001</v>
      </c>
      <c r="F992" t="s">
        <v>52</v>
      </c>
      <c r="G992" t="s">
        <v>3645</v>
      </c>
      <c r="H992" s="1">
        <v>45749</v>
      </c>
      <c r="J992" s="8">
        <v>45761</v>
      </c>
      <c r="K992" s="1" t="s">
        <v>2872</v>
      </c>
      <c r="L992" t="s">
        <v>3645</v>
      </c>
      <c r="M992" t="s">
        <v>2411</v>
      </c>
      <c r="N992" s="2">
        <v>38124900</v>
      </c>
      <c r="O992" t="s">
        <v>3633</v>
      </c>
      <c r="P992" s="6" t="s">
        <v>36</v>
      </c>
      <c r="R992" t="s">
        <v>38</v>
      </c>
      <c r="S992" s="9">
        <v>4950</v>
      </c>
      <c r="T992" s="9">
        <v>7702</v>
      </c>
      <c r="U992" s="9">
        <v>38124900</v>
      </c>
      <c r="V992" s="6" t="s">
        <v>39</v>
      </c>
      <c r="W992" t="s">
        <v>40</v>
      </c>
      <c r="X992">
        <v>7810687137</v>
      </c>
      <c r="Y992">
        <v>781401001</v>
      </c>
      <c r="Z992" s="3">
        <v>45762.474305555559</v>
      </c>
      <c r="AA992" s="6">
        <v>2025</v>
      </c>
      <c r="AB992" s="1">
        <v>45992</v>
      </c>
    </row>
    <row r="993" spans="1:28" x14ac:dyDescent="0.3">
      <c r="A993" t="s">
        <v>3646</v>
      </c>
      <c r="B993" s="6" t="s">
        <v>1145</v>
      </c>
      <c r="C993" s="6" t="s">
        <v>1146</v>
      </c>
      <c r="D993">
        <v>6501024966</v>
      </c>
      <c r="E993">
        <v>650101001</v>
      </c>
      <c r="F993" t="s">
        <v>52</v>
      </c>
      <c r="G993" t="s">
        <v>3647</v>
      </c>
      <c r="H993" s="1">
        <v>45749</v>
      </c>
      <c r="J993" s="8">
        <v>45761</v>
      </c>
      <c r="K993" s="1" t="s">
        <v>2872</v>
      </c>
      <c r="L993" t="s">
        <v>3647</v>
      </c>
      <c r="M993" t="s">
        <v>3502</v>
      </c>
      <c r="N993" s="2">
        <v>15733500</v>
      </c>
      <c r="O993" t="s">
        <v>3648</v>
      </c>
      <c r="P993" s="6" t="s">
        <v>2277</v>
      </c>
      <c r="R993" t="s">
        <v>38</v>
      </c>
      <c r="S993" s="9">
        <v>5100</v>
      </c>
      <c r="T993" s="9">
        <v>3085</v>
      </c>
      <c r="U993" s="9">
        <v>15733500</v>
      </c>
      <c r="V993" s="6" t="s">
        <v>90</v>
      </c>
      <c r="W993" t="s">
        <v>59</v>
      </c>
      <c r="X993">
        <v>5259153331</v>
      </c>
      <c r="Y993">
        <v>525901001</v>
      </c>
      <c r="Z993" s="3">
        <v>45762.131249999999</v>
      </c>
      <c r="AA993" s="6">
        <v>2025</v>
      </c>
      <c r="AB993" s="1">
        <v>45820</v>
      </c>
    </row>
    <row r="994" spans="1:28" x14ac:dyDescent="0.3">
      <c r="A994" t="s">
        <v>3621</v>
      </c>
      <c r="B994" s="6" t="s">
        <v>516</v>
      </c>
      <c r="C994" s="6" t="s">
        <v>517</v>
      </c>
      <c r="D994">
        <v>9204023281</v>
      </c>
      <c r="E994">
        <v>920401001</v>
      </c>
      <c r="F994" t="s">
        <v>52</v>
      </c>
      <c r="G994" t="s">
        <v>3622</v>
      </c>
      <c r="H994" s="1">
        <v>45744</v>
      </c>
      <c r="I994" t="s">
        <v>3592</v>
      </c>
      <c r="J994" s="8">
        <v>45761</v>
      </c>
      <c r="K994" s="1" t="s">
        <v>2872</v>
      </c>
      <c r="L994" t="s">
        <v>3622</v>
      </c>
      <c r="M994" t="s">
        <v>3623</v>
      </c>
      <c r="N994" s="2">
        <v>20544319.25</v>
      </c>
      <c r="O994" t="s">
        <v>3643</v>
      </c>
      <c r="P994" s="6" t="s">
        <v>1814</v>
      </c>
      <c r="R994" t="s">
        <v>38</v>
      </c>
      <c r="S994" s="9">
        <v>4390.75</v>
      </c>
      <c r="T994" s="9">
        <v>2340</v>
      </c>
      <c r="U994" s="9">
        <v>10274355</v>
      </c>
      <c r="V994" s="6" t="s">
        <v>39</v>
      </c>
      <c r="W994" t="s">
        <v>40</v>
      </c>
      <c r="X994">
        <v>7810687137</v>
      </c>
      <c r="Y994">
        <v>781401001</v>
      </c>
      <c r="Z994" s="3">
        <v>45761.709722222222</v>
      </c>
      <c r="AA994" s="6">
        <v>2025</v>
      </c>
      <c r="AB994" s="1">
        <v>45958</v>
      </c>
    </row>
    <row r="995" spans="1:28" x14ac:dyDescent="0.3">
      <c r="A995" t="s">
        <v>3649</v>
      </c>
      <c r="B995" s="6" t="s">
        <v>50</v>
      </c>
      <c r="C995" s="6" t="s">
        <v>51</v>
      </c>
      <c r="D995">
        <v>6832024766</v>
      </c>
      <c r="E995">
        <v>682901001</v>
      </c>
      <c r="F995" t="s">
        <v>52</v>
      </c>
      <c r="G995" t="s">
        <v>3650</v>
      </c>
      <c r="H995" s="1">
        <v>45748</v>
      </c>
      <c r="J995" s="8">
        <v>45761</v>
      </c>
      <c r="K995" s="1" t="s">
        <v>2872</v>
      </c>
      <c r="L995" t="s">
        <v>3650</v>
      </c>
      <c r="M995" t="s">
        <v>3651</v>
      </c>
      <c r="N995" s="2">
        <v>36589655.640000001</v>
      </c>
      <c r="O995" t="s">
        <v>3652</v>
      </c>
      <c r="P995" s="6" t="s">
        <v>36</v>
      </c>
      <c r="R995" t="s">
        <v>38</v>
      </c>
      <c r="S995" s="9">
        <v>3409.08</v>
      </c>
      <c r="T995" s="9">
        <v>10733</v>
      </c>
      <c r="U995" s="9">
        <v>36589655.640000001</v>
      </c>
      <c r="V995" s="6" t="s">
        <v>58</v>
      </c>
      <c r="W995" t="s">
        <v>59</v>
      </c>
      <c r="X995">
        <v>5262222144</v>
      </c>
      <c r="Y995">
        <v>526201001</v>
      </c>
      <c r="Z995" s="3">
        <v>45761.646527777775</v>
      </c>
      <c r="AA995" s="6">
        <v>2025</v>
      </c>
      <c r="AB995" s="1">
        <v>46015</v>
      </c>
    </row>
    <row r="996" spans="1:28" x14ac:dyDescent="0.3">
      <c r="A996" t="s">
        <v>3653</v>
      </c>
      <c r="B996" s="6" t="s">
        <v>50</v>
      </c>
      <c r="C996" s="6" t="s">
        <v>51</v>
      </c>
      <c r="D996">
        <v>6832024766</v>
      </c>
      <c r="E996">
        <v>682901001</v>
      </c>
      <c r="F996" t="s">
        <v>52</v>
      </c>
      <c r="G996" t="s">
        <v>3654</v>
      </c>
      <c r="H996" s="1">
        <v>45748</v>
      </c>
      <c r="J996" s="8">
        <v>45761</v>
      </c>
      <c r="K996" s="1" t="s">
        <v>2872</v>
      </c>
      <c r="L996" t="s">
        <v>3654</v>
      </c>
      <c r="M996" t="s">
        <v>3655</v>
      </c>
      <c r="N996" s="2">
        <v>2019430</v>
      </c>
      <c r="O996" t="s">
        <v>3613</v>
      </c>
      <c r="P996" s="6" t="s">
        <v>2277</v>
      </c>
      <c r="R996" t="s">
        <v>38</v>
      </c>
      <c r="S996" s="9">
        <v>4038.86</v>
      </c>
      <c r="T996" s="9">
        <v>500</v>
      </c>
      <c r="U996" s="9">
        <v>2019430</v>
      </c>
      <c r="V996" s="6" t="s">
        <v>3244</v>
      </c>
      <c r="W996" t="s">
        <v>3245</v>
      </c>
      <c r="X996">
        <v>7733271117</v>
      </c>
      <c r="Y996">
        <v>772201001</v>
      </c>
      <c r="Z996" s="3">
        <v>45761.603472222225</v>
      </c>
      <c r="AA996" s="6">
        <v>2025</v>
      </c>
      <c r="AB996" s="1">
        <v>45933</v>
      </c>
    </row>
    <row r="997" spans="1:28" x14ac:dyDescent="0.3">
      <c r="A997" t="s">
        <v>3656</v>
      </c>
      <c r="B997" s="6" t="s">
        <v>104</v>
      </c>
      <c r="C997" s="6" t="s">
        <v>105</v>
      </c>
      <c r="D997" s="4">
        <v>6660010415</v>
      </c>
      <c r="E997">
        <v>667101001</v>
      </c>
      <c r="F997" t="s">
        <v>52</v>
      </c>
      <c r="G997" t="s">
        <v>3657</v>
      </c>
      <c r="H997" s="1">
        <v>45737</v>
      </c>
      <c r="J997" s="8">
        <v>45761</v>
      </c>
      <c r="K997" s="1" t="s">
        <v>2872</v>
      </c>
      <c r="L997" t="s">
        <v>3658</v>
      </c>
      <c r="M997" t="s">
        <v>377</v>
      </c>
      <c r="N997" s="2">
        <v>49783534.5</v>
      </c>
      <c r="O997" t="s">
        <v>3613</v>
      </c>
      <c r="P997" s="6" t="s">
        <v>2277</v>
      </c>
      <c r="R997" t="s">
        <v>38</v>
      </c>
      <c r="S997" s="9">
        <v>3601.5</v>
      </c>
      <c r="T997" s="9">
        <v>13823</v>
      </c>
      <c r="U997" s="9">
        <v>49783534.5</v>
      </c>
      <c r="V997" s="6" t="s">
        <v>3659</v>
      </c>
      <c r="W997" t="s">
        <v>3660</v>
      </c>
      <c r="X997">
        <v>9705122220</v>
      </c>
      <c r="Y997">
        <v>772201001</v>
      </c>
      <c r="Z997" s="3">
        <v>45762.527777777781</v>
      </c>
      <c r="AA997" s="6">
        <v>2025</v>
      </c>
      <c r="AB997" s="1">
        <v>46022</v>
      </c>
    </row>
    <row r="998" spans="1:28" x14ac:dyDescent="0.3">
      <c r="A998" t="s">
        <v>3661</v>
      </c>
      <c r="B998" s="6" t="s">
        <v>418</v>
      </c>
      <c r="C998" s="6" t="s">
        <v>148</v>
      </c>
      <c r="D998">
        <v>274157821</v>
      </c>
      <c r="E998">
        <v>27401001</v>
      </c>
      <c r="F998" t="s">
        <v>149</v>
      </c>
      <c r="G998" t="s">
        <v>3662</v>
      </c>
      <c r="H998" s="1">
        <v>45756</v>
      </c>
      <c r="J998" s="8">
        <v>45761</v>
      </c>
      <c r="K998" s="1" t="s">
        <v>2872</v>
      </c>
      <c r="L998" t="s">
        <v>3663</v>
      </c>
      <c r="M998" t="s">
        <v>377</v>
      </c>
      <c r="N998" s="2">
        <v>3721500</v>
      </c>
      <c r="O998" t="s">
        <v>3633</v>
      </c>
      <c r="P998" s="6" t="s">
        <v>36</v>
      </c>
      <c r="R998" t="s">
        <v>38</v>
      </c>
      <c r="S998" s="9">
        <v>4500</v>
      </c>
      <c r="T998" s="9">
        <v>827</v>
      </c>
      <c r="U998" s="9">
        <v>3721500</v>
      </c>
      <c r="V998" s="6" t="s">
        <v>128</v>
      </c>
      <c r="W998" t="s">
        <v>129</v>
      </c>
      <c r="X998">
        <v>274110679</v>
      </c>
      <c r="Y998">
        <v>500801001</v>
      </c>
      <c r="Z998" s="3">
        <v>45762.57708333333</v>
      </c>
      <c r="AA998" s="6">
        <v>2025</v>
      </c>
      <c r="AB998" s="1">
        <v>46022</v>
      </c>
    </row>
    <row r="999" spans="1:28" x14ac:dyDescent="0.3">
      <c r="A999" t="s">
        <v>3664</v>
      </c>
      <c r="B999" s="6" t="s">
        <v>3665</v>
      </c>
      <c r="C999" s="6" t="s">
        <v>105</v>
      </c>
      <c r="D999">
        <v>6619002149</v>
      </c>
      <c r="E999">
        <v>661901001</v>
      </c>
      <c r="F999" t="s">
        <v>2712</v>
      </c>
      <c r="G999" t="s">
        <v>3666</v>
      </c>
      <c r="H999" s="1">
        <v>45743</v>
      </c>
      <c r="J999" s="8">
        <v>45761</v>
      </c>
      <c r="K999" s="1" t="s">
        <v>2872</v>
      </c>
      <c r="L999">
        <v>165</v>
      </c>
      <c r="M999" t="s">
        <v>1396</v>
      </c>
      <c r="N999" s="2">
        <v>2583000</v>
      </c>
      <c r="O999" t="s">
        <v>1397</v>
      </c>
      <c r="P999" s="6" t="s">
        <v>36</v>
      </c>
      <c r="R999" t="s">
        <v>48</v>
      </c>
      <c r="S999" s="9">
        <v>3690</v>
      </c>
      <c r="T999" s="9">
        <v>700</v>
      </c>
      <c r="U999" s="9">
        <v>2583000</v>
      </c>
      <c r="V999" s="6" t="s">
        <v>58</v>
      </c>
      <c r="W999" t="s">
        <v>59</v>
      </c>
      <c r="X999">
        <v>5262222144</v>
      </c>
      <c r="Y999">
        <v>526201001</v>
      </c>
      <c r="Z999" s="3"/>
      <c r="AA999" s="6">
        <v>2025</v>
      </c>
      <c r="AB999" s="1">
        <v>46022</v>
      </c>
    </row>
    <row r="1000" spans="1:28" x14ac:dyDescent="0.3">
      <c r="A1000" t="s">
        <v>3667</v>
      </c>
      <c r="B1000" s="6" t="s">
        <v>121</v>
      </c>
      <c r="C1000" s="6" t="s">
        <v>122</v>
      </c>
      <c r="D1000" s="4">
        <v>5402155123</v>
      </c>
      <c r="E1000">
        <v>540201001</v>
      </c>
      <c r="F1000" t="s">
        <v>52</v>
      </c>
      <c r="G1000" t="s">
        <v>3668</v>
      </c>
      <c r="H1000" s="1">
        <v>45750</v>
      </c>
      <c r="I1000" t="s">
        <v>3669</v>
      </c>
      <c r="J1000" s="8">
        <v>45762</v>
      </c>
      <c r="K1000" s="1" t="s">
        <v>2872</v>
      </c>
      <c r="L1000" t="s">
        <v>3670</v>
      </c>
      <c r="M1000" t="s">
        <v>3671</v>
      </c>
      <c r="N1000" s="2">
        <v>34179600</v>
      </c>
      <c r="O1000" t="s">
        <v>3672</v>
      </c>
      <c r="P1000" s="6" t="s">
        <v>36</v>
      </c>
      <c r="R1000" t="s">
        <v>48</v>
      </c>
      <c r="S1000" s="9">
        <v>5200</v>
      </c>
      <c r="T1000" s="9">
        <v>6573</v>
      </c>
      <c r="U1000" s="9">
        <v>34179600</v>
      </c>
      <c r="V1000" s="6" t="s">
        <v>1594</v>
      </c>
      <c r="W1000" t="s">
        <v>59</v>
      </c>
      <c r="X1000">
        <v>7716871971</v>
      </c>
      <c r="Y1000">
        <v>450001001</v>
      </c>
      <c r="Z1000" s="3">
        <v>45763.319444444445</v>
      </c>
      <c r="AA1000" s="6">
        <v>2025</v>
      </c>
      <c r="AB1000" s="1">
        <v>45991</v>
      </c>
    </row>
    <row r="1001" spans="1:28" x14ac:dyDescent="0.3">
      <c r="A1001" t="s">
        <v>3673</v>
      </c>
      <c r="B1001" s="6" t="s">
        <v>917</v>
      </c>
      <c r="C1001" s="6" t="s">
        <v>918</v>
      </c>
      <c r="D1001">
        <v>1325126625</v>
      </c>
      <c r="E1001">
        <v>132601001</v>
      </c>
      <c r="F1001" t="s">
        <v>52</v>
      </c>
      <c r="G1001" t="s">
        <v>3674</v>
      </c>
      <c r="H1001" s="1">
        <v>45751</v>
      </c>
      <c r="J1001" s="8">
        <v>45762</v>
      </c>
      <c r="K1001" s="1" t="s">
        <v>2872</v>
      </c>
      <c r="L1001" t="s">
        <v>3675</v>
      </c>
      <c r="M1001" t="s">
        <v>3676</v>
      </c>
      <c r="N1001" s="2">
        <v>27550000</v>
      </c>
      <c r="O1001" t="s">
        <v>3633</v>
      </c>
      <c r="P1001" s="6" t="s">
        <v>36</v>
      </c>
      <c r="R1001" t="s">
        <v>38</v>
      </c>
      <c r="S1001" s="9">
        <v>3800</v>
      </c>
      <c r="T1001" s="9">
        <v>7250</v>
      </c>
      <c r="U1001" s="9">
        <v>27550000</v>
      </c>
      <c r="V1001" s="6" t="s">
        <v>58</v>
      </c>
      <c r="W1001" t="s">
        <v>59</v>
      </c>
      <c r="X1001">
        <v>5262222144</v>
      </c>
      <c r="Y1001">
        <v>526201001</v>
      </c>
      <c r="Z1001" s="3">
        <v>45762.65347222222</v>
      </c>
      <c r="AA1001" s="6">
        <v>2025</v>
      </c>
      <c r="AB1001" s="1">
        <v>46022</v>
      </c>
    </row>
    <row r="1002" spans="1:28" x14ac:dyDescent="0.3">
      <c r="A1002" t="s">
        <v>3677</v>
      </c>
      <c r="B1002" s="6" t="s">
        <v>1525</v>
      </c>
      <c r="C1002" s="6" t="s">
        <v>164</v>
      </c>
      <c r="D1002">
        <v>7734091519</v>
      </c>
      <c r="E1002">
        <v>773401001</v>
      </c>
      <c r="F1002" t="s">
        <v>52</v>
      </c>
      <c r="G1002" t="s">
        <v>3678</v>
      </c>
      <c r="H1002" s="1">
        <v>45751</v>
      </c>
      <c r="J1002" s="8">
        <v>45762</v>
      </c>
      <c r="K1002" s="1" t="s">
        <v>2872</v>
      </c>
      <c r="L1002" t="s">
        <v>3679</v>
      </c>
      <c r="M1002" t="s">
        <v>3680</v>
      </c>
      <c r="N1002" s="2">
        <v>354199.8</v>
      </c>
      <c r="O1002" t="s">
        <v>3613</v>
      </c>
      <c r="P1002" s="6" t="s">
        <v>36</v>
      </c>
      <c r="R1002" t="s">
        <v>38</v>
      </c>
      <c r="S1002" s="9">
        <v>5903.33</v>
      </c>
      <c r="T1002" s="9">
        <v>60</v>
      </c>
      <c r="U1002" s="9">
        <v>354199.8</v>
      </c>
      <c r="V1002" s="6" t="s">
        <v>1635</v>
      </c>
      <c r="W1002" t="s">
        <v>129</v>
      </c>
      <c r="X1002">
        <v>7721754712</v>
      </c>
      <c r="Y1002">
        <v>502701001</v>
      </c>
      <c r="Z1002" s="3">
        <v>45762.709722222222</v>
      </c>
      <c r="AA1002" s="6">
        <v>2025</v>
      </c>
      <c r="AB1002" s="1">
        <v>45979</v>
      </c>
    </row>
    <row r="1003" spans="1:28" x14ac:dyDescent="0.3">
      <c r="A1003" t="s">
        <v>3681</v>
      </c>
      <c r="B1003" s="6" t="s">
        <v>602</v>
      </c>
      <c r="C1003" s="6" t="s">
        <v>548</v>
      </c>
      <c r="D1003">
        <v>1901130110</v>
      </c>
      <c r="E1003">
        <v>190101001</v>
      </c>
      <c r="F1003" t="s">
        <v>52</v>
      </c>
      <c r="G1003" t="s">
        <v>3682</v>
      </c>
      <c r="H1003" s="1">
        <v>45750</v>
      </c>
      <c r="I1003" t="s">
        <v>3669</v>
      </c>
      <c r="J1003" s="8">
        <v>45762</v>
      </c>
      <c r="K1003" s="1" t="s">
        <v>2872</v>
      </c>
      <c r="L1003" t="s">
        <v>3683</v>
      </c>
      <c r="M1003" t="s">
        <v>3684</v>
      </c>
      <c r="N1003" s="2">
        <v>214133.48</v>
      </c>
      <c r="O1003" t="s">
        <v>3624</v>
      </c>
      <c r="P1003" s="6" t="s">
        <v>891</v>
      </c>
      <c r="Q1003" t="s">
        <v>37</v>
      </c>
      <c r="R1003" t="s">
        <v>38</v>
      </c>
      <c r="S1003" s="9">
        <v>4866.67</v>
      </c>
      <c r="T1003" s="9">
        <v>44</v>
      </c>
      <c r="U1003" s="9">
        <v>214133.48</v>
      </c>
      <c r="V1003" s="6" t="s">
        <v>352</v>
      </c>
      <c r="W1003" t="s">
        <v>40</v>
      </c>
      <c r="X1003">
        <v>7843014747</v>
      </c>
      <c r="Y1003">
        <v>781401001</v>
      </c>
      <c r="Z1003" s="3">
        <v>45762.209027777775</v>
      </c>
      <c r="AA1003" s="6">
        <v>2025</v>
      </c>
      <c r="AB1003" s="1">
        <v>45838</v>
      </c>
    </row>
    <row r="1004" spans="1:28" x14ac:dyDescent="0.3">
      <c r="A1004" t="s">
        <v>3685</v>
      </c>
      <c r="B1004" s="6" t="s">
        <v>857</v>
      </c>
      <c r="C1004" s="6" t="s">
        <v>388</v>
      </c>
      <c r="D1004">
        <v>3808172327</v>
      </c>
      <c r="E1004">
        <v>380801001</v>
      </c>
      <c r="F1004" t="s">
        <v>52</v>
      </c>
      <c r="G1004" t="s">
        <v>3686</v>
      </c>
      <c r="H1004" s="1">
        <v>45751</v>
      </c>
      <c r="I1004" t="s">
        <v>3687</v>
      </c>
      <c r="J1004" s="8">
        <v>45763</v>
      </c>
      <c r="K1004" s="1" t="s">
        <v>2872</v>
      </c>
      <c r="L1004" t="s">
        <v>3688</v>
      </c>
      <c r="M1004" t="s">
        <v>3455</v>
      </c>
      <c r="N1004" s="2">
        <v>36935000</v>
      </c>
      <c r="O1004" t="s">
        <v>3633</v>
      </c>
      <c r="P1004" s="6" t="s">
        <v>36</v>
      </c>
      <c r="R1004" t="s">
        <v>38</v>
      </c>
      <c r="S1004" s="9">
        <v>3693.5</v>
      </c>
      <c r="T1004" s="9">
        <v>10000</v>
      </c>
      <c r="U1004" s="9">
        <v>36935000</v>
      </c>
      <c r="V1004" s="6" t="s">
        <v>58</v>
      </c>
      <c r="W1004" t="s">
        <v>59</v>
      </c>
      <c r="X1004">
        <v>5262222144</v>
      </c>
      <c r="Y1004">
        <v>526201001</v>
      </c>
      <c r="Z1004" s="3">
        <v>45764.396527777775</v>
      </c>
      <c r="AA1004" s="6">
        <v>2025</v>
      </c>
      <c r="AB1004" s="1">
        <v>46022</v>
      </c>
    </row>
    <row r="1005" spans="1:28" x14ac:dyDescent="0.3">
      <c r="A1005" t="s">
        <v>3689</v>
      </c>
      <c r="B1005" s="6" t="s">
        <v>361</v>
      </c>
      <c r="C1005" s="6" t="s">
        <v>164</v>
      </c>
      <c r="D1005" s="4">
        <v>7714338609</v>
      </c>
      <c r="E1005">
        <v>771401001</v>
      </c>
      <c r="F1005" t="s">
        <v>94</v>
      </c>
      <c r="G1005" t="s">
        <v>3690</v>
      </c>
      <c r="H1005" s="1">
        <v>45758</v>
      </c>
      <c r="J1005" s="8">
        <v>45763</v>
      </c>
      <c r="K1005" s="1" t="s">
        <v>2872</v>
      </c>
      <c r="L1005" t="s">
        <v>3691</v>
      </c>
      <c r="M1005" t="s">
        <v>3692</v>
      </c>
      <c r="N1005" s="2">
        <v>17589000</v>
      </c>
      <c r="O1005" t="s">
        <v>3633</v>
      </c>
      <c r="P1005" s="6" t="s">
        <v>36</v>
      </c>
      <c r="R1005" t="s">
        <v>38</v>
      </c>
      <c r="S1005" s="9">
        <v>3000</v>
      </c>
      <c r="T1005" s="9">
        <v>5863</v>
      </c>
      <c r="U1005" s="9">
        <v>17589000</v>
      </c>
      <c r="V1005" s="6" t="s">
        <v>128</v>
      </c>
      <c r="W1005" t="s">
        <v>129</v>
      </c>
      <c r="X1005">
        <v>274110679</v>
      </c>
      <c r="Y1005">
        <v>500801001</v>
      </c>
      <c r="Z1005" s="3">
        <v>45764.62777777778</v>
      </c>
      <c r="AA1005" s="6">
        <v>2025</v>
      </c>
      <c r="AB1005" s="1">
        <v>46022</v>
      </c>
    </row>
    <row r="1006" spans="1:28" x14ac:dyDescent="0.3">
      <c r="A1006" t="s">
        <v>3693</v>
      </c>
      <c r="B1006" s="6" t="s">
        <v>1424</v>
      </c>
      <c r="C1006" s="6" t="s">
        <v>132</v>
      </c>
      <c r="D1006">
        <v>6027024000</v>
      </c>
      <c r="E1006">
        <v>602701001</v>
      </c>
      <c r="F1006" t="s">
        <v>149</v>
      </c>
      <c r="G1006" t="s">
        <v>3694</v>
      </c>
      <c r="H1006" s="1">
        <v>45758</v>
      </c>
      <c r="J1006" s="8">
        <v>45763</v>
      </c>
      <c r="K1006" s="1" t="s">
        <v>2872</v>
      </c>
      <c r="L1006" t="s">
        <v>3695</v>
      </c>
      <c r="M1006" t="s">
        <v>377</v>
      </c>
      <c r="N1006" s="2">
        <v>3915100</v>
      </c>
      <c r="O1006" t="s">
        <v>3633</v>
      </c>
      <c r="P1006" s="6" t="s">
        <v>36</v>
      </c>
      <c r="R1006" t="s">
        <v>38</v>
      </c>
      <c r="S1006" s="9">
        <v>4900</v>
      </c>
      <c r="T1006" s="9">
        <v>799</v>
      </c>
      <c r="U1006" s="9">
        <v>3915100</v>
      </c>
      <c r="V1006" s="6" t="s">
        <v>39</v>
      </c>
      <c r="W1006" t="s">
        <v>40</v>
      </c>
      <c r="X1006">
        <v>7810687137</v>
      </c>
      <c r="Y1006">
        <v>781401001</v>
      </c>
      <c r="Z1006" s="3">
        <v>45764.408333333333</v>
      </c>
      <c r="AA1006" s="6">
        <v>2025</v>
      </c>
      <c r="AB1006" s="1">
        <v>45838</v>
      </c>
    </row>
    <row r="1007" spans="1:28" x14ac:dyDescent="0.3">
      <c r="A1007" t="s">
        <v>3696</v>
      </c>
      <c r="B1007" s="6" t="s">
        <v>234</v>
      </c>
      <c r="C1007" s="6" t="s">
        <v>235</v>
      </c>
      <c r="D1007">
        <v>1501024759</v>
      </c>
      <c r="E1007">
        <v>151601001</v>
      </c>
      <c r="F1007" t="s">
        <v>52</v>
      </c>
      <c r="G1007" t="s">
        <v>3697</v>
      </c>
      <c r="H1007" s="1">
        <v>45749</v>
      </c>
      <c r="J1007" s="8">
        <v>45763</v>
      </c>
      <c r="K1007" s="1" t="s">
        <v>2872</v>
      </c>
      <c r="L1007" t="s">
        <v>3697</v>
      </c>
      <c r="M1007" t="s">
        <v>3698</v>
      </c>
      <c r="N1007" s="2">
        <v>3217366.86</v>
      </c>
      <c r="O1007" t="s">
        <v>3633</v>
      </c>
      <c r="P1007" s="6" t="s">
        <v>36</v>
      </c>
      <c r="R1007" t="s">
        <v>38</v>
      </c>
      <c r="S1007" s="9">
        <v>3986.82</v>
      </c>
      <c r="T1007" s="9">
        <v>807</v>
      </c>
      <c r="U1007" s="9">
        <v>3217366.86</v>
      </c>
      <c r="V1007" s="6" t="s">
        <v>352</v>
      </c>
      <c r="W1007" t="s">
        <v>40</v>
      </c>
      <c r="X1007">
        <v>7843014747</v>
      </c>
      <c r="Y1007">
        <v>781401001</v>
      </c>
      <c r="Z1007" s="3">
        <v>45763.724999999999</v>
      </c>
      <c r="AA1007" s="6">
        <v>2025</v>
      </c>
      <c r="AB1007" s="1">
        <v>46022</v>
      </c>
    </row>
    <row r="1008" spans="1:28" x14ac:dyDescent="0.3">
      <c r="A1008" t="s">
        <v>3699</v>
      </c>
      <c r="B1008" s="6" t="s">
        <v>959</v>
      </c>
      <c r="C1008" s="6" t="s">
        <v>960</v>
      </c>
      <c r="D1008">
        <v>105023439</v>
      </c>
      <c r="E1008">
        <v>10501001</v>
      </c>
      <c r="F1008" t="s">
        <v>52</v>
      </c>
      <c r="G1008" t="s">
        <v>3700</v>
      </c>
      <c r="H1008" s="1">
        <v>45751</v>
      </c>
      <c r="J1008" s="8">
        <v>45763</v>
      </c>
      <c r="K1008" s="1" t="s">
        <v>2872</v>
      </c>
      <c r="L1008" t="s">
        <v>3701</v>
      </c>
      <c r="M1008" t="s">
        <v>3702</v>
      </c>
      <c r="N1008" s="2">
        <v>18619446.899999999</v>
      </c>
      <c r="O1008" t="s">
        <v>3633</v>
      </c>
      <c r="P1008" s="6" t="s">
        <v>36</v>
      </c>
      <c r="R1008" t="s">
        <v>38</v>
      </c>
      <c r="S1008" s="9">
        <v>3732.1</v>
      </c>
      <c r="T1008" s="9">
        <v>4937</v>
      </c>
      <c r="U1008" s="9">
        <v>18425377.699999999</v>
      </c>
      <c r="V1008" s="6" t="s">
        <v>39</v>
      </c>
      <c r="W1008" t="s">
        <v>40</v>
      </c>
      <c r="X1008">
        <v>7810687137</v>
      </c>
      <c r="Y1008">
        <v>781401001</v>
      </c>
      <c r="Z1008" s="3">
        <v>45764.422222222223</v>
      </c>
      <c r="AA1008" s="6">
        <v>2025</v>
      </c>
      <c r="AB1008" s="1">
        <v>46022</v>
      </c>
    </row>
    <row r="1009" spans="1:28" x14ac:dyDescent="0.3">
      <c r="A1009" t="s">
        <v>3703</v>
      </c>
      <c r="B1009" s="6" t="s">
        <v>3704</v>
      </c>
      <c r="C1009" s="6" t="s">
        <v>640</v>
      </c>
      <c r="D1009">
        <v>6902010174</v>
      </c>
      <c r="E1009">
        <v>695201001</v>
      </c>
      <c r="F1009" t="s">
        <v>149</v>
      </c>
      <c r="G1009" t="s">
        <v>3705</v>
      </c>
      <c r="H1009" s="1">
        <v>45758</v>
      </c>
      <c r="J1009" s="8">
        <v>45763</v>
      </c>
      <c r="K1009" s="1" t="s">
        <v>2872</v>
      </c>
      <c r="L1009" t="s">
        <v>3706</v>
      </c>
      <c r="M1009" t="s">
        <v>377</v>
      </c>
      <c r="N1009" s="2">
        <v>180000</v>
      </c>
      <c r="O1009" t="s">
        <v>3613</v>
      </c>
      <c r="P1009" s="6" t="s">
        <v>36</v>
      </c>
      <c r="R1009" t="s">
        <v>38</v>
      </c>
      <c r="S1009" s="9">
        <v>4500</v>
      </c>
      <c r="T1009" s="9">
        <v>40</v>
      </c>
      <c r="U1009" s="9">
        <v>180000</v>
      </c>
      <c r="V1009" s="6" t="s">
        <v>58</v>
      </c>
      <c r="W1009" t="s">
        <v>59</v>
      </c>
      <c r="X1009">
        <v>5262222144</v>
      </c>
      <c r="Y1009">
        <v>526201001</v>
      </c>
      <c r="Z1009" s="3">
        <v>45763.696527777778</v>
      </c>
      <c r="AA1009" s="6">
        <v>2025</v>
      </c>
      <c r="AB1009" s="1">
        <v>45810</v>
      </c>
    </row>
    <row r="1010" spans="1:28" x14ac:dyDescent="0.3">
      <c r="A1010" t="s">
        <v>3699</v>
      </c>
      <c r="B1010" s="6" t="s">
        <v>959</v>
      </c>
      <c r="C1010" s="6" t="s">
        <v>960</v>
      </c>
      <c r="D1010" s="4" t="s">
        <v>3707</v>
      </c>
      <c r="E1010">
        <v>10501001</v>
      </c>
      <c r="F1010" t="s">
        <v>52</v>
      </c>
      <c r="G1010" t="s">
        <v>3700</v>
      </c>
      <c r="H1010" s="1">
        <v>45751</v>
      </c>
      <c r="J1010" s="8">
        <v>45763</v>
      </c>
      <c r="K1010" s="1" t="s">
        <v>2872</v>
      </c>
      <c r="L1010" t="s">
        <v>3701</v>
      </c>
      <c r="M1010" t="s">
        <v>3702</v>
      </c>
      <c r="N1010" s="2">
        <v>18619446.899999999</v>
      </c>
      <c r="O1010" t="s">
        <v>3624</v>
      </c>
      <c r="P1010" s="6" t="s">
        <v>891</v>
      </c>
      <c r="Q1010" t="s">
        <v>37</v>
      </c>
      <c r="R1010" t="s">
        <v>38</v>
      </c>
      <c r="S1010" s="9">
        <v>3732.1</v>
      </c>
      <c r="T1010" s="9">
        <v>52</v>
      </c>
      <c r="U1010" s="9">
        <v>194069.2</v>
      </c>
      <c r="V1010" s="6" t="s">
        <v>39</v>
      </c>
      <c r="W1010" t="s">
        <v>40</v>
      </c>
      <c r="X1010">
        <v>7810687137</v>
      </c>
      <c r="Y1010">
        <v>781401001</v>
      </c>
      <c r="Z1010" s="3">
        <v>45764.422222222223</v>
      </c>
      <c r="AA1010" s="6">
        <v>2025</v>
      </c>
      <c r="AB1010" s="1">
        <v>46022</v>
      </c>
    </row>
    <row r="1011" spans="1:28" x14ac:dyDescent="0.3">
      <c r="A1011" t="s">
        <v>3708</v>
      </c>
      <c r="B1011" s="6" t="s">
        <v>29</v>
      </c>
      <c r="C1011" s="6" t="s">
        <v>30</v>
      </c>
      <c r="D1011">
        <v>3201000327</v>
      </c>
      <c r="E1011">
        <v>325701001</v>
      </c>
      <c r="F1011" t="s">
        <v>44</v>
      </c>
      <c r="G1011">
        <v>0</v>
      </c>
      <c r="J1011" s="8">
        <v>45764</v>
      </c>
      <c r="K1011" s="1" t="s">
        <v>2872</v>
      </c>
      <c r="L1011" t="s">
        <v>3709</v>
      </c>
      <c r="M1011" t="s">
        <v>3710</v>
      </c>
      <c r="N1011" s="2">
        <v>4734400</v>
      </c>
      <c r="O1011" t="s">
        <v>3613</v>
      </c>
      <c r="P1011" s="6" t="s">
        <v>36</v>
      </c>
      <c r="R1011" t="s">
        <v>38</v>
      </c>
      <c r="S1011" s="9">
        <v>4400</v>
      </c>
      <c r="T1011" s="9">
        <v>1076</v>
      </c>
      <c r="U1011" s="9">
        <v>4734400</v>
      </c>
      <c r="V1011" s="6" t="s">
        <v>39</v>
      </c>
      <c r="W1011" t="s">
        <v>40</v>
      </c>
      <c r="X1011">
        <v>7810687137</v>
      </c>
      <c r="Y1011">
        <v>781401001</v>
      </c>
      <c r="Z1011" s="3">
        <v>45764.386111111111</v>
      </c>
      <c r="AA1011" s="6">
        <v>2025</v>
      </c>
      <c r="AB1011" s="1">
        <v>46022</v>
      </c>
    </row>
    <row r="1012" spans="1:28" x14ac:dyDescent="0.3">
      <c r="A1012" s="6" t="s">
        <v>3711</v>
      </c>
      <c r="B1012" s="6" t="s">
        <v>2227</v>
      </c>
      <c r="C1012" s="6" t="s">
        <v>395</v>
      </c>
      <c r="D1012" s="7">
        <v>7202070194</v>
      </c>
      <c r="E1012" s="6">
        <v>720301001</v>
      </c>
      <c r="F1012" s="6" t="s">
        <v>52</v>
      </c>
      <c r="G1012" s="6" t="s">
        <v>3712</v>
      </c>
      <c r="H1012" s="8">
        <v>45751</v>
      </c>
      <c r="I1012" s="6" t="s">
        <v>3687</v>
      </c>
      <c r="J1012" s="8">
        <v>45764</v>
      </c>
      <c r="K1012" s="8" t="s">
        <v>2872</v>
      </c>
      <c r="L1012" s="6" t="s">
        <v>3713</v>
      </c>
      <c r="M1012" s="6" t="s">
        <v>3714</v>
      </c>
      <c r="N1012" s="9"/>
      <c r="O1012" s="10" t="s">
        <v>3715</v>
      </c>
      <c r="P1012" s="6" t="s">
        <v>1814</v>
      </c>
      <c r="Q1012" s="6"/>
      <c r="R1012" s="6" t="s">
        <v>38</v>
      </c>
      <c r="V1012" s="6" t="s">
        <v>1815</v>
      </c>
      <c r="W1012" s="6" t="s">
        <v>1816</v>
      </c>
      <c r="X1012" s="6">
        <v>7708813060</v>
      </c>
      <c r="Y1012" s="6">
        <v>770801001</v>
      </c>
      <c r="Z1012" s="11">
        <v>45764.537499999999</v>
      </c>
      <c r="AA1012" s="6">
        <v>2025</v>
      </c>
      <c r="AB1012" s="8">
        <v>46022</v>
      </c>
    </row>
    <row r="1013" spans="1:28" x14ac:dyDescent="0.3">
      <c r="A1013" t="s">
        <v>3716</v>
      </c>
      <c r="B1013" s="6" t="s">
        <v>865</v>
      </c>
      <c r="C1013" s="6" t="s">
        <v>246</v>
      </c>
      <c r="D1013">
        <v>7105008306</v>
      </c>
      <c r="E1013">
        <v>710501001</v>
      </c>
      <c r="F1013" t="s">
        <v>149</v>
      </c>
      <c r="G1013" t="s">
        <v>3717</v>
      </c>
      <c r="H1013" s="1">
        <v>45761</v>
      </c>
      <c r="J1013" s="8">
        <v>45764</v>
      </c>
      <c r="K1013" s="1" t="s">
        <v>2872</v>
      </c>
      <c r="L1013" t="s">
        <v>3718</v>
      </c>
      <c r="M1013" t="s">
        <v>377</v>
      </c>
      <c r="N1013" s="2">
        <v>705000</v>
      </c>
      <c r="O1013" t="s">
        <v>3613</v>
      </c>
      <c r="P1013" s="6" t="s">
        <v>36</v>
      </c>
      <c r="R1013" t="s">
        <v>38</v>
      </c>
      <c r="S1013" s="9">
        <v>4700</v>
      </c>
      <c r="T1013" s="9">
        <v>150</v>
      </c>
      <c r="U1013" s="9">
        <v>705000</v>
      </c>
      <c r="V1013" s="6" t="s">
        <v>868</v>
      </c>
      <c r="W1013" t="s">
        <v>252</v>
      </c>
      <c r="X1013">
        <v>7107519730</v>
      </c>
      <c r="Y1013">
        <v>710701001</v>
      </c>
      <c r="Z1013" s="3">
        <v>45764.614583333336</v>
      </c>
      <c r="AA1013" s="6">
        <v>2025</v>
      </c>
      <c r="AB1013" s="1">
        <v>45869</v>
      </c>
    </row>
    <row r="1014" spans="1:28" x14ac:dyDescent="0.3">
      <c r="A1014" t="s">
        <v>3719</v>
      </c>
      <c r="B1014" s="6" t="s">
        <v>501</v>
      </c>
      <c r="C1014" s="6" t="s">
        <v>502</v>
      </c>
      <c r="D1014">
        <v>6318197367</v>
      </c>
      <c r="E1014">
        <v>631801001</v>
      </c>
      <c r="F1014" t="s">
        <v>52</v>
      </c>
      <c r="G1014" t="s">
        <v>3720</v>
      </c>
      <c r="H1014" s="1">
        <v>45750</v>
      </c>
      <c r="I1014" t="s">
        <v>3669</v>
      </c>
      <c r="J1014" s="8">
        <v>45764</v>
      </c>
      <c r="K1014" s="1" t="s">
        <v>2872</v>
      </c>
      <c r="L1014" t="s">
        <v>3721</v>
      </c>
      <c r="M1014" t="s">
        <v>3722</v>
      </c>
      <c r="N1014" s="2">
        <v>33749298</v>
      </c>
      <c r="O1014" t="s">
        <v>3613</v>
      </c>
      <c r="P1014" s="6" t="s">
        <v>2277</v>
      </c>
      <c r="R1014" t="s">
        <v>38</v>
      </c>
      <c r="S1014" s="9">
        <v>2889</v>
      </c>
      <c r="T1014" s="9">
        <v>11682</v>
      </c>
      <c r="U1014" s="9">
        <v>33749298</v>
      </c>
      <c r="V1014" s="6" t="s">
        <v>251</v>
      </c>
      <c r="W1014" t="s">
        <v>252</v>
      </c>
      <c r="X1014">
        <v>5027262517</v>
      </c>
      <c r="Y1014">
        <v>502701001</v>
      </c>
      <c r="Z1014" s="3">
        <v>45765.307638888888</v>
      </c>
      <c r="AA1014" s="6">
        <v>2025</v>
      </c>
      <c r="AB1014" s="1">
        <v>46022</v>
      </c>
    </row>
    <row r="1015" spans="1:28" x14ac:dyDescent="0.3">
      <c r="A1015" t="s">
        <v>3723</v>
      </c>
      <c r="B1015" s="6" t="s">
        <v>538</v>
      </c>
      <c r="C1015" s="6" t="s">
        <v>539</v>
      </c>
      <c r="D1015">
        <v>7808043833</v>
      </c>
      <c r="E1015">
        <v>784101001</v>
      </c>
      <c r="F1015" t="s">
        <v>94</v>
      </c>
      <c r="G1015" t="s">
        <v>3724</v>
      </c>
      <c r="H1015" s="1">
        <v>45761</v>
      </c>
      <c r="J1015" s="8">
        <v>45764</v>
      </c>
      <c r="K1015" s="1" t="s">
        <v>2872</v>
      </c>
      <c r="L1015" t="s">
        <v>3724</v>
      </c>
      <c r="M1015" t="s">
        <v>3725</v>
      </c>
      <c r="N1015" s="2">
        <v>5760000</v>
      </c>
      <c r="O1015" t="s">
        <v>3643</v>
      </c>
      <c r="P1015" s="6" t="s">
        <v>1814</v>
      </c>
      <c r="Q1015" t="s">
        <v>37</v>
      </c>
      <c r="R1015" t="s">
        <v>38</v>
      </c>
      <c r="S1015" s="9">
        <v>4800</v>
      </c>
      <c r="T1015" s="9">
        <v>600</v>
      </c>
      <c r="U1015" s="9">
        <v>2880000</v>
      </c>
      <c r="V1015" s="6" t="s">
        <v>39</v>
      </c>
      <c r="W1015" t="s">
        <v>40</v>
      </c>
      <c r="X1015">
        <v>7810687137</v>
      </c>
      <c r="Y1015">
        <v>781401001</v>
      </c>
      <c r="Z1015" s="3">
        <v>45765.472916666666</v>
      </c>
      <c r="AA1015" s="6">
        <v>2025</v>
      </c>
      <c r="AB1015" s="1">
        <v>46022</v>
      </c>
    </row>
    <row r="1016" spans="1:28" x14ac:dyDescent="0.3">
      <c r="A1016" t="s">
        <v>3723</v>
      </c>
      <c r="B1016" s="6" t="s">
        <v>538</v>
      </c>
      <c r="C1016" s="6" t="s">
        <v>539</v>
      </c>
      <c r="D1016">
        <v>7808043833</v>
      </c>
      <c r="E1016">
        <v>784101001</v>
      </c>
      <c r="F1016" t="s">
        <v>94</v>
      </c>
      <c r="G1016" t="s">
        <v>3724</v>
      </c>
      <c r="H1016" s="1">
        <v>45761</v>
      </c>
      <c r="J1016" s="8">
        <v>45764</v>
      </c>
      <c r="K1016" s="1" t="s">
        <v>2872</v>
      </c>
      <c r="L1016" t="s">
        <v>3724</v>
      </c>
      <c r="M1016" t="s">
        <v>3725</v>
      </c>
      <c r="N1016" s="2">
        <v>5760000</v>
      </c>
      <c r="O1016" t="s">
        <v>3624</v>
      </c>
      <c r="P1016" s="6" t="s">
        <v>891</v>
      </c>
      <c r="Q1016" t="s">
        <v>37</v>
      </c>
      <c r="R1016" t="s">
        <v>38</v>
      </c>
      <c r="S1016" s="9">
        <v>4800</v>
      </c>
      <c r="T1016" s="9">
        <v>600</v>
      </c>
      <c r="U1016" s="9">
        <v>2880000</v>
      </c>
      <c r="V1016" s="6" t="s">
        <v>39</v>
      </c>
      <c r="W1016" t="s">
        <v>40</v>
      </c>
      <c r="X1016">
        <v>7810687137</v>
      </c>
      <c r="Y1016">
        <v>781401001</v>
      </c>
      <c r="Z1016" s="3">
        <v>45765.472916666666</v>
      </c>
      <c r="AA1016" s="6">
        <v>2025</v>
      </c>
      <c r="AB1016" s="1">
        <v>46022</v>
      </c>
    </row>
    <row r="1017" spans="1:28" x14ac:dyDescent="0.3">
      <c r="A1017" s="4" t="s">
        <v>3726</v>
      </c>
      <c r="B1017" s="6" t="s">
        <v>857</v>
      </c>
      <c r="C1017" s="6" t="s">
        <v>388</v>
      </c>
      <c r="D1017">
        <v>3808172327</v>
      </c>
      <c r="E1017">
        <v>380801001</v>
      </c>
      <c r="F1017" t="s">
        <v>52</v>
      </c>
      <c r="G1017" t="s">
        <v>3727</v>
      </c>
      <c r="H1017" s="1">
        <v>45750</v>
      </c>
      <c r="I1017" t="s">
        <v>3669</v>
      </c>
      <c r="J1017" s="8">
        <v>45765</v>
      </c>
      <c r="K1017" s="1" t="s">
        <v>2872</v>
      </c>
      <c r="L1017" t="s">
        <v>3728</v>
      </c>
      <c r="M1017" t="s">
        <v>3455</v>
      </c>
      <c r="N1017" s="12">
        <v>103708500</v>
      </c>
      <c r="O1017" t="s">
        <v>3613</v>
      </c>
      <c r="P1017" s="6" t="s">
        <v>2277</v>
      </c>
      <c r="R1017" t="s">
        <v>38</v>
      </c>
      <c r="S1017" s="9">
        <v>4067</v>
      </c>
      <c r="T1017" s="9">
        <v>25500</v>
      </c>
      <c r="U1017" s="9">
        <v>103708500</v>
      </c>
      <c r="V1017" s="6" t="s">
        <v>3729</v>
      </c>
      <c r="W1017" t="s">
        <v>2277</v>
      </c>
      <c r="X1017">
        <v>890408896336</v>
      </c>
      <c r="Z1017" s="3">
        <v>45768.270833333336</v>
      </c>
      <c r="AA1017" s="6">
        <v>2025</v>
      </c>
      <c r="AB1017" s="1">
        <v>46022</v>
      </c>
    </row>
    <row r="1018" spans="1:28" x14ac:dyDescent="0.3">
      <c r="A1018" t="s">
        <v>3730</v>
      </c>
      <c r="B1018" s="6" t="s">
        <v>924</v>
      </c>
      <c r="C1018" s="6" t="s">
        <v>925</v>
      </c>
      <c r="D1018">
        <v>4205349664</v>
      </c>
      <c r="E1018">
        <v>420501001</v>
      </c>
      <c r="F1018" t="s">
        <v>94</v>
      </c>
      <c r="G1018" t="s">
        <v>3731</v>
      </c>
      <c r="H1018" s="1">
        <v>45762</v>
      </c>
      <c r="J1018" s="8">
        <v>45765</v>
      </c>
      <c r="K1018" s="1" t="s">
        <v>2872</v>
      </c>
      <c r="L1018" t="s">
        <v>3732</v>
      </c>
      <c r="M1018" t="s">
        <v>179</v>
      </c>
      <c r="N1018" s="12">
        <v>1651860</v>
      </c>
      <c r="O1018" t="s">
        <v>3633</v>
      </c>
      <c r="P1018" s="6" t="s">
        <v>36</v>
      </c>
      <c r="R1018" t="s">
        <v>38</v>
      </c>
      <c r="S1018" s="9">
        <v>3780</v>
      </c>
      <c r="T1018" s="9">
        <v>437</v>
      </c>
      <c r="U1018" s="9">
        <v>1651860</v>
      </c>
      <c r="V1018" s="6" t="s">
        <v>111</v>
      </c>
      <c r="W1018" t="s">
        <v>59</v>
      </c>
      <c r="X1018">
        <v>5262258091</v>
      </c>
      <c r="Y1018">
        <v>526201001</v>
      </c>
      <c r="Z1018" s="3">
        <v>45768.248611111114</v>
      </c>
      <c r="AA1018" s="6">
        <v>2025</v>
      </c>
      <c r="AB1018" s="1">
        <v>46022</v>
      </c>
    </row>
    <row r="1019" spans="1:28" x14ac:dyDescent="0.3">
      <c r="A1019" t="s">
        <v>3733</v>
      </c>
      <c r="B1019" s="6" t="s">
        <v>1088</v>
      </c>
      <c r="C1019" s="6" t="s">
        <v>355</v>
      </c>
      <c r="D1019" s="4">
        <v>2466212607</v>
      </c>
      <c r="E1019">
        <v>246601001</v>
      </c>
      <c r="F1019" t="s">
        <v>52</v>
      </c>
      <c r="G1019" t="s">
        <v>3734</v>
      </c>
      <c r="H1019" s="1">
        <v>45754</v>
      </c>
      <c r="I1019" t="s">
        <v>3735</v>
      </c>
      <c r="J1019" s="8">
        <v>45765</v>
      </c>
      <c r="K1019" s="1" t="s">
        <v>2872</v>
      </c>
      <c r="L1019" t="s">
        <v>3736</v>
      </c>
      <c r="M1019" t="s">
        <v>3737</v>
      </c>
      <c r="N1019" s="2">
        <v>84386471.439999998</v>
      </c>
      <c r="O1019" t="s">
        <v>3633</v>
      </c>
      <c r="P1019" s="6" t="s">
        <v>36</v>
      </c>
      <c r="R1019" t="s">
        <v>38</v>
      </c>
      <c r="S1019" s="9">
        <v>4275.33</v>
      </c>
      <c r="T1019" s="9">
        <v>19738</v>
      </c>
      <c r="U1019" s="9">
        <v>84386471.439999998</v>
      </c>
      <c r="V1019" s="6" t="s">
        <v>39</v>
      </c>
      <c r="W1019" t="s">
        <v>40</v>
      </c>
      <c r="X1019">
        <v>7810687137</v>
      </c>
      <c r="Y1019">
        <v>781401001</v>
      </c>
      <c r="Z1019" s="3">
        <v>45765.45208333333</v>
      </c>
      <c r="AA1019" s="6">
        <v>2025</v>
      </c>
      <c r="AB1019" s="1">
        <v>46021</v>
      </c>
    </row>
    <row r="1020" spans="1:28" x14ac:dyDescent="0.3">
      <c r="A1020" t="s">
        <v>3738</v>
      </c>
      <c r="B1020" s="6" t="s">
        <v>801</v>
      </c>
      <c r="C1020" s="6" t="s">
        <v>802</v>
      </c>
      <c r="D1020">
        <v>1701052707</v>
      </c>
      <c r="E1020">
        <v>170101001</v>
      </c>
      <c r="F1020" t="s">
        <v>52</v>
      </c>
      <c r="G1020" t="s">
        <v>3739</v>
      </c>
      <c r="H1020" s="1">
        <v>45751</v>
      </c>
      <c r="I1020" t="s">
        <v>3687</v>
      </c>
      <c r="J1020" s="8">
        <v>45765</v>
      </c>
      <c r="K1020" s="1" t="s">
        <v>2872</v>
      </c>
      <c r="L1020" t="s">
        <v>3740</v>
      </c>
      <c r="M1020" t="s">
        <v>3741</v>
      </c>
      <c r="N1020" s="2">
        <v>7990198.8799999999</v>
      </c>
      <c r="O1020" t="s">
        <v>3633</v>
      </c>
      <c r="P1020" s="6" t="s">
        <v>36</v>
      </c>
      <c r="R1020" t="s">
        <v>38</v>
      </c>
      <c r="S1020" s="9">
        <v>4944.43</v>
      </c>
      <c r="T1020" s="9">
        <v>1616</v>
      </c>
      <c r="U1020" s="9">
        <v>7990198.8799999999</v>
      </c>
      <c r="V1020" s="6" t="s">
        <v>39</v>
      </c>
      <c r="W1020" t="s">
        <v>40</v>
      </c>
      <c r="X1020">
        <v>7810687137</v>
      </c>
      <c r="Y1020">
        <v>781401001</v>
      </c>
      <c r="Z1020" s="3">
        <v>45765.25</v>
      </c>
      <c r="AA1020" s="6">
        <v>2025</v>
      </c>
      <c r="AB1020" s="1">
        <v>46022</v>
      </c>
    </row>
    <row r="1021" spans="1:28" x14ac:dyDescent="0.3">
      <c r="A1021" t="s">
        <v>3742</v>
      </c>
      <c r="B1021" s="6" t="s">
        <v>1399</v>
      </c>
      <c r="C1021" s="6" t="s">
        <v>93</v>
      </c>
      <c r="D1021" s="4">
        <v>4501025099</v>
      </c>
      <c r="E1021">
        <v>450101001</v>
      </c>
      <c r="F1021" t="s">
        <v>52</v>
      </c>
      <c r="G1021" t="s">
        <v>3743</v>
      </c>
      <c r="H1021" s="1">
        <v>45754</v>
      </c>
      <c r="I1021" t="s">
        <v>3735</v>
      </c>
      <c r="J1021" s="8">
        <v>45765</v>
      </c>
      <c r="K1021" s="1" t="s">
        <v>2872</v>
      </c>
      <c r="L1021" t="s">
        <v>3744</v>
      </c>
      <c r="M1021" t="s">
        <v>1553</v>
      </c>
      <c r="N1021" s="12">
        <v>19677240</v>
      </c>
      <c r="O1021" t="s">
        <v>3745</v>
      </c>
      <c r="P1021" s="6" t="s">
        <v>2277</v>
      </c>
      <c r="R1021" t="s">
        <v>38</v>
      </c>
      <c r="S1021" s="9">
        <v>3960</v>
      </c>
      <c r="T1021" s="9">
        <v>4969</v>
      </c>
      <c r="U1021" s="9">
        <v>19677240</v>
      </c>
      <c r="V1021" s="6" t="s">
        <v>3156</v>
      </c>
      <c r="W1021" t="s">
        <v>59</v>
      </c>
      <c r="X1021">
        <v>6684041878</v>
      </c>
      <c r="Y1021">
        <v>668401001</v>
      </c>
      <c r="Z1021" s="3">
        <v>45769.635416666664</v>
      </c>
      <c r="AA1021" s="6">
        <v>2025</v>
      </c>
      <c r="AB1021" s="1">
        <v>45869</v>
      </c>
    </row>
    <row r="1022" spans="1:28" x14ac:dyDescent="0.3">
      <c r="A1022" t="s">
        <v>3746</v>
      </c>
      <c r="B1022" s="6" t="s">
        <v>665</v>
      </c>
      <c r="C1022" s="6" t="s">
        <v>666</v>
      </c>
      <c r="D1022">
        <v>5753061308</v>
      </c>
      <c r="E1022">
        <v>575301001</v>
      </c>
      <c r="F1022" t="s">
        <v>52</v>
      </c>
      <c r="G1022" t="s">
        <v>3747</v>
      </c>
      <c r="H1022" s="1">
        <v>45754</v>
      </c>
      <c r="J1022" s="8">
        <v>45765</v>
      </c>
      <c r="K1022" s="1" t="s">
        <v>2872</v>
      </c>
      <c r="L1022" t="s">
        <v>3748</v>
      </c>
      <c r="M1022" t="s">
        <v>3749</v>
      </c>
      <c r="N1022" s="12">
        <v>22586250</v>
      </c>
      <c r="O1022" t="s">
        <v>3633</v>
      </c>
      <c r="P1022" s="6" t="s">
        <v>36</v>
      </c>
      <c r="R1022" t="s">
        <v>38</v>
      </c>
      <c r="S1022" s="9">
        <v>3962.5</v>
      </c>
      <c r="T1022" s="9">
        <v>5700</v>
      </c>
      <c r="U1022" s="9">
        <v>22586250</v>
      </c>
      <c r="V1022" s="6" t="s">
        <v>58</v>
      </c>
      <c r="W1022" t="s">
        <v>59</v>
      </c>
      <c r="X1022">
        <v>5262222144</v>
      </c>
      <c r="Y1022">
        <v>526201001</v>
      </c>
      <c r="Z1022" s="3">
        <v>45765.697916666664</v>
      </c>
      <c r="AA1022" s="6">
        <v>2025</v>
      </c>
      <c r="AB1022" s="1">
        <v>45853</v>
      </c>
    </row>
    <row r="1023" spans="1:28" x14ac:dyDescent="0.3">
      <c r="A1023" t="s">
        <v>3750</v>
      </c>
      <c r="B1023" s="6" t="s">
        <v>917</v>
      </c>
      <c r="C1023" s="6" t="s">
        <v>918</v>
      </c>
      <c r="D1023">
        <v>1325126625</v>
      </c>
      <c r="E1023">
        <v>132601001</v>
      </c>
      <c r="F1023" t="s">
        <v>52</v>
      </c>
      <c r="G1023" t="s">
        <v>3751</v>
      </c>
      <c r="H1023" s="1">
        <v>45754</v>
      </c>
      <c r="J1023" s="8">
        <v>45765</v>
      </c>
      <c r="K1023" s="1" t="s">
        <v>2872</v>
      </c>
      <c r="L1023" t="s">
        <v>3752</v>
      </c>
      <c r="M1023" t="s">
        <v>3753</v>
      </c>
      <c r="N1023" s="12">
        <v>8436000</v>
      </c>
      <c r="O1023" t="s">
        <v>3633</v>
      </c>
      <c r="P1023" s="6" t="s">
        <v>36</v>
      </c>
      <c r="R1023" t="s">
        <v>38</v>
      </c>
      <c r="S1023" s="9">
        <v>3800</v>
      </c>
      <c r="T1023" s="9">
        <v>2220</v>
      </c>
      <c r="U1023" s="9">
        <v>8436000</v>
      </c>
      <c r="V1023" s="6" t="s">
        <v>58</v>
      </c>
      <c r="W1023" t="s">
        <v>59</v>
      </c>
      <c r="X1023">
        <v>5262222144</v>
      </c>
      <c r="Y1023">
        <v>526201001</v>
      </c>
      <c r="Z1023" s="3">
        <v>45765.49722222222</v>
      </c>
      <c r="AA1023" s="6">
        <v>2025</v>
      </c>
      <c r="AB1023" s="1">
        <v>46022</v>
      </c>
    </row>
    <row r="1024" spans="1:28" x14ac:dyDescent="0.3">
      <c r="A1024" t="s">
        <v>3754</v>
      </c>
      <c r="B1024" s="6" t="s">
        <v>1256</v>
      </c>
      <c r="C1024" s="6" t="s">
        <v>1257</v>
      </c>
      <c r="D1024">
        <v>601011159</v>
      </c>
      <c r="E1024">
        <v>60101001</v>
      </c>
      <c r="F1024" t="s">
        <v>52</v>
      </c>
      <c r="G1024" t="s">
        <v>3755</v>
      </c>
      <c r="H1024" s="1">
        <v>45754</v>
      </c>
      <c r="I1024" t="s">
        <v>3735</v>
      </c>
      <c r="J1024" s="8">
        <v>45765</v>
      </c>
      <c r="K1024" s="1" t="s">
        <v>2872</v>
      </c>
      <c r="L1024" t="s">
        <v>3756</v>
      </c>
      <c r="M1024" t="s">
        <v>3757</v>
      </c>
      <c r="N1024" s="12">
        <v>4018465.1</v>
      </c>
      <c r="O1024" t="s">
        <v>3613</v>
      </c>
      <c r="P1024" s="6" t="s">
        <v>3758</v>
      </c>
      <c r="Q1024" t="s">
        <v>37</v>
      </c>
      <c r="R1024" t="s">
        <v>38</v>
      </c>
      <c r="S1024" s="9">
        <v>4755.58</v>
      </c>
      <c r="T1024" s="9">
        <v>845</v>
      </c>
      <c r="U1024" s="9">
        <v>4018465.1</v>
      </c>
      <c r="V1024" s="6" t="s">
        <v>90</v>
      </c>
      <c r="W1024" t="s">
        <v>59</v>
      </c>
      <c r="X1024">
        <v>5259153331</v>
      </c>
      <c r="Y1024">
        <v>525901001</v>
      </c>
      <c r="Z1024" s="3">
        <v>45765.756944444445</v>
      </c>
      <c r="AA1024" s="6">
        <v>2025</v>
      </c>
      <c r="AB1024" s="1">
        <v>45796</v>
      </c>
    </row>
    <row r="1025" spans="1:28" x14ac:dyDescent="0.3">
      <c r="A1025" t="s">
        <v>3759</v>
      </c>
      <c r="B1025" s="6" t="s">
        <v>75</v>
      </c>
      <c r="C1025" s="6" t="s">
        <v>76</v>
      </c>
      <c r="D1025">
        <v>2633004253</v>
      </c>
      <c r="E1025">
        <v>263601001</v>
      </c>
      <c r="F1025" t="s">
        <v>52</v>
      </c>
      <c r="G1025" t="s">
        <v>3760</v>
      </c>
      <c r="H1025" s="1">
        <v>45757</v>
      </c>
      <c r="J1025" s="8">
        <v>45768</v>
      </c>
      <c r="K1025" s="1" t="s">
        <v>2872</v>
      </c>
      <c r="L1025" t="s">
        <v>3760</v>
      </c>
      <c r="M1025" t="s">
        <v>1648</v>
      </c>
      <c r="N1025" s="12">
        <v>106157096.64</v>
      </c>
      <c r="O1025" t="s">
        <v>3613</v>
      </c>
      <c r="P1025" s="6" t="s">
        <v>3758</v>
      </c>
      <c r="Q1025" t="s">
        <v>37</v>
      </c>
      <c r="R1025" t="s">
        <v>38</v>
      </c>
      <c r="S1025" s="9">
        <v>5221.4399999999996</v>
      </c>
      <c r="T1025" s="9">
        <v>6777</v>
      </c>
      <c r="U1025" s="9">
        <v>35385698.880000003</v>
      </c>
      <c r="V1025" s="6" t="s">
        <v>1815</v>
      </c>
      <c r="W1025" t="s">
        <v>1816</v>
      </c>
      <c r="X1025">
        <v>7708813060</v>
      </c>
      <c r="Y1025">
        <v>770801001</v>
      </c>
      <c r="Z1025" s="3">
        <v>45768.658333333333</v>
      </c>
      <c r="AA1025" s="6">
        <v>2025</v>
      </c>
      <c r="AB1025" s="1">
        <v>46022</v>
      </c>
    </row>
    <row r="1026" spans="1:28" x14ac:dyDescent="0.3">
      <c r="A1026" t="s">
        <v>3759</v>
      </c>
      <c r="B1026" s="6" t="s">
        <v>75</v>
      </c>
      <c r="C1026" s="6" t="s">
        <v>76</v>
      </c>
      <c r="D1026">
        <v>2633004253</v>
      </c>
      <c r="E1026">
        <v>263601001</v>
      </c>
      <c r="F1026" t="s">
        <v>52</v>
      </c>
      <c r="G1026" t="s">
        <v>3760</v>
      </c>
      <c r="H1026" s="1">
        <v>45757</v>
      </c>
      <c r="J1026" s="8">
        <v>45768</v>
      </c>
      <c r="K1026" s="1" t="s">
        <v>2872</v>
      </c>
      <c r="L1026" t="s">
        <v>3760</v>
      </c>
      <c r="M1026" t="s">
        <v>1648</v>
      </c>
      <c r="N1026" s="12">
        <v>106157096.64</v>
      </c>
      <c r="O1026" t="s">
        <v>3613</v>
      </c>
      <c r="P1026" s="6" t="s">
        <v>891</v>
      </c>
      <c r="Q1026" t="s">
        <v>37</v>
      </c>
      <c r="R1026" t="s">
        <v>38</v>
      </c>
      <c r="S1026" s="9">
        <v>5221.4399999999996</v>
      </c>
      <c r="T1026" s="9">
        <v>6776</v>
      </c>
      <c r="U1026" s="9">
        <v>35380477.439999998</v>
      </c>
      <c r="V1026" s="6" t="s">
        <v>1815</v>
      </c>
      <c r="W1026" t="s">
        <v>1816</v>
      </c>
      <c r="X1026">
        <v>7708813060</v>
      </c>
      <c r="Y1026">
        <v>770801001</v>
      </c>
      <c r="Z1026" s="3">
        <v>45768.658333333333</v>
      </c>
      <c r="AA1026" s="6">
        <v>2025</v>
      </c>
      <c r="AB1026" s="1">
        <v>46022</v>
      </c>
    </row>
    <row r="1027" spans="1:28" x14ac:dyDescent="0.3">
      <c r="A1027" s="4" t="s">
        <v>3761</v>
      </c>
      <c r="B1027" s="6" t="s">
        <v>113</v>
      </c>
      <c r="C1027" s="6" t="s">
        <v>114</v>
      </c>
      <c r="D1027">
        <v>8601035838</v>
      </c>
      <c r="E1027">
        <v>860201001</v>
      </c>
      <c r="F1027" t="s">
        <v>52</v>
      </c>
      <c r="G1027" t="s">
        <v>3762</v>
      </c>
      <c r="H1027" s="1">
        <v>45755</v>
      </c>
      <c r="J1027" s="8">
        <v>45768</v>
      </c>
      <c r="K1027" s="1" t="s">
        <v>2872</v>
      </c>
      <c r="L1027" t="s">
        <v>3763</v>
      </c>
      <c r="M1027" t="s">
        <v>3764</v>
      </c>
      <c r="N1027" s="12">
        <v>11316984</v>
      </c>
      <c r="O1027" t="s">
        <v>3765</v>
      </c>
      <c r="P1027" s="6" t="s">
        <v>3758</v>
      </c>
      <c r="Q1027" t="s">
        <v>37</v>
      </c>
      <c r="R1027" t="s">
        <v>38</v>
      </c>
      <c r="S1027" s="9">
        <v>3813</v>
      </c>
      <c r="T1027" s="9">
        <v>2968</v>
      </c>
      <c r="U1027" s="9">
        <v>11316984</v>
      </c>
      <c r="V1027" s="6" t="s">
        <v>2237</v>
      </c>
      <c r="W1027" t="s">
        <v>2238</v>
      </c>
      <c r="X1027">
        <v>3123321867</v>
      </c>
      <c r="Y1027">
        <v>312301001</v>
      </c>
      <c r="Z1027" s="3">
        <v>45768.512499999997</v>
      </c>
      <c r="AA1027" s="6">
        <v>2025</v>
      </c>
      <c r="AB1027" s="1">
        <v>45904</v>
      </c>
    </row>
    <row r="1028" spans="1:28" x14ac:dyDescent="0.3">
      <c r="A1028" t="s">
        <v>3766</v>
      </c>
      <c r="B1028" s="6" t="s">
        <v>665</v>
      </c>
      <c r="C1028" s="6" t="s">
        <v>666</v>
      </c>
      <c r="D1028">
        <v>5753061308</v>
      </c>
      <c r="E1028">
        <v>575301001</v>
      </c>
      <c r="F1028" t="s">
        <v>52</v>
      </c>
      <c r="G1028" t="s">
        <v>3767</v>
      </c>
      <c r="H1028" s="1">
        <v>45755</v>
      </c>
      <c r="J1028" s="8">
        <v>45768</v>
      </c>
      <c r="K1028" s="1" t="s">
        <v>2872</v>
      </c>
      <c r="L1028" t="s">
        <v>3768</v>
      </c>
      <c r="M1028" t="s">
        <v>3769</v>
      </c>
      <c r="N1028" s="13">
        <v>3962500</v>
      </c>
      <c r="O1028" t="s">
        <v>3633</v>
      </c>
      <c r="P1028" s="6" t="s">
        <v>36</v>
      </c>
      <c r="R1028" t="s">
        <v>38</v>
      </c>
      <c r="S1028" s="9">
        <v>3962.5</v>
      </c>
      <c r="T1028" s="9">
        <v>1000</v>
      </c>
      <c r="U1028" s="9">
        <v>3962500</v>
      </c>
      <c r="V1028" s="6" t="s">
        <v>58</v>
      </c>
      <c r="W1028" t="s">
        <v>59</v>
      </c>
      <c r="X1028" s="4">
        <v>5262222144</v>
      </c>
      <c r="Y1028">
        <v>526201001</v>
      </c>
      <c r="Z1028" s="3">
        <v>45770.462500000001</v>
      </c>
      <c r="AA1028" s="6">
        <v>2025</v>
      </c>
      <c r="AB1028" s="1">
        <v>45853</v>
      </c>
    </row>
    <row r="1029" spans="1:28" x14ac:dyDescent="0.3">
      <c r="A1029" s="4" t="s">
        <v>3770</v>
      </c>
      <c r="B1029" s="6" t="s">
        <v>1103</v>
      </c>
      <c r="C1029" s="6" t="s">
        <v>1104</v>
      </c>
      <c r="D1029">
        <v>4347018562</v>
      </c>
      <c r="E1029">
        <v>434501001</v>
      </c>
      <c r="F1029" t="s">
        <v>52</v>
      </c>
      <c r="G1029" t="s">
        <v>3771</v>
      </c>
      <c r="H1029" s="1">
        <v>45756</v>
      </c>
      <c r="J1029" s="8">
        <v>45768</v>
      </c>
      <c r="K1029" s="1" t="s">
        <v>2872</v>
      </c>
      <c r="L1029" t="s">
        <v>3772</v>
      </c>
      <c r="M1029" t="s">
        <v>416</v>
      </c>
      <c r="N1029" s="12">
        <v>26432000</v>
      </c>
      <c r="O1029" t="s">
        <v>3633</v>
      </c>
      <c r="P1029" s="6" t="s">
        <v>36</v>
      </c>
      <c r="R1029" t="s">
        <v>38</v>
      </c>
      <c r="S1029" s="9">
        <v>4000</v>
      </c>
      <c r="T1029" s="9">
        <v>6608</v>
      </c>
      <c r="U1029" s="9">
        <v>26432000</v>
      </c>
      <c r="V1029" s="6" t="s">
        <v>58</v>
      </c>
      <c r="W1029" t="s">
        <v>59</v>
      </c>
      <c r="X1029">
        <v>5262222144</v>
      </c>
      <c r="Y1029">
        <v>526201001</v>
      </c>
      <c r="Z1029" s="3">
        <v>45769.375</v>
      </c>
      <c r="AA1029" s="6">
        <v>2025</v>
      </c>
      <c r="AB1029" s="1">
        <v>46021</v>
      </c>
    </row>
    <row r="1030" spans="1:28" x14ac:dyDescent="0.3">
      <c r="A1030" t="s">
        <v>3773</v>
      </c>
      <c r="B1030" s="6" t="s">
        <v>633</v>
      </c>
      <c r="C1030" s="6" t="s">
        <v>634</v>
      </c>
      <c r="D1030">
        <v>5321028960</v>
      </c>
      <c r="E1030">
        <v>532101001</v>
      </c>
      <c r="F1030" t="s">
        <v>94</v>
      </c>
      <c r="G1030" t="s">
        <v>3774</v>
      </c>
      <c r="H1030" s="1">
        <v>45763</v>
      </c>
      <c r="J1030" s="8">
        <v>45768</v>
      </c>
      <c r="K1030" s="1" t="s">
        <v>2872</v>
      </c>
      <c r="L1030" t="s">
        <v>3774</v>
      </c>
      <c r="M1030" t="s">
        <v>3775</v>
      </c>
      <c r="N1030" s="12">
        <v>5203320</v>
      </c>
      <c r="O1030" t="s">
        <v>3776</v>
      </c>
      <c r="P1030" s="6" t="s">
        <v>2277</v>
      </c>
      <c r="R1030" t="s">
        <v>38</v>
      </c>
      <c r="S1030" s="9">
        <v>3930</v>
      </c>
      <c r="T1030" s="9">
        <v>1324</v>
      </c>
      <c r="U1030" s="9">
        <v>5203320</v>
      </c>
      <c r="V1030" s="6" t="s">
        <v>545</v>
      </c>
      <c r="W1030" t="s">
        <v>40</v>
      </c>
      <c r="X1030">
        <v>7713655588</v>
      </c>
      <c r="Y1030">
        <v>773001001</v>
      </c>
      <c r="Z1030" s="3">
        <v>45768.390972222223</v>
      </c>
      <c r="AA1030" s="6">
        <v>2025</v>
      </c>
      <c r="AB1030" s="1">
        <v>45799</v>
      </c>
    </row>
    <row r="1031" spans="1:28" x14ac:dyDescent="0.3">
      <c r="A1031" t="s">
        <v>3759</v>
      </c>
      <c r="B1031" s="6" t="s">
        <v>75</v>
      </c>
      <c r="C1031" s="6" t="s">
        <v>76</v>
      </c>
      <c r="D1031">
        <v>2633004253</v>
      </c>
      <c r="E1031">
        <v>263601001</v>
      </c>
      <c r="F1031" t="s">
        <v>52</v>
      </c>
      <c r="G1031" t="s">
        <v>3760</v>
      </c>
      <c r="H1031" s="1">
        <v>45757</v>
      </c>
      <c r="J1031" s="8">
        <v>45768</v>
      </c>
      <c r="K1031" s="1" t="s">
        <v>2872</v>
      </c>
      <c r="L1031" t="s">
        <v>3760</v>
      </c>
      <c r="M1031" t="s">
        <v>1648</v>
      </c>
      <c r="N1031" s="12">
        <v>106157096.64</v>
      </c>
      <c r="O1031" t="s">
        <v>3643</v>
      </c>
      <c r="P1031" s="6" t="s">
        <v>1814</v>
      </c>
      <c r="Q1031" t="s">
        <v>37</v>
      </c>
      <c r="R1031" t="s">
        <v>38</v>
      </c>
      <c r="S1031" s="9">
        <v>5221.4399999999996</v>
      </c>
      <c r="T1031" s="9">
        <v>6778</v>
      </c>
      <c r="U1031" s="9">
        <v>35390920.32</v>
      </c>
      <c r="V1031" s="6" t="s">
        <v>1815</v>
      </c>
      <c r="W1031" t="s">
        <v>1816</v>
      </c>
      <c r="X1031">
        <v>7708813060</v>
      </c>
      <c r="Y1031">
        <v>770801001</v>
      </c>
      <c r="Z1031" s="3">
        <v>45768.658333333333</v>
      </c>
      <c r="AA1031" s="6">
        <v>2025</v>
      </c>
      <c r="AB1031" s="1">
        <v>46022</v>
      </c>
    </row>
    <row r="1032" spans="1:28" x14ac:dyDescent="0.3">
      <c r="A1032" t="s">
        <v>3777</v>
      </c>
      <c r="B1032" s="6" t="s">
        <v>924</v>
      </c>
      <c r="C1032" s="6" t="s">
        <v>925</v>
      </c>
      <c r="D1032">
        <v>4205349664</v>
      </c>
      <c r="E1032">
        <v>420501001</v>
      </c>
      <c r="F1032" t="s">
        <v>52</v>
      </c>
      <c r="G1032" t="s">
        <v>3778</v>
      </c>
      <c r="H1032" s="1">
        <v>45758</v>
      </c>
      <c r="J1032" s="8">
        <v>45769</v>
      </c>
      <c r="K1032" s="1" t="s">
        <v>2872</v>
      </c>
      <c r="L1032" t="s">
        <v>3779</v>
      </c>
      <c r="M1032" t="s">
        <v>179</v>
      </c>
      <c r="N1032" s="12">
        <v>4503114</v>
      </c>
      <c r="O1032" t="s">
        <v>3613</v>
      </c>
      <c r="P1032" s="6" t="s">
        <v>3758</v>
      </c>
      <c r="Q1032" t="s">
        <v>37</v>
      </c>
      <c r="R1032" t="s">
        <v>38</v>
      </c>
      <c r="S1032" s="9">
        <v>3762</v>
      </c>
      <c r="T1032" s="9">
        <v>1197</v>
      </c>
      <c r="U1032" s="9">
        <v>4503114</v>
      </c>
      <c r="V1032" s="6" t="s">
        <v>3780</v>
      </c>
      <c r="W1032" t="s">
        <v>59</v>
      </c>
      <c r="X1032">
        <v>5404509402</v>
      </c>
      <c r="Y1032">
        <v>540401001</v>
      </c>
      <c r="Z1032" s="3">
        <v>45769.409722222219</v>
      </c>
      <c r="AA1032" s="6">
        <v>2025</v>
      </c>
      <c r="AB1032" s="1">
        <v>46022</v>
      </c>
    </row>
    <row r="1033" spans="1:28" x14ac:dyDescent="0.3">
      <c r="A1033" t="s">
        <v>3781</v>
      </c>
      <c r="B1033" s="6" t="s">
        <v>796</v>
      </c>
      <c r="C1033" s="6" t="s">
        <v>69</v>
      </c>
      <c r="D1033">
        <v>8901007006</v>
      </c>
      <c r="E1033">
        <v>890101001</v>
      </c>
      <c r="F1033" t="s">
        <v>52</v>
      </c>
      <c r="G1033" t="s">
        <v>3782</v>
      </c>
      <c r="H1033" s="1">
        <v>45758</v>
      </c>
      <c r="J1033" s="8">
        <v>45769</v>
      </c>
      <c r="K1033" s="1" t="s">
        <v>2872</v>
      </c>
      <c r="L1033" t="s">
        <v>3783</v>
      </c>
      <c r="M1033" t="s">
        <v>3784</v>
      </c>
      <c r="N1033" s="12">
        <v>12166700</v>
      </c>
      <c r="O1033" t="s">
        <v>3633</v>
      </c>
      <c r="P1033" s="6" t="s">
        <v>36</v>
      </c>
      <c r="R1033" t="s">
        <v>38</v>
      </c>
      <c r="S1033" s="9">
        <v>4900</v>
      </c>
      <c r="T1033" s="9">
        <v>2483</v>
      </c>
      <c r="U1033" s="9">
        <v>12166700</v>
      </c>
      <c r="V1033" s="6" t="s">
        <v>58</v>
      </c>
      <c r="W1033" t="s">
        <v>59</v>
      </c>
      <c r="X1033">
        <v>5262222144</v>
      </c>
      <c r="Y1033">
        <v>526201001</v>
      </c>
      <c r="Z1033" s="3">
        <v>45769.386111111111</v>
      </c>
      <c r="AA1033" s="6">
        <v>2025</v>
      </c>
      <c r="AB1033" s="1">
        <v>45866</v>
      </c>
    </row>
    <row r="1034" spans="1:28" x14ac:dyDescent="0.3">
      <c r="A1034" t="s">
        <v>3785</v>
      </c>
      <c r="B1034" s="6" t="s">
        <v>418</v>
      </c>
      <c r="C1034" s="6" t="s">
        <v>148</v>
      </c>
      <c r="D1034">
        <v>274157821</v>
      </c>
      <c r="E1034">
        <v>27401001</v>
      </c>
      <c r="F1034" t="s">
        <v>52</v>
      </c>
      <c r="G1034" t="s">
        <v>3786</v>
      </c>
      <c r="H1034" s="1">
        <v>45755</v>
      </c>
      <c r="J1034" s="8">
        <v>45769</v>
      </c>
      <c r="K1034" s="1" t="s">
        <v>2872</v>
      </c>
      <c r="L1034" t="s">
        <v>3786</v>
      </c>
      <c r="M1034" t="s">
        <v>3787</v>
      </c>
      <c r="N1034" s="12">
        <v>2910375</v>
      </c>
      <c r="O1034" t="s">
        <v>3643</v>
      </c>
      <c r="P1034" s="6" t="s">
        <v>1814</v>
      </c>
      <c r="R1034" t="s">
        <v>38</v>
      </c>
      <c r="S1034" s="9">
        <v>4477.5</v>
      </c>
      <c r="T1034" s="9">
        <v>650</v>
      </c>
      <c r="U1034" s="9">
        <v>2910375</v>
      </c>
      <c r="V1034" s="6" t="s">
        <v>1815</v>
      </c>
      <c r="W1034" t="s">
        <v>1816</v>
      </c>
      <c r="X1034">
        <v>7708813060</v>
      </c>
      <c r="Y1034">
        <v>770801001</v>
      </c>
      <c r="Z1034" s="3">
        <v>45770.419444444444</v>
      </c>
      <c r="AA1034" s="6">
        <v>2025</v>
      </c>
      <c r="AB1034" s="1">
        <v>46022</v>
      </c>
    </row>
    <row r="1035" spans="1:28" x14ac:dyDescent="0.3">
      <c r="A1035" t="s">
        <v>3788</v>
      </c>
      <c r="B1035" s="6" t="s">
        <v>197</v>
      </c>
      <c r="C1035" s="6" t="s">
        <v>198</v>
      </c>
      <c r="D1035">
        <v>1001046786</v>
      </c>
      <c r="E1035">
        <v>100101001</v>
      </c>
      <c r="F1035" t="s">
        <v>52</v>
      </c>
      <c r="G1035" t="s">
        <v>3789</v>
      </c>
      <c r="H1035" s="1">
        <v>45758</v>
      </c>
      <c r="I1035" t="s">
        <v>3790</v>
      </c>
      <c r="J1035" s="8">
        <v>45769</v>
      </c>
      <c r="K1035" s="1" t="s">
        <v>2872</v>
      </c>
      <c r="L1035" t="s">
        <v>3791</v>
      </c>
      <c r="M1035" t="s">
        <v>3792</v>
      </c>
      <c r="N1035" s="12">
        <v>21753317.699999999</v>
      </c>
      <c r="O1035" t="s">
        <v>3633</v>
      </c>
      <c r="P1035" s="6" t="s">
        <v>36</v>
      </c>
      <c r="R1035" t="s">
        <v>38</v>
      </c>
      <c r="S1035" s="9">
        <v>4096.67</v>
      </c>
      <c r="T1035" s="9">
        <v>5310</v>
      </c>
      <c r="U1035" s="9">
        <v>21753317.699999999</v>
      </c>
      <c r="V1035" s="6" t="s">
        <v>39</v>
      </c>
      <c r="W1035" t="s">
        <v>40</v>
      </c>
      <c r="X1035">
        <v>7810687137</v>
      </c>
      <c r="Y1035">
        <v>781401001</v>
      </c>
      <c r="Z1035" s="3">
        <v>45770.486805555556</v>
      </c>
      <c r="AA1035" s="6">
        <v>2025</v>
      </c>
      <c r="AB1035" s="1">
        <v>46022</v>
      </c>
    </row>
    <row r="1036" spans="1:28" x14ac:dyDescent="0.3">
      <c r="A1036" t="s">
        <v>3793</v>
      </c>
      <c r="B1036" s="6" t="s">
        <v>1022</v>
      </c>
      <c r="C1036" s="6" t="s">
        <v>1023</v>
      </c>
      <c r="D1036">
        <v>901024085</v>
      </c>
      <c r="E1036">
        <v>90101001</v>
      </c>
      <c r="F1036" t="s">
        <v>52</v>
      </c>
      <c r="G1036" t="s">
        <v>3794</v>
      </c>
      <c r="H1036" s="1">
        <v>45757</v>
      </c>
      <c r="J1036" s="8">
        <v>45769</v>
      </c>
      <c r="K1036" s="1" t="s">
        <v>2872</v>
      </c>
      <c r="L1036" t="s">
        <v>3794</v>
      </c>
      <c r="M1036" t="s">
        <v>3795</v>
      </c>
      <c r="N1036" s="12">
        <v>1320058.5</v>
      </c>
      <c r="O1036" t="s">
        <v>3613</v>
      </c>
      <c r="P1036" s="6" t="s">
        <v>3758</v>
      </c>
      <c r="Q1036" t="s">
        <v>37</v>
      </c>
      <c r="R1036" t="s">
        <v>38</v>
      </c>
      <c r="S1036" s="9">
        <v>5176.7</v>
      </c>
      <c r="T1036" s="9">
        <v>255</v>
      </c>
      <c r="U1036" s="9">
        <v>1320058.5</v>
      </c>
      <c r="V1036" s="6" t="s">
        <v>90</v>
      </c>
      <c r="W1036" t="s">
        <v>59</v>
      </c>
      <c r="X1036">
        <v>5259153331</v>
      </c>
      <c r="Y1036">
        <v>525901001</v>
      </c>
      <c r="Z1036" s="3">
        <v>45769.372916666667</v>
      </c>
      <c r="AA1036" s="6">
        <v>2025</v>
      </c>
      <c r="AB1036" s="1">
        <v>46022</v>
      </c>
    </row>
    <row r="1037" spans="1:28" x14ac:dyDescent="0.3">
      <c r="A1037" t="s">
        <v>3796</v>
      </c>
      <c r="B1037" s="6" t="s">
        <v>758</v>
      </c>
      <c r="C1037" s="6" t="s">
        <v>759</v>
      </c>
      <c r="D1037" s="4">
        <v>6731018660</v>
      </c>
      <c r="E1037">
        <v>673101001</v>
      </c>
      <c r="F1037" t="s">
        <v>52</v>
      </c>
      <c r="G1037" t="s">
        <v>3797</v>
      </c>
      <c r="H1037" s="1">
        <v>45758</v>
      </c>
      <c r="J1037" s="8">
        <v>45770</v>
      </c>
      <c r="K1037" s="1" t="s">
        <v>2872</v>
      </c>
      <c r="L1037" t="s">
        <v>3798</v>
      </c>
      <c r="M1037" t="s">
        <v>3799</v>
      </c>
      <c r="N1037" s="12">
        <v>9934080</v>
      </c>
      <c r="O1037" t="s">
        <v>3633</v>
      </c>
      <c r="P1037" s="6" t="s">
        <v>36</v>
      </c>
      <c r="R1037" t="s">
        <v>38</v>
      </c>
      <c r="S1037" s="9">
        <v>4776</v>
      </c>
      <c r="T1037" s="9">
        <v>2080</v>
      </c>
      <c r="U1037" s="9">
        <v>9934080</v>
      </c>
      <c r="V1037" s="6" t="s">
        <v>352</v>
      </c>
      <c r="W1037" t="s">
        <v>40</v>
      </c>
      <c r="X1037">
        <v>7843014747</v>
      </c>
      <c r="Y1037">
        <v>781401001</v>
      </c>
      <c r="Z1037" s="3">
        <v>45771.662499999999</v>
      </c>
      <c r="AA1037" s="6">
        <v>2025</v>
      </c>
      <c r="AB1037" s="1">
        <v>46053</v>
      </c>
    </row>
    <row r="1038" spans="1:28" x14ac:dyDescent="0.3">
      <c r="A1038" t="s">
        <v>3800</v>
      </c>
      <c r="B1038" s="6" t="s">
        <v>758</v>
      </c>
      <c r="C1038" s="6" t="s">
        <v>759</v>
      </c>
      <c r="D1038">
        <v>6731018660</v>
      </c>
      <c r="E1038">
        <v>673101001</v>
      </c>
      <c r="F1038" t="s">
        <v>52</v>
      </c>
      <c r="G1038" t="s">
        <v>3801</v>
      </c>
      <c r="H1038" s="1">
        <v>45756</v>
      </c>
      <c r="J1038" s="8">
        <v>45770</v>
      </c>
      <c r="K1038" s="1" t="s">
        <v>2872</v>
      </c>
      <c r="L1038" t="s">
        <v>3802</v>
      </c>
      <c r="M1038" t="s">
        <v>3803</v>
      </c>
      <c r="N1038" s="12">
        <v>6589440</v>
      </c>
      <c r="O1038" t="s">
        <v>3633</v>
      </c>
      <c r="P1038" s="6" t="s">
        <v>36</v>
      </c>
      <c r="R1038" t="s">
        <v>38</v>
      </c>
      <c r="S1038" s="9">
        <v>3168</v>
      </c>
      <c r="T1038" s="9">
        <v>2080</v>
      </c>
      <c r="U1038" s="9">
        <v>6589440</v>
      </c>
      <c r="V1038" s="6" t="s">
        <v>352</v>
      </c>
      <c r="W1038" t="s">
        <v>40</v>
      </c>
      <c r="X1038">
        <v>7843014747</v>
      </c>
      <c r="Y1038">
        <v>781401001</v>
      </c>
      <c r="Z1038" s="3">
        <v>45771.660416666666</v>
      </c>
      <c r="AA1038" s="6">
        <v>2025</v>
      </c>
      <c r="AB1038" s="1">
        <v>46053</v>
      </c>
    </row>
    <row r="1039" spans="1:28" x14ac:dyDescent="0.3">
      <c r="A1039" t="s">
        <v>3804</v>
      </c>
      <c r="B1039" s="6" t="s">
        <v>910</v>
      </c>
      <c r="C1039" s="6" t="s">
        <v>911</v>
      </c>
      <c r="D1039">
        <v>1200000881</v>
      </c>
      <c r="E1039">
        <v>121501001</v>
      </c>
      <c r="F1039" t="s">
        <v>94</v>
      </c>
      <c r="G1039" t="s">
        <v>3805</v>
      </c>
      <c r="H1039" s="1">
        <v>45765</v>
      </c>
      <c r="J1039" s="8">
        <v>45770</v>
      </c>
      <c r="K1039" s="1" t="s">
        <v>2872</v>
      </c>
      <c r="L1039" t="s">
        <v>3806</v>
      </c>
      <c r="M1039" t="s">
        <v>3572</v>
      </c>
      <c r="N1039" s="12">
        <v>436800</v>
      </c>
      <c r="O1039" t="s">
        <v>3613</v>
      </c>
      <c r="P1039" s="6" t="s">
        <v>3758</v>
      </c>
      <c r="Q1039" t="s">
        <v>37</v>
      </c>
      <c r="R1039" t="s">
        <v>38</v>
      </c>
      <c r="S1039" s="9">
        <v>4200</v>
      </c>
      <c r="T1039" s="9">
        <v>104</v>
      </c>
      <c r="U1039" s="9">
        <v>436800</v>
      </c>
      <c r="V1039" s="6" t="s">
        <v>1497</v>
      </c>
      <c r="W1039" t="s">
        <v>1269</v>
      </c>
      <c r="X1039">
        <v>234606565699</v>
      </c>
      <c r="Z1039" s="3">
        <v>45770.372916666667</v>
      </c>
      <c r="AA1039" s="6">
        <v>2025</v>
      </c>
      <c r="AB1039" s="1">
        <v>46022</v>
      </c>
    </row>
    <row r="1040" spans="1:28" x14ac:dyDescent="0.3">
      <c r="A1040" t="s">
        <v>3807</v>
      </c>
      <c r="B1040" s="6" t="s">
        <v>3808</v>
      </c>
      <c r="C1040" s="6" t="s">
        <v>148</v>
      </c>
      <c r="D1040">
        <v>274001119</v>
      </c>
      <c r="E1040">
        <v>27401001</v>
      </c>
      <c r="F1040" t="s">
        <v>94</v>
      </c>
      <c r="G1040" t="s">
        <v>3809</v>
      </c>
      <c r="H1040" s="1">
        <v>45768</v>
      </c>
      <c r="J1040" s="8">
        <v>45771</v>
      </c>
      <c r="K1040" s="1" t="s">
        <v>2872</v>
      </c>
      <c r="L1040" t="s">
        <v>3810</v>
      </c>
      <c r="M1040" t="s">
        <v>3811</v>
      </c>
      <c r="N1040" s="12">
        <v>380000</v>
      </c>
      <c r="O1040" t="s">
        <v>3633</v>
      </c>
      <c r="P1040" s="6" t="s">
        <v>36</v>
      </c>
      <c r="R1040" t="s">
        <v>38</v>
      </c>
      <c r="S1040" s="9">
        <v>3800</v>
      </c>
      <c r="T1040" s="9">
        <v>100</v>
      </c>
      <c r="U1040" s="9">
        <v>380000</v>
      </c>
      <c r="V1040" s="6" t="s">
        <v>58</v>
      </c>
      <c r="W1040" t="s">
        <v>59</v>
      </c>
      <c r="X1040">
        <v>5262222144</v>
      </c>
      <c r="Y1040">
        <v>526201001</v>
      </c>
      <c r="Z1040" s="3">
        <v>45771.427083333336</v>
      </c>
      <c r="AA1040" s="6">
        <v>2025</v>
      </c>
      <c r="AB1040" s="1">
        <v>46022</v>
      </c>
    </row>
    <row r="1041" spans="1:28" x14ac:dyDescent="0.3">
      <c r="A1041" t="s">
        <v>3812</v>
      </c>
      <c r="B1041" s="6" t="s">
        <v>876</v>
      </c>
      <c r="C1041" s="6" t="s">
        <v>877</v>
      </c>
      <c r="D1041">
        <v>2540018454</v>
      </c>
      <c r="E1041">
        <v>254001001</v>
      </c>
      <c r="F1041" t="s">
        <v>52</v>
      </c>
      <c r="G1041" t="s">
        <v>3813</v>
      </c>
      <c r="H1041" s="1">
        <v>45761</v>
      </c>
      <c r="J1041" s="8">
        <v>45772</v>
      </c>
      <c r="K1041" s="1" t="s">
        <v>2872</v>
      </c>
      <c r="L1041" t="s">
        <v>3813</v>
      </c>
      <c r="M1041" t="s">
        <v>3814</v>
      </c>
      <c r="N1041" s="12">
        <v>54641664</v>
      </c>
      <c r="O1041" t="s">
        <v>3815</v>
      </c>
      <c r="P1041" s="6" t="s">
        <v>3758</v>
      </c>
      <c r="Q1041" t="s">
        <v>3258</v>
      </c>
      <c r="R1041" t="s">
        <v>38</v>
      </c>
      <c r="S1041" s="9">
        <v>4312</v>
      </c>
      <c r="T1041" s="9">
        <v>7603</v>
      </c>
      <c r="U1041" s="9">
        <v>32784136</v>
      </c>
      <c r="V1041" s="6" t="s">
        <v>3816</v>
      </c>
      <c r="W1041" t="s">
        <v>3817</v>
      </c>
      <c r="X1041">
        <v>2540059700</v>
      </c>
      <c r="Y1041">
        <v>253701001</v>
      </c>
      <c r="Z1041" s="3">
        <v>45776.287499999999</v>
      </c>
      <c r="AA1041" s="6">
        <v>2025</v>
      </c>
      <c r="AB1041" s="1">
        <v>46022</v>
      </c>
    </row>
    <row r="1042" spans="1:28" x14ac:dyDescent="0.3">
      <c r="A1042" t="s">
        <v>3818</v>
      </c>
      <c r="B1042" s="6" t="s">
        <v>924</v>
      </c>
      <c r="C1042" s="6" t="s">
        <v>925</v>
      </c>
      <c r="D1042">
        <v>4205349664</v>
      </c>
      <c r="E1042">
        <v>420501001</v>
      </c>
      <c r="F1042" t="s">
        <v>52</v>
      </c>
      <c r="G1042" t="s">
        <v>3819</v>
      </c>
      <c r="H1042" s="1">
        <v>45761</v>
      </c>
      <c r="J1042" s="8">
        <v>45772</v>
      </c>
      <c r="K1042" s="1" t="s">
        <v>2872</v>
      </c>
      <c r="L1042" t="s">
        <v>3820</v>
      </c>
      <c r="M1042" t="s">
        <v>1797</v>
      </c>
      <c r="N1042" s="12">
        <v>13300000</v>
      </c>
      <c r="O1042" t="s">
        <v>3633</v>
      </c>
      <c r="P1042" s="6" t="s">
        <v>36</v>
      </c>
      <c r="R1042" t="s">
        <v>38</v>
      </c>
      <c r="S1042" s="9">
        <v>3800</v>
      </c>
      <c r="T1042" s="9">
        <v>3500</v>
      </c>
      <c r="U1042" s="9">
        <v>13300000</v>
      </c>
      <c r="V1042" s="6" t="s">
        <v>111</v>
      </c>
      <c r="W1042" t="s">
        <v>59</v>
      </c>
      <c r="X1042">
        <v>5262258091</v>
      </c>
      <c r="Y1042">
        <v>526201001</v>
      </c>
      <c r="Z1042" s="3">
        <v>45772.394444444442</v>
      </c>
      <c r="AA1042" s="6">
        <v>2025</v>
      </c>
      <c r="AB1042" s="1">
        <v>46022</v>
      </c>
    </row>
    <row r="1043" spans="1:28" x14ac:dyDescent="0.3">
      <c r="A1043" t="s">
        <v>3821</v>
      </c>
      <c r="B1043" s="6" t="s">
        <v>2196</v>
      </c>
      <c r="C1043" s="6" t="s">
        <v>1197</v>
      </c>
      <c r="D1043">
        <v>411100361</v>
      </c>
      <c r="E1043">
        <v>41101001</v>
      </c>
      <c r="F1043" t="s">
        <v>149</v>
      </c>
      <c r="G1043" t="s">
        <v>3822</v>
      </c>
      <c r="H1043" s="1">
        <v>45769</v>
      </c>
      <c r="J1043" s="8">
        <v>45772</v>
      </c>
      <c r="K1043" s="1" t="s">
        <v>2872</v>
      </c>
      <c r="L1043" t="s">
        <v>3823</v>
      </c>
      <c r="M1043" t="s">
        <v>377</v>
      </c>
      <c r="N1043" s="12">
        <v>4635400</v>
      </c>
      <c r="O1043" t="s">
        <v>3613</v>
      </c>
      <c r="P1043" s="6" t="s">
        <v>36</v>
      </c>
      <c r="R1043" t="s">
        <v>38</v>
      </c>
      <c r="S1043" s="9">
        <v>4900</v>
      </c>
      <c r="T1043" s="9">
        <v>946</v>
      </c>
      <c r="U1043" s="9">
        <v>4635400</v>
      </c>
      <c r="V1043" s="6" t="s">
        <v>39</v>
      </c>
      <c r="W1043" t="s">
        <v>40</v>
      </c>
      <c r="X1043">
        <v>7810687137</v>
      </c>
      <c r="Y1043">
        <v>781401001</v>
      </c>
      <c r="Z1043" s="3">
        <v>45772.313888888886</v>
      </c>
      <c r="AA1043" s="6">
        <v>2025</v>
      </c>
      <c r="AB1043" s="1">
        <v>45838</v>
      </c>
    </row>
    <row r="1044" spans="1:28" x14ac:dyDescent="0.3">
      <c r="A1044" t="s">
        <v>3812</v>
      </c>
      <c r="B1044" s="6" t="s">
        <v>876</v>
      </c>
      <c r="C1044" s="6" t="s">
        <v>877</v>
      </c>
      <c r="D1044">
        <v>2540018454</v>
      </c>
      <c r="E1044">
        <v>254001001</v>
      </c>
      <c r="F1044" t="s">
        <v>52</v>
      </c>
      <c r="G1044" t="s">
        <v>3813</v>
      </c>
      <c r="H1044" s="1">
        <v>45761</v>
      </c>
      <c r="J1044" s="8">
        <v>45772</v>
      </c>
      <c r="K1044" s="1" t="s">
        <v>2872</v>
      </c>
      <c r="L1044" t="s">
        <v>3813</v>
      </c>
      <c r="M1044" t="s">
        <v>3814</v>
      </c>
      <c r="N1044" s="12">
        <v>54641664</v>
      </c>
      <c r="O1044" t="s">
        <v>3776</v>
      </c>
      <c r="P1044" s="6" t="s">
        <v>2277</v>
      </c>
      <c r="Q1044" t="s">
        <v>3258</v>
      </c>
      <c r="R1044" t="s">
        <v>38</v>
      </c>
      <c r="S1044" s="9">
        <v>4312</v>
      </c>
      <c r="T1044" s="9">
        <v>5069</v>
      </c>
      <c r="U1044" s="9">
        <v>21857528</v>
      </c>
      <c r="V1044" s="6" t="s">
        <v>3816</v>
      </c>
      <c r="W1044" t="s">
        <v>3817</v>
      </c>
      <c r="X1044">
        <v>2540059700</v>
      </c>
      <c r="Y1044">
        <v>253701001</v>
      </c>
      <c r="Z1044" s="3">
        <v>45776.287499999999</v>
      </c>
      <c r="AA1044" s="6">
        <v>2025</v>
      </c>
      <c r="AB1044" s="1">
        <v>46022</v>
      </c>
    </row>
    <row r="1045" spans="1:28" x14ac:dyDescent="0.3">
      <c r="A1045" t="s">
        <v>3824</v>
      </c>
      <c r="B1045" s="6" t="s">
        <v>75</v>
      </c>
      <c r="C1045" s="6" t="s">
        <v>76</v>
      </c>
      <c r="D1045">
        <v>2633004253</v>
      </c>
      <c r="E1045">
        <v>263601001</v>
      </c>
      <c r="F1045" t="s">
        <v>52</v>
      </c>
      <c r="G1045" t="s">
        <v>3825</v>
      </c>
      <c r="H1045" s="1">
        <v>45761</v>
      </c>
      <c r="J1045" s="8">
        <v>45772</v>
      </c>
      <c r="K1045" s="1" t="s">
        <v>2872</v>
      </c>
      <c r="L1045" t="s">
        <v>3825</v>
      </c>
      <c r="M1045" t="s">
        <v>1648</v>
      </c>
      <c r="N1045" s="12">
        <v>73679926.319999993</v>
      </c>
      <c r="O1045" t="s">
        <v>3633</v>
      </c>
      <c r="P1045" s="6" t="s">
        <v>36</v>
      </c>
      <c r="R1045" t="s">
        <v>38</v>
      </c>
      <c r="S1045" s="9">
        <v>3809.52</v>
      </c>
      <c r="T1045" s="9">
        <v>19341</v>
      </c>
      <c r="U1045" s="9">
        <v>73679926.319999993</v>
      </c>
      <c r="V1045" s="6" t="s">
        <v>39</v>
      </c>
      <c r="W1045" t="s">
        <v>40</v>
      </c>
      <c r="X1045">
        <v>7810687137</v>
      </c>
      <c r="Y1045">
        <v>781401001</v>
      </c>
      <c r="Z1045" s="3">
        <v>45775.393750000003</v>
      </c>
      <c r="AA1045" s="6">
        <v>2025</v>
      </c>
      <c r="AB1045" s="1">
        <v>46022</v>
      </c>
    </row>
    <row r="1046" spans="1:28" x14ac:dyDescent="0.3">
      <c r="A1046" t="s">
        <v>3826</v>
      </c>
      <c r="B1046" s="6" t="s">
        <v>75</v>
      </c>
      <c r="C1046" s="6" t="s">
        <v>76</v>
      </c>
      <c r="D1046">
        <v>2633004253</v>
      </c>
      <c r="E1046">
        <v>263601001</v>
      </c>
      <c r="F1046" t="s">
        <v>52</v>
      </c>
      <c r="G1046" t="s">
        <v>3827</v>
      </c>
      <c r="H1046" s="1">
        <v>45761</v>
      </c>
      <c r="J1046" s="8">
        <v>45772</v>
      </c>
      <c r="K1046" s="1" t="s">
        <v>2872</v>
      </c>
      <c r="L1046" t="s">
        <v>3827</v>
      </c>
      <c r="M1046" t="s">
        <v>1648</v>
      </c>
      <c r="N1046" s="12">
        <v>25705122.48</v>
      </c>
      <c r="O1046" t="s">
        <v>3633</v>
      </c>
      <c r="P1046" s="6" t="s">
        <v>36</v>
      </c>
      <c r="R1046" t="s">
        <v>38</v>
      </c>
      <c r="S1046" s="9">
        <v>3010.32</v>
      </c>
      <c r="T1046" s="9">
        <v>8539</v>
      </c>
      <c r="U1046" s="9">
        <v>25705122.48</v>
      </c>
      <c r="V1046" s="6" t="s">
        <v>39</v>
      </c>
      <c r="W1046" t="s">
        <v>40</v>
      </c>
      <c r="X1046">
        <v>7810687137</v>
      </c>
      <c r="Y1046">
        <v>781401001</v>
      </c>
      <c r="Z1046" s="3">
        <v>45775.395833333336</v>
      </c>
      <c r="AA1046" s="6">
        <v>2025</v>
      </c>
      <c r="AB1046" s="1">
        <v>46022</v>
      </c>
    </row>
    <row r="1047" spans="1:28" x14ac:dyDescent="0.3">
      <c r="A1047" t="s">
        <v>3828</v>
      </c>
      <c r="B1047" s="6" t="s">
        <v>435</v>
      </c>
      <c r="C1047" s="6" t="s">
        <v>436</v>
      </c>
      <c r="D1047">
        <v>7604044726</v>
      </c>
      <c r="E1047">
        <v>760401001</v>
      </c>
      <c r="F1047" t="s">
        <v>52</v>
      </c>
      <c r="G1047" t="s">
        <v>3829</v>
      </c>
      <c r="H1047" s="1">
        <v>45764</v>
      </c>
      <c r="J1047" s="8">
        <v>45775</v>
      </c>
      <c r="K1047" s="1" t="s">
        <v>2872</v>
      </c>
      <c r="L1047" t="s">
        <v>3830</v>
      </c>
      <c r="M1047" t="s">
        <v>3831</v>
      </c>
      <c r="N1047" s="12">
        <v>64556595</v>
      </c>
      <c r="O1047" t="s">
        <v>3613</v>
      </c>
      <c r="P1047" s="6" t="s">
        <v>36</v>
      </c>
      <c r="R1047" t="s">
        <v>38</v>
      </c>
      <c r="S1047" s="9">
        <v>4477.5</v>
      </c>
      <c r="T1047" s="9">
        <v>14418</v>
      </c>
      <c r="U1047" s="9">
        <v>64556595</v>
      </c>
      <c r="V1047" s="6" t="s">
        <v>441</v>
      </c>
      <c r="W1047" t="s">
        <v>40</v>
      </c>
      <c r="X1047">
        <v>7725285067</v>
      </c>
      <c r="Y1047">
        <v>772501001</v>
      </c>
      <c r="Z1047" s="3">
        <v>45775.57916666667</v>
      </c>
      <c r="AA1047" s="6">
        <v>2025</v>
      </c>
      <c r="AB1047" s="1">
        <v>45870</v>
      </c>
    </row>
    <row r="1048" spans="1:28" x14ac:dyDescent="0.3">
      <c r="A1048" t="s">
        <v>3832</v>
      </c>
      <c r="B1048" s="6" t="s">
        <v>435</v>
      </c>
      <c r="C1048" s="6" t="s">
        <v>436</v>
      </c>
      <c r="D1048">
        <v>7604044726</v>
      </c>
      <c r="E1048">
        <v>760401001</v>
      </c>
      <c r="F1048" t="s">
        <v>52</v>
      </c>
      <c r="G1048" t="s">
        <v>3833</v>
      </c>
      <c r="H1048" s="1">
        <v>45764</v>
      </c>
      <c r="J1048" s="8">
        <v>45775</v>
      </c>
      <c r="K1048" s="1" t="s">
        <v>2872</v>
      </c>
      <c r="L1048" t="s">
        <v>3834</v>
      </c>
      <c r="M1048" t="s">
        <v>2260</v>
      </c>
      <c r="N1048" s="12">
        <v>29106000</v>
      </c>
      <c r="O1048" t="s">
        <v>3613</v>
      </c>
      <c r="P1048" s="6" t="s">
        <v>1814</v>
      </c>
      <c r="R1048" t="s">
        <v>38</v>
      </c>
      <c r="S1048" s="9">
        <v>3960</v>
      </c>
      <c r="T1048" s="9">
        <v>7350</v>
      </c>
      <c r="U1048" s="9">
        <v>29106000</v>
      </c>
      <c r="V1048" s="6" t="s">
        <v>441</v>
      </c>
      <c r="W1048" t="s">
        <v>40</v>
      </c>
      <c r="X1048">
        <v>7725285067</v>
      </c>
      <c r="Y1048">
        <v>772501001</v>
      </c>
      <c r="Z1048" s="3">
        <v>45775.582638888889</v>
      </c>
      <c r="AA1048" s="6">
        <v>2025</v>
      </c>
      <c r="AB1048" s="1">
        <v>45962</v>
      </c>
    </row>
    <row r="1049" spans="1:28" x14ac:dyDescent="0.3">
      <c r="A1049" t="s">
        <v>3835</v>
      </c>
      <c r="B1049" s="6" t="s">
        <v>435</v>
      </c>
      <c r="C1049" s="6" t="s">
        <v>436</v>
      </c>
      <c r="D1049">
        <v>7604044726</v>
      </c>
      <c r="E1049">
        <v>760401001</v>
      </c>
      <c r="F1049" t="s">
        <v>52</v>
      </c>
      <c r="G1049" t="s">
        <v>3836</v>
      </c>
      <c r="H1049" s="1">
        <v>45764</v>
      </c>
      <c r="J1049" s="8">
        <v>45775</v>
      </c>
      <c r="K1049" s="1" t="s">
        <v>2872</v>
      </c>
      <c r="L1049" t="s">
        <v>3837</v>
      </c>
      <c r="M1049" t="s">
        <v>3838</v>
      </c>
      <c r="N1049" s="12">
        <v>5100480</v>
      </c>
      <c r="O1049" t="s">
        <v>3613</v>
      </c>
      <c r="P1049" s="6" t="s">
        <v>2277</v>
      </c>
      <c r="R1049" t="s">
        <v>38</v>
      </c>
      <c r="S1049" s="9">
        <v>3960</v>
      </c>
      <c r="T1049" s="9">
        <v>1288</v>
      </c>
      <c r="U1049" s="9">
        <v>5100480</v>
      </c>
      <c r="V1049" s="6" t="s">
        <v>2459</v>
      </c>
      <c r="W1049" t="s">
        <v>2460</v>
      </c>
      <c r="X1049">
        <v>4003032047</v>
      </c>
      <c r="Y1049">
        <v>772201001</v>
      </c>
      <c r="Z1049" s="3">
        <v>45775.587500000001</v>
      </c>
      <c r="AA1049" s="6">
        <v>2025</v>
      </c>
      <c r="AB1049" s="1">
        <v>45870</v>
      </c>
    </row>
    <row r="1050" spans="1:28" x14ac:dyDescent="0.3">
      <c r="A1050" t="s">
        <v>3839</v>
      </c>
      <c r="B1050" s="6" t="s">
        <v>121</v>
      </c>
      <c r="C1050" s="6" t="s">
        <v>122</v>
      </c>
      <c r="D1050">
        <v>5402155123</v>
      </c>
      <c r="E1050">
        <v>540201001</v>
      </c>
      <c r="F1050" t="s">
        <v>52</v>
      </c>
      <c r="G1050" t="s">
        <v>3840</v>
      </c>
      <c r="H1050" s="1">
        <v>45762</v>
      </c>
      <c r="I1050" t="s">
        <v>3841</v>
      </c>
      <c r="J1050" s="8">
        <v>45775</v>
      </c>
      <c r="K1050" s="1" t="s">
        <v>2872</v>
      </c>
      <c r="L1050" t="s">
        <v>3842</v>
      </c>
      <c r="M1050" t="s">
        <v>3843</v>
      </c>
      <c r="N1050" s="12">
        <v>1560000</v>
      </c>
      <c r="O1050" t="s">
        <v>3745</v>
      </c>
      <c r="P1050" s="6" t="s">
        <v>2277</v>
      </c>
      <c r="R1050" t="s">
        <v>38</v>
      </c>
      <c r="S1050" s="9">
        <v>5200</v>
      </c>
      <c r="T1050" s="9">
        <v>300</v>
      </c>
      <c r="U1050" s="9">
        <v>1560000</v>
      </c>
      <c r="V1050" s="6" t="s">
        <v>3392</v>
      </c>
      <c r="W1050" t="s">
        <v>3393</v>
      </c>
      <c r="X1050">
        <v>6658423648</v>
      </c>
      <c r="Y1050">
        <v>665801001</v>
      </c>
      <c r="Z1050" s="3">
        <v>45775.51458333333</v>
      </c>
      <c r="AA1050" s="6">
        <v>2025</v>
      </c>
      <c r="AB1050" s="1">
        <v>45991</v>
      </c>
    </row>
    <row r="1051" spans="1:28" x14ac:dyDescent="0.3">
      <c r="A1051" t="s">
        <v>3844</v>
      </c>
      <c r="B1051" s="6" t="s">
        <v>1088</v>
      </c>
      <c r="C1051" s="6" t="s">
        <v>355</v>
      </c>
      <c r="D1051">
        <v>2466212607</v>
      </c>
      <c r="E1051">
        <v>246601001</v>
      </c>
      <c r="F1051" t="s">
        <v>52</v>
      </c>
      <c r="G1051" t="s">
        <v>3845</v>
      </c>
      <c r="H1051" s="1">
        <v>45763</v>
      </c>
      <c r="I1051" t="s">
        <v>3846</v>
      </c>
      <c r="J1051" s="8">
        <v>45775</v>
      </c>
      <c r="K1051" s="1" t="s">
        <v>2872</v>
      </c>
      <c r="L1051" t="s">
        <v>3847</v>
      </c>
      <c r="M1051" t="s">
        <v>3848</v>
      </c>
      <c r="N1051" s="12">
        <v>68136495</v>
      </c>
      <c r="O1051" t="s">
        <v>3633</v>
      </c>
      <c r="P1051" s="6" t="s">
        <v>36</v>
      </c>
      <c r="R1051" t="s">
        <v>38</v>
      </c>
      <c r="S1051" s="9">
        <v>4952.5</v>
      </c>
      <c r="T1051" s="9">
        <v>13758</v>
      </c>
      <c r="U1051" s="9">
        <v>68136495</v>
      </c>
      <c r="V1051" s="6" t="s">
        <v>39</v>
      </c>
      <c r="W1051" t="s">
        <v>40</v>
      </c>
      <c r="X1051">
        <v>7810687137</v>
      </c>
      <c r="Y1051">
        <v>781401001</v>
      </c>
      <c r="Z1051" s="3">
        <v>45776.222916666666</v>
      </c>
      <c r="AA1051" s="6">
        <v>2025</v>
      </c>
      <c r="AB1051" s="1">
        <v>45838</v>
      </c>
    </row>
    <row r="1052" spans="1:28" x14ac:dyDescent="0.3">
      <c r="A1052" t="s">
        <v>3849</v>
      </c>
      <c r="B1052" s="6" t="s">
        <v>1003</v>
      </c>
      <c r="C1052" s="6" t="s">
        <v>1004</v>
      </c>
      <c r="D1052">
        <v>816025842</v>
      </c>
      <c r="E1052">
        <v>81601001</v>
      </c>
      <c r="F1052" t="s">
        <v>149</v>
      </c>
      <c r="G1052" t="s">
        <v>3850</v>
      </c>
      <c r="H1052" s="1">
        <v>45770</v>
      </c>
      <c r="I1052" t="s">
        <v>3851</v>
      </c>
      <c r="J1052" s="8">
        <v>45775</v>
      </c>
      <c r="K1052" s="1" t="s">
        <v>2872</v>
      </c>
      <c r="L1052" t="s">
        <v>3852</v>
      </c>
      <c r="M1052" t="s">
        <v>377</v>
      </c>
      <c r="N1052" s="12">
        <v>4981500</v>
      </c>
      <c r="O1052" t="s">
        <v>3633</v>
      </c>
      <c r="P1052" s="6" t="s">
        <v>36</v>
      </c>
      <c r="R1052" t="s">
        <v>38</v>
      </c>
      <c r="S1052" s="9">
        <v>4050</v>
      </c>
      <c r="T1052" s="9">
        <v>1230</v>
      </c>
      <c r="U1052" s="9">
        <v>4981500</v>
      </c>
      <c r="V1052" s="6" t="s">
        <v>1009</v>
      </c>
      <c r="W1052" t="s">
        <v>40</v>
      </c>
      <c r="X1052">
        <v>3443142095</v>
      </c>
      <c r="Y1052">
        <v>344301001</v>
      </c>
      <c r="Z1052" s="3">
        <v>45777.676388888889</v>
      </c>
      <c r="AA1052" s="6">
        <v>2025</v>
      </c>
      <c r="AB1052" s="1">
        <v>45838</v>
      </c>
    </row>
    <row r="1053" spans="1:28" x14ac:dyDescent="0.3">
      <c r="A1053" t="s">
        <v>3853</v>
      </c>
      <c r="B1053" s="6" t="s">
        <v>418</v>
      </c>
      <c r="C1053" s="6" t="s">
        <v>148</v>
      </c>
      <c r="D1053">
        <v>274157821</v>
      </c>
      <c r="E1053">
        <v>27401001</v>
      </c>
      <c r="F1053" t="s">
        <v>52</v>
      </c>
      <c r="G1053" t="s">
        <v>3854</v>
      </c>
      <c r="H1053" s="1">
        <v>45755</v>
      </c>
      <c r="J1053" s="8">
        <v>45775</v>
      </c>
      <c r="K1053" s="1" t="s">
        <v>2872</v>
      </c>
      <c r="L1053" t="s">
        <v>3855</v>
      </c>
      <c r="M1053" t="s">
        <v>3856</v>
      </c>
      <c r="N1053" s="12">
        <v>71153280</v>
      </c>
      <c r="O1053" t="s">
        <v>3613</v>
      </c>
      <c r="P1053" s="6" t="s">
        <v>464</v>
      </c>
      <c r="R1053" t="s">
        <v>38</v>
      </c>
      <c r="S1053" s="9">
        <v>2880</v>
      </c>
      <c r="T1053" s="9">
        <v>24706</v>
      </c>
      <c r="U1053" s="9">
        <v>71153280</v>
      </c>
      <c r="V1053" s="6" t="s">
        <v>848</v>
      </c>
      <c r="W1053" t="s">
        <v>849</v>
      </c>
      <c r="X1053">
        <v>2634099850</v>
      </c>
      <c r="Y1053">
        <v>263501001</v>
      </c>
      <c r="Z1053" s="3">
        <v>45776.367361111108</v>
      </c>
      <c r="AA1053" s="6">
        <v>2025</v>
      </c>
      <c r="AB1053" s="1">
        <v>46022</v>
      </c>
    </row>
    <row r="1054" spans="1:28" x14ac:dyDescent="0.3">
      <c r="A1054" t="s">
        <v>3857</v>
      </c>
      <c r="B1054" s="6" t="s">
        <v>2446</v>
      </c>
      <c r="C1054" s="6" t="s">
        <v>479</v>
      </c>
      <c r="D1054">
        <v>5503031300</v>
      </c>
      <c r="E1054">
        <v>550301001</v>
      </c>
      <c r="F1054" t="s">
        <v>52</v>
      </c>
      <c r="G1054" t="s">
        <v>3858</v>
      </c>
      <c r="H1054" s="1">
        <v>45765</v>
      </c>
      <c r="J1054" s="8">
        <v>45776</v>
      </c>
      <c r="K1054" s="1" t="s">
        <v>2872</v>
      </c>
      <c r="L1054" t="s">
        <v>3859</v>
      </c>
      <c r="M1054" t="s">
        <v>3860</v>
      </c>
      <c r="N1054" s="12">
        <v>40933030</v>
      </c>
      <c r="O1054" t="s">
        <v>3613</v>
      </c>
      <c r="P1054" s="6" t="s">
        <v>3758</v>
      </c>
      <c r="Q1054" t="s">
        <v>3258</v>
      </c>
      <c r="R1054" t="s">
        <v>38</v>
      </c>
      <c r="S1054" s="9">
        <v>3686</v>
      </c>
      <c r="T1054" s="9">
        <v>5552</v>
      </c>
      <c r="U1054" s="9">
        <v>20464672</v>
      </c>
      <c r="V1054" s="6" t="s">
        <v>90</v>
      </c>
      <c r="W1054" t="s">
        <v>59</v>
      </c>
      <c r="X1054">
        <v>5259153331</v>
      </c>
      <c r="Y1054">
        <v>525901001</v>
      </c>
      <c r="Z1054" s="3">
        <v>45776.311805555553</v>
      </c>
      <c r="AA1054" s="6">
        <v>2025</v>
      </c>
      <c r="AB1054" s="1">
        <v>45961</v>
      </c>
    </row>
    <row r="1055" spans="1:28" x14ac:dyDescent="0.3">
      <c r="A1055" t="s">
        <v>3857</v>
      </c>
      <c r="B1055" s="6" t="s">
        <v>2446</v>
      </c>
      <c r="C1055" s="6" t="s">
        <v>479</v>
      </c>
      <c r="D1055">
        <v>5503031300</v>
      </c>
      <c r="E1055">
        <v>550301001</v>
      </c>
      <c r="F1055" t="s">
        <v>52</v>
      </c>
      <c r="G1055" t="s">
        <v>3858</v>
      </c>
      <c r="H1055" s="1">
        <v>45765</v>
      </c>
      <c r="J1055" s="8">
        <v>45776</v>
      </c>
      <c r="K1055" s="1" t="s">
        <v>2872</v>
      </c>
      <c r="L1055" t="s">
        <v>3859</v>
      </c>
      <c r="M1055" t="s">
        <v>3860</v>
      </c>
      <c r="N1055" s="12">
        <v>40933030</v>
      </c>
      <c r="O1055" t="s">
        <v>3648</v>
      </c>
      <c r="P1055" s="6" t="s">
        <v>2277</v>
      </c>
      <c r="Q1055" t="s">
        <v>3258</v>
      </c>
      <c r="R1055" t="s">
        <v>38</v>
      </c>
      <c r="S1055" s="9">
        <v>3686</v>
      </c>
      <c r="T1055" s="9">
        <v>5553</v>
      </c>
      <c r="U1055" s="9">
        <v>20468358</v>
      </c>
      <c r="V1055" s="6" t="s">
        <v>90</v>
      </c>
      <c r="W1055" t="s">
        <v>59</v>
      </c>
      <c r="X1055">
        <v>5259153331</v>
      </c>
      <c r="Y1055">
        <v>525901001</v>
      </c>
      <c r="Z1055" s="3">
        <v>45776.311805555553</v>
      </c>
      <c r="AA1055" s="6">
        <v>2025</v>
      </c>
      <c r="AB1055" s="1">
        <v>45961</v>
      </c>
    </row>
    <row r="1056" spans="1:28" x14ac:dyDescent="0.3">
      <c r="A1056" t="s">
        <v>3861</v>
      </c>
      <c r="B1056" s="6" t="s">
        <v>394</v>
      </c>
      <c r="C1056" s="6" t="s">
        <v>395</v>
      </c>
      <c r="D1056">
        <v>7203000249</v>
      </c>
      <c r="E1056">
        <v>720301001</v>
      </c>
      <c r="F1056" t="s">
        <v>52</v>
      </c>
      <c r="G1056" t="s">
        <v>3862</v>
      </c>
      <c r="H1056" s="1">
        <v>45764</v>
      </c>
      <c r="I1056" t="s">
        <v>3863</v>
      </c>
      <c r="J1056" s="8">
        <v>45776</v>
      </c>
      <c r="K1056" s="1" t="s">
        <v>2872</v>
      </c>
      <c r="L1056" t="s">
        <v>3864</v>
      </c>
      <c r="M1056" t="s">
        <v>3865</v>
      </c>
      <c r="N1056" s="13">
        <v>32337495</v>
      </c>
      <c r="O1056" t="s">
        <v>3633</v>
      </c>
      <c r="P1056" s="6" t="s">
        <v>36</v>
      </c>
      <c r="R1056" t="s">
        <v>38</v>
      </c>
      <c r="S1056" s="9">
        <v>4185</v>
      </c>
      <c r="T1056" s="9">
        <v>7727</v>
      </c>
      <c r="U1056" s="9">
        <v>32337495</v>
      </c>
      <c r="V1056" s="6" t="s">
        <v>723</v>
      </c>
      <c r="W1056" t="s">
        <v>402</v>
      </c>
      <c r="X1056">
        <v>890507752198</v>
      </c>
      <c r="Z1056" s="3">
        <v>45776.290277777778</v>
      </c>
      <c r="AA1056" s="6">
        <v>2025</v>
      </c>
      <c r="AB1056" s="1">
        <v>46022</v>
      </c>
    </row>
    <row r="1057" spans="1:28" x14ac:dyDescent="0.3">
      <c r="A1057" t="s">
        <v>3866</v>
      </c>
      <c r="B1057" s="6" t="s">
        <v>1094</v>
      </c>
      <c r="C1057" s="6" t="s">
        <v>479</v>
      </c>
      <c r="D1057">
        <v>5504004638</v>
      </c>
      <c r="E1057">
        <v>550401001</v>
      </c>
      <c r="F1057" t="s">
        <v>52</v>
      </c>
      <c r="G1057" s="4" t="s">
        <v>3867</v>
      </c>
      <c r="H1057" s="1">
        <v>45765</v>
      </c>
      <c r="J1057" s="8">
        <v>45776</v>
      </c>
      <c r="K1057" s="1" t="s">
        <v>2872</v>
      </c>
      <c r="L1057" t="s">
        <v>3868</v>
      </c>
      <c r="M1057" t="s">
        <v>3869</v>
      </c>
      <c r="N1057" s="12">
        <v>49992800</v>
      </c>
      <c r="O1057" t="s">
        <v>3633</v>
      </c>
      <c r="P1057" s="6" t="s">
        <v>36</v>
      </c>
      <c r="R1057" t="s">
        <v>38</v>
      </c>
      <c r="S1057" s="9">
        <v>3800</v>
      </c>
      <c r="T1057" s="9">
        <v>13156</v>
      </c>
      <c r="U1057" s="9">
        <v>49992800</v>
      </c>
      <c r="V1057" s="6" t="s">
        <v>58</v>
      </c>
      <c r="W1057" t="s">
        <v>59</v>
      </c>
      <c r="X1057">
        <v>5262222144</v>
      </c>
      <c r="Y1057">
        <v>526201001</v>
      </c>
      <c r="Z1057" s="3">
        <v>45776.472916666666</v>
      </c>
      <c r="AA1057" s="6">
        <v>2025</v>
      </c>
      <c r="AB1057" s="1">
        <v>45961</v>
      </c>
    </row>
    <row r="1058" spans="1:28" x14ac:dyDescent="0.3">
      <c r="A1058" t="s">
        <v>3870</v>
      </c>
      <c r="B1058" s="6" t="s">
        <v>639</v>
      </c>
      <c r="C1058" s="6" t="s">
        <v>640</v>
      </c>
      <c r="D1058">
        <v>6905044950</v>
      </c>
      <c r="E1058">
        <v>695001001</v>
      </c>
      <c r="F1058" t="s">
        <v>52</v>
      </c>
      <c r="G1058" t="s">
        <v>3871</v>
      </c>
      <c r="H1058" s="1">
        <v>45765</v>
      </c>
      <c r="J1058" s="8">
        <v>45776</v>
      </c>
      <c r="K1058" s="1" t="s">
        <v>2872</v>
      </c>
      <c r="L1058" t="s">
        <v>3871</v>
      </c>
      <c r="M1058" t="s">
        <v>3872</v>
      </c>
      <c r="N1058" s="12">
        <v>52642914</v>
      </c>
      <c r="O1058" t="s">
        <v>3633</v>
      </c>
      <c r="P1058" s="6" t="s">
        <v>36</v>
      </c>
      <c r="R1058" t="s">
        <v>38</v>
      </c>
      <c r="S1058" s="9">
        <v>4029</v>
      </c>
      <c r="T1058" s="9">
        <v>13066</v>
      </c>
      <c r="U1058" s="9">
        <v>52642914</v>
      </c>
      <c r="V1058" s="6" t="s">
        <v>58</v>
      </c>
      <c r="W1058" t="s">
        <v>59</v>
      </c>
      <c r="X1058">
        <v>5262222144</v>
      </c>
      <c r="Y1058">
        <v>526201001</v>
      </c>
      <c r="Z1058" s="3">
        <v>45777.647222222222</v>
      </c>
      <c r="AA1058" s="6">
        <v>2025</v>
      </c>
      <c r="AB1058" s="1">
        <v>45931</v>
      </c>
    </row>
    <row r="1059" spans="1:28" x14ac:dyDescent="0.3">
      <c r="A1059" t="s">
        <v>3873</v>
      </c>
      <c r="B1059" s="6" t="s">
        <v>639</v>
      </c>
      <c r="C1059" s="6" t="s">
        <v>640</v>
      </c>
      <c r="D1059">
        <v>6905044950</v>
      </c>
      <c r="E1059">
        <v>695001001</v>
      </c>
      <c r="F1059" t="s">
        <v>52</v>
      </c>
      <c r="G1059" t="s">
        <v>3874</v>
      </c>
      <c r="H1059" s="1">
        <v>45765</v>
      </c>
      <c r="J1059" s="8">
        <v>45776</v>
      </c>
      <c r="K1059" s="1" t="s">
        <v>2872</v>
      </c>
      <c r="L1059" t="s">
        <v>3874</v>
      </c>
      <c r="M1059" t="s">
        <v>3875</v>
      </c>
      <c r="N1059" s="12">
        <v>18875865</v>
      </c>
      <c r="O1059" t="s">
        <v>3613</v>
      </c>
      <c r="P1059" s="6" t="s">
        <v>2277</v>
      </c>
      <c r="R1059" t="s">
        <v>38</v>
      </c>
      <c r="S1059" s="9">
        <v>4029</v>
      </c>
      <c r="T1059" s="9">
        <v>4685</v>
      </c>
      <c r="U1059" s="9">
        <v>18875865</v>
      </c>
      <c r="V1059" s="6" t="s">
        <v>251</v>
      </c>
      <c r="W1059" t="s">
        <v>252</v>
      </c>
      <c r="X1059">
        <v>5027262517</v>
      </c>
      <c r="Y1059">
        <v>502701001</v>
      </c>
      <c r="Z1059" s="3">
        <v>45777.656944444447</v>
      </c>
      <c r="AA1059" s="6">
        <v>2025</v>
      </c>
      <c r="AB1059" s="1">
        <v>45931</v>
      </c>
    </row>
    <row r="1060" spans="1:28" x14ac:dyDescent="0.3">
      <c r="A1060" t="s">
        <v>3876</v>
      </c>
      <c r="B1060" s="6" t="s">
        <v>3877</v>
      </c>
      <c r="C1060" s="6" t="s">
        <v>395</v>
      </c>
      <c r="D1060">
        <v>7202100650</v>
      </c>
      <c r="E1060">
        <v>720301001</v>
      </c>
      <c r="F1060" t="s">
        <v>44</v>
      </c>
      <c r="G1060" t="s">
        <v>3878</v>
      </c>
      <c r="H1060" s="1">
        <v>45777</v>
      </c>
      <c r="I1060" t="s">
        <v>3019</v>
      </c>
      <c r="J1060" s="8">
        <v>45777</v>
      </c>
      <c r="K1060" s="1" t="s">
        <v>2872</v>
      </c>
      <c r="L1060" t="s">
        <v>3879</v>
      </c>
      <c r="M1060" t="s">
        <v>3880</v>
      </c>
      <c r="N1060" s="12">
        <v>195000</v>
      </c>
      <c r="O1060" t="s">
        <v>3881</v>
      </c>
      <c r="P1060" s="6" t="s">
        <v>36</v>
      </c>
      <c r="R1060" t="s">
        <v>48</v>
      </c>
      <c r="S1060" s="9">
        <v>7500</v>
      </c>
      <c r="T1060" s="9">
        <v>26</v>
      </c>
      <c r="U1060" s="9">
        <v>195000</v>
      </c>
      <c r="V1060" s="6" t="s">
        <v>1954</v>
      </c>
      <c r="W1060" t="s">
        <v>402</v>
      </c>
      <c r="X1060">
        <v>7203346783</v>
      </c>
      <c r="Y1060">
        <v>720301001</v>
      </c>
      <c r="AA1060" s="6">
        <v>2025</v>
      </c>
      <c r="AB1060" s="1">
        <v>46022</v>
      </c>
    </row>
    <row r="1061" spans="1:28" x14ac:dyDescent="0.3">
      <c r="A1061" t="s">
        <v>3882</v>
      </c>
      <c r="B1061" s="6" t="s">
        <v>1126</v>
      </c>
      <c r="C1061" s="6" t="s">
        <v>164</v>
      </c>
      <c r="D1061">
        <v>7713034164</v>
      </c>
      <c r="E1061">
        <v>771301001</v>
      </c>
      <c r="F1061" t="s">
        <v>149</v>
      </c>
      <c r="G1061" t="s">
        <v>3883</v>
      </c>
      <c r="H1061" s="1">
        <v>45771</v>
      </c>
      <c r="J1061" s="8">
        <v>45777</v>
      </c>
      <c r="K1061" s="1" t="s">
        <v>2872</v>
      </c>
      <c r="L1061" t="s">
        <v>3884</v>
      </c>
      <c r="M1061" t="s">
        <v>377</v>
      </c>
      <c r="N1061" s="12">
        <v>537919.68000000005</v>
      </c>
      <c r="O1061" t="s">
        <v>3633</v>
      </c>
      <c r="P1061" s="6" t="s">
        <v>36</v>
      </c>
      <c r="R1061" t="s">
        <v>38</v>
      </c>
      <c r="S1061" s="9">
        <v>5603.33</v>
      </c>
      <c r="T1061" s="9">
        <v>96</v>
      </c>
      <c r="U1061" s="9">
        <v>537919.68000000005</v>
      </c>
      <c r="V1061" s="6" t="s">
        <v>190</v>
      </c>
      <c r="W1061" t="s">
        <v>129</v>
      </c>
      <c r="X1061">
        <v>5027264000</v>
      </c>
      <c r="Y1061">
        <v>502701001</v>
      </c>
      <c r="Z1061" s="3">
        <v>45777.490972222222</v>
      </c>
      <c r="AA1061" s="6">
        <v>2025</v>
      </c>
      <c r="AB1061" s="1">
        <v>46165</v>
      </c>
    </row>
    <row r="1062" spans="1:28" x14ac:dyDescent="0.3">
      <c r="A1062" t="s">
        <v>3885</v>
      </c>
      <c r="B1062" s="6" t="s">
        <v>361</v>
      </c>
      <c r="C1062" s="6" t="s">
        <v>164</v>
      </c>
      <c r="D1062">
        <v>7714338609</v>
      </c>
      <c r="E1062">
        <v>771401001</v>
      </c>
      <c r="F1062" t="s">
        <v>94</v>
      </c>
      <c r="G1062" t="s">
        <v>3886</v>
      </c>
      <c r="H1062" s="1">
        <v>45772</v>
      </c>
      <c r="J1062" s="8">
        <v>45777</v>
      </c>
      <c r="K1062" s="1" t="s">
        <v>2872</v>
      </c>
      <c r="L1062" t="s">
        <v>3887</v>
      </c>
      <c r="M1062" t="s">
        <v>3888</v>
      </c>
      <c r="N1062" s="12">
        <v>18000000</v>
      </c>
      <c r="O1062" t="s">
        <v>3613</v>
      </c>
      <c r="P1062" s="6" t="s">
        <v>2277</v>
      </c>
      <c r="R1062" t="s">
        <v>38</v>
      </c>
      <c r="S1062" s="9">
        <v>2890</v>
      </c>
      <c r="T1062" s="9">
        <v>6228</v>
      </c>
      <c r="U1062" s="9">
        <v>18000000</v>
      </c>
      <c r="V1062" s="6" t="s">
        <v>251</v>
      </c>
      <c r="W1062" t="s">
        <v>252</v>
      </c>
      <c r="X1062">
        <v>5027262517</v>
      </c>
      <c r="Y1062">
        <v>502701001</v>
      </c>
      <c r="Z1062" s="3">
        <v>45782.520138888889</v>
      </c>
      <c r="AA1062" s="6">
        <v>2025</v>
      </c>
      <c r="AB1062" s="1">
        <v>46022</v>
      </c>
    </row>
    <row r="1063" spans="1:28" x14ac:dyDescent="0.3">
      <c r="A1063" t="s">
        <v>3889</v>
      </c>
      <c r="B1063" s="6" t="s">
        <v>857</v>
      </c>
      <c r="C1063" s="6" t="s">
        <v>388</v>
      </c>
      <c r="D1063">
        <v>3808172327</v>
      </c>
      <c r="E1063">
        <v>380801001</v>
      </c>
      <c r="F1063" t="s">
        <v>52</v>
      </c>
      <c r="G1063" t="s">
        <v>3890</v>
      </c>
      <c r="H1063" s="1">
        <v>45765</v>
      </c>
      <c r="I1063" t="s">
        <v>3891</v>
      </c>
      <c r="J1063" s="8">
        <v>45777</v>
      </c>
      <c r="K1063" s="1" t="s">
        <v>2872</v>
      </c>
      <c r="L1063" t="s">
        <v>3892</v>
      </c>
      <c r="M1063" t="s">
        <v>3455</v>
      </c>
      <c r="N1063" s="2">
        <v>53950000</v>
      </c>
      <c r="O1063" t="s">
        <v>3633</v>
      </c>
      <c r="P1063" s="6" t="s">
        <v>36</v>
      </c>
      <c r="R1063" t="s">
        <v>38</v>
      </c>
      <c r="S1063" s="9">
        <v>4150</v>
      </c>
      <c r="T1063" s="9">
        <v>13000</v>
      </c>
      <c r="U1063" s="9">
        <v>53950000</v>
      </c>
      <c r="V1063" s="6" t="s">
        <v>58</v>
      </c>
      <c r="W1063" t="s">
        <v>59</v>
      </c>
      <c r="X1063">
        <v>5262222144</v>
      </c>
      <c r="Y1063">
        <v>526201001</v>
      </c>
      <c r="Z1063" s="3">
        <v>45782.452777777777</v>
      </c>
      <c r="AA1063" s="6">
        <v>2025</v>
      </c>
      <c r="AB1063" s="1">
        <v>46022</v>
      </c>
    </row>
    <row r="1064" spans="1:28" x14ac:dyDescent="0.3">
      <c r="A1064" t="s">
        <v>3893</v>
      </c>
      <c r="B1064" s="6" t="s">
        <v>782</v>
      </c>
      <c r="C1064" s="6" t="s">
        <v>783</v>
      </c>
      <c r="D1064">
        <v>6231025123</v>
      </c>
      <c r="E1064">
        <v>623401001</v>
      </c>
      <c r="F1064" t="s">
        <v>94</v>
      </c>
      <c r="G1064" t="s">
        <v>3894</v>
      </c>
      <c r="H1064" s="1">
        <v>45772</v>
      </c>
      <c r="J1064" s="8">
        <v>45777</v>
      </c>
      <c r="K1064" s="1" t="s">
        <v>2872</v>
      </c>
      <c r="L1064" t="s">
        <v>3895</v>
      </c>
      <c r="M1064" t="s">
        <v>1519</v>
      </c>
      <c r="N1064" s="12">
        <v>7159040</v>
      </c>
      <c r="O1064" t="s">
        <v>3613</v>
      </c>
      <c r="P1064" s="6" t="s">
        <v>2277</v>
      </c>
      <c r="R1064" t="s">
        <v>38</v>
      </c>
      <c r="S1064" s="9">
        <v>3290</v>
      </c>
      <c r="T1064" s="9">
        <v>2176</v>
      </c>
      <c r="U1064" s="9">
        <v>7159040</v>
      </c>
      <c r="V1064" s="6" t="s">
        <v>2278</v>
      </c>
      <c r="W1064" t="s">
        <v>2279</v>
      </c>
      <c r="X1064">
        <v>5027080676</v>
      </c>
      <c r="Y1064">
        <v>502701001</v>
      </c>
      <c r="Z1064" s="3">
        <v>45783.696527777778</v>
      </c>
      <c r="AA1064" s="6">
        <v>2025</v>
      </c>
      <c r="AB1064" s="1">
        <v>45983</v>
      </c>
    </row>
    <row r="1065" spans="1:28" x14ac:dyDescent="0.3">
      <c r="A1065" t="s">
        <v>3896</v>
      </c>
      <c r="B1065" s="6" t="s">
        <v>387</v>
      </c>
      <c r="C1065" s="6" t="s">
        <v>388</v>
      </c>
      <c r="D1065">
        <v>3811022096</v>
      </c>
      <c r="E1065">
        <v>381101001</v>
      </c>
      <c r="F1065" t="s">
        <v>52</v>
      </c>
      <c r="G1065" t="s">
        <v>3897</v>
      </c>
      <c r="H1065" s="1">
        <v>45765</v>
      </c>
      <c r="I1065" t="s">
        <v>3891</v>
      </c>
      <c r="J1065" s="8">
        <v>45777</v>
      </c>
      <c r="K1065" s="1" t="s">
        <v>2872</v>
      </c>
      <c r="L1065" t="s">
        <v>3897</v>
      </c>
      <c r="M1065" t="s">
        <v>3898</v>
      </c>
      <c r="N1065" s="12">
        <v>256250</v>
      </c>
      <c r="O1065" t="s">
        <v>3633</v>
      </c>
      <c r="P1065" s="6" t="s">
        <v>36</v>
      </c>
      <c r="R1065" t="s">
        <v>38</v>
      </c>
      <c r="S1065" s="9">
        <v>5125</v>
      </c>
      <c r="T1065" s="9">
        <v>50</v>
      </c>
      <c r="U1065" s="9">
        <v>256250</v>
      </c>
      <c r="V1065" s="6" t="s">
        <v>58</v>
      </c>
      <c r="W1065" t="s">
        <v>59</v>
      </c>
      <c r="X1065">
        <v>5262222144</v>
      </c>
      <c r="Y1065">
        <v>526201001</v>
      </c>
      <c r="Z1065" s="3">
        <v>45777.163888888892</v>
      </c>
      <c r="AA1065" s="6">
        <v>2025</v>
      </c>
      <c r="AB1065" s="1">
        <v>46021</v>
      </c>
    </row>
    <row r="1066" spans="1:28" x14ac:dyDescent="0.3">
      <c r="A1066" t="s">
        <v>3899</v>
      </c>
      <c r="B1066" s="6" t="s">
        <v>830</v>
      </c>
      <c r="C1066" s="6" t="s">
        <v>831</v>
      </c>
      <c r="D1066">
        <v>6163049814</v>
      </c>
      <c r="E1066">
        <v>616601001</v>
      </c>
      <c r="F1066" t="s">
        <v>52</v>
      </c>
      <c r="G1066" t="s">
        <v>3900</v>
      </c>
      <c r="H1066" s="1">
        <v>45768</v>
      </c>
      <c r="J1066" s="8">
        <v>45782</v>
      </c>
      <c r="K1066" s="1" t="s">
        <v>2872</v>
      </c>
      <c r="L1066" t="s">
        <v>3901</v>
      </c>
      <c r="M1066" t="s">
        <v>3902</v>
      </c>
      <c r="N1066" s="12">
        <v>125906974.73999999</v>
      </c>
      <c r="O1066" t="s">
        <v>3613</v>
      </c>
      <c r="P1066" s="6" t="s">
        <v>3758</v>
      </c>
      <c r="Q1066" t="s">
        <v>37</v>
      </c>
      <c r="R1066" t="s">
        <v>38</v>
      </c>
      <c r="S1066" s="9">
        <v>2984.78</v>
      </c>
      <c r="T1066" s="9">
        <v>7681</v>
      </c>
      <c r="U1066" s="9">
        <v>22926095.18</v>
      </c>
      <c r="V1066" s="6" t="s">
        <v>90</v>
      </c>
      <c r="W1066" t="s">
        <v>59</v>
      </c>
      <c r="X1066">
        <v>5259153331</v>
      </c>
      <c r="Y1066">
        <v>525901001</v>
      </c>
      <c r="Z1066" s="3">
        <v>45782.720833333333</v>
      </c>
      <c r="AA1066" s="6">
        <v>2025</v>
      </c>
      <c r="AB1066" s="1">
        <v>46022</v>
      </c>
    </row>
    <row r="1067" spans="1:28" x14ac:dyDescent="0.3">
      <c r="A1067" t="s">
        <v>3903</v>
      </c>
      <c r="B1067" s="6" t="s">
        <v>2558</v>
      </c>
      <c r="C1067" s="6" t="s">
        <v>479</v>
      </c>
      <c r="D1067">
        <v>5507045262</v>
      </c>
      <c r="E1067">
        <v>550701001</v>
      </c>
      <c r="F1067" t="s">
        <v>52</v>
      </c>
      <c r="G1067" t="s">
        <v>3904</v>
      </c>
      <c r="H1067" s="1">
        <v>45769</v>
      </c>
      <c r="J1067" s="8">
        <v>45782</v>
      </c>
      <c r="K1067" s="1" t="s">
        <v>2872</v>
      </c>
      <c r="L1067" t="s">
        <v>3905</v>
      </c>
      <c r="M1067" t="s">
        <v>3906</v>
      </c>
      <c r="N1067" s="12">
        <v>9720400</v>
      </c>
      <c r="O1067" t="s">
        <v>3613</v>
      </c>
      <c r="P1067" s="6" t="s">
        <v>3758</v>
      </c>
      <c r="Q1067" t="s">
        <v>3258</v>
      </c>
      <c r="R1067" t="s">
        <v>38</v>
      </c>
      <c r="S1067" s="9">
        <v>3800</v>
      </c>
      <c r="T1067" s="9">
        <v>2558</v>
      </c>
      <c r="U1067" s="9">
        <v>9720400</v>
      </c>
      <c r="V1067" s="6" t="s">
        <v>90</v>
      </c>
      <c r="W1067" t="s">
        <v>59</v>
      </c>
      <c r="X1067">
        <v>5259153331</v>
      </c>
      <c r="Y1067">
        <v>525901001</v>
      </c>
      <c r="Z1067" s="3">
        <v>45783.515972222223</v>
      </c>
      <c r="AA1067" s="6">
        <v>2025</v>
      </c>
      <c r="AB1067" s="1">
        <v>45838</v>
      </c>
    </row>
    <row r="1068" spans="1:28" x14ac:dyDescent="0.3">
      <c r="A1068" t="s">
        <v>3907</v>
      </c>
      <c r="B1068" s="6" t="s">
        <v>83</v>
      </c>
      <c r="C1068" s="6" t="s">
        <v>84</v>
      </c>
      <c r="D1068">
        <v>3666031335</v>
      </c>
      <c r="E1068">
        <v>366601001</v>
      </c>
      <c r="F1068" t="s">
        <v>52</v>
      </c>
      <c r="G1068" t="s">
        <v>3908</v>
      </c>
      <c r="H1068" s="1">
        <v>45771</v>
      </c>
      <c r="J1068" s="8">
        <v>45782</v>
      </c>
      <c r="K1068" s="1" t="s">
        <v>2872</v>
      </c>
      <c r="L1068" t="s">
        <v>3909</v>
      </c>
      <c r="M1068" t="s">
        <v>3910</v>
      </c>
      <c r="N1068" s="12">
        <v>4416750</v>
      </c>
      <c r="O1068" t="s">
        <v>3613</v>
      </c>
      <c r="P1068" s="6" t="s">
        <v>3758</v>
      </c>
      <c r="Q1068" t="s">
        <v>37</v>
      </c>
      <c r="R1068" t="s">
        <v>38</v>
      </c>
      <c r="S1068" s="9">
        <v>3397.5</v>
      </c>
      <c r="T1068" s="9">
        <v>1300</v>
      </c>
      <c r="U1068" s="9">
        <v>4416750</v>
      </c>
      <c r="V1068" s="6" t="s">
        <v>90</v>
      </c>
      <c r="W1068" t="s">
        <v>59</v>
      </c>
      <c r="X1068">
        <v>5259153331</v>
      </c>
      <c r="Y1068">
        <v>525901001</v>
      </c>
      <c r="Z1068" s="3">
        <v>45783.616666666669</v>
      </c>
      <c r="AA1068" s="6">
        <v>2025</v>
      </c>
      <c r="AB1068" s="1">
        <v>46022</v>
      </c>
    </row>
    <row r="1069" spans="1:28" x14ac:dyDescent="0.3">
      <c r="A1069" t="s">
        <v>3911</v>
      </c>
      <c r="B1069" s="6" t="s">
        <v>83</v>
      </c>
      <c r="C1069" s="6" t="s">
        <v>84</v>
      </c>
      <c r="D1069">
        <v>3666031335</v>
      </c>
      <c r="E1069">
        <v>366601001</v>
      </c>
      <c r="F1069" t="s">
        <v>52</v>
      </c>
      <c r="G1069" t="s">
        <v>3912</v>
      </c>
      <c r="H1069" s="1">
        <v>45771</v>
      </c>
      <c r="J1069" s="8">
        <v>45782</v>
      </c>
      <c r="K1069" s="1" t="s">
        <v>2872</v>
      </c>
      <c r="L1069" t="s">
        <v>3913</v>
      </c>
      <c r="M1069" t="s">
        <v>3914</v>
      </c>
      <c r="N1069" s="12">
        <v>95177764</v>
      </c>
      <c r="O1069" t="s">
        <v>3633</v>
      </c>
      <c r="P1069" s="6" t="s">
        <v>36</v>
      </c>
      <c r="R1069" t="s">
        <v>38</v>
      </c>
      <c r="S1069" s="9">
        <v>3439</v>
      </c>
      <c r="T1069" s="9">
        <v>27676</v>
      </c>
      <c r="U1069" s="9">
        <v>95177764</v>
      </c>
      <c r="V1069" s="6" t="s">
        <v>58</v>
      </c>
      <c r="W1069" t="s">
        <v>59</v>
      </c>
      <c r="X1069">
        <v>5262222144</v>
      </c>
      <c r="Y1069">
        <v>526201001</v>
      </c>
      <c r="Z1069" s="3">
        <v>45783.612500000003</v>
      </c>
      <c r="AA1069" s="6">
        <v>2025</v>
      </c>
      <c r="AB1069" s="1">
        <v>46022</v>
      </c>
    </row>
    <row r="1070" spans="1:28" x14ac:dyDescent="0.3">
      <c r="A1070" s="4" t="s">
        <v>3915</v>
      </c>
      <c r="B1070" s="6" t="s">
        <v>2432</v>
      </c>
      <c r="C1070" s="6" t="s">
        <v>479</v>
      </c>
      <c r="D1070">
        <v>5505013642</v>
      </c>
      <c r="E1070">
        <v>550501001</v>
      </c>
      <c r="F1070" t="s">
        <v>52</v>
      </c>
      <c r="G1070" t="s">
        <v>3916</v>
      </c>
      <c r="H1070" s="1">
        <v>45769</v>
      </c>
      <c r="J1070" s="8">
        <v>45782</v>
      </c>
      <c r="K1070" s="1" t="s">
        <v>2872</v>
      </c>
      <c r="L1070" t="s">
        <v>3917</v>
      </c>
      <c r="M1070" t="s">
        <v>3918</v>
      </c>
      <c r="N1070" s="13">
        <v>6929826.75</v>
      </c>
      <c r="O1070" t="s">
        <v>3633</v>
      </c>
      <c r="P1070" s="6" t="s">
        <v>36</v>
      </c>
      <c r="R1070" t="s">
        <v>38</v>
      </c>
      <c r="S1070" s="9">
        <v>3830.75</v>
      </c>
      <c r="T1070" s="9">
        <v>1809</v>
      </c>
      <c r="U1070" s="9">
        <v>6929826.75</v>
      </c>
      <c r="V1070" s="6" t="s">
        <v>111</v>
      </c>
      <c r="W1070" t="s">
        <v>59</v>
      </c>
      <c r="X1070">
        <v>5262258091</v>
      </c>
      <c r="Y1070">
        <v>526201001</v>
      </c>
      <c r="Z1070" s="3">
        <v>45782.354166666664</v>
      </c>
      <c r="AA1070" s="6">
        <v>2025</v>
      </c>
      <c r="AB1070" s="1">
        <v>46022</v>
      </c>
    </row>
    <row r="1071" spans="1:28" x14ac:dyDescent="0.3">
      <c r="A1071" s="4" t="s">
        <v>3919</v>
      </c>
      <c r="B1071" s="6" t="s">
        <v>1235</v>
      </c>
      <c r="C1071" s="6" t="s">
        <v>30</v>
      </c>
      <c r="D1071">
        <v>3201004917</v>
      </c>
      <c r="E1071">
        <v>325701001</v>
      </c>
      <c r="F1071" t="s">
        <v>44</v>
      </c>
      <c r="G1071">
        <v>0</v>
      </c>
      <c r="J1071" s="8">
        <v>45782</v>
      </c>
      <c r="K1071" s="1" t="s">
        <v>2872</v>
      </c>
      <c r="L1071" t="s">
        <v>3920</v>
      </c>
      <c r="M1071" t="s">
        <v>3921</v>
      </c>
      <c r="N1071" s="12">
        <v>58718028.649999999</v>
      </c>
      <c r="O1071" t="s">
        <v>3613</v>
      </c>
      <c r="P1071" s="6" t="s">
        <v>36</v>
      </c>
      <c r="R1071" t="s">
        <v>38</v>
      </c>
      <c r="S1071" s="9">
        <v>4733.33</v>
      </c>
      <c r="T1071" s="9">
        <v>11405</v>
      </c>
      <c r="U1071" s="9">
        <v>53983628.649999999</v>
      </c>
      <c r="V1071" s="6" t="s">
        <v>29</v>
      </c>
      <c r="W1071" t="s">
        <v>40</v>
      </c>
      <c r="X1071">
        <v>3201000327</v>
      </c>
      <c r="Y1071">
        <v>325701001</v>
      </c>
      <c r="Z1071" s="3">
        <v>45783.726388888892</v>
      </c>
      <c r="AA1071" s="6">
        <v>2025</v>
      </c>
      <c r="AB1071" s="1">
        <v>46022</v>
      </c>
    </row>
    <row r="1072" spans="1:28" x14ac:dyDescent="0.3">
      <c r="A1072" t="s">
        <v>3922</v>
      </c>
      <c r="B1072" s="6" t="s">
        <v>1235</v>
      </c>
      <c r="C1072" s="6" t="s">
        <v>30</v>
      </c>
      <c r="D1072">
        <v>3201004917</v>
      </c>
      <c r="E1072">
        <v>325701001</v>
      </c>
      <c r="F1072" t="s">
        <v>44</v>
      </c>
      <c r="G1072">
        <v>0</v>
      </c>
      <c r="J1072" s="8">
        <v>45782</v>
      </c>
      <c r="K1072" s="1" t="s">
        <v>2872</v>
      </c>
      <c r="L1072" t="s">
        <v>3920</v>
      </c>
      <c r="M1072" t="s">
        <v>3921</v>
      </c>
      <c r="N1072" s="12">
        <v>58718028.649999999</v>
      </c>
      <c r="O1072" t="s">
        <v>3613</v>
      </c>
      <c r="P1072" s="6" t="s">
        <v>36</v>
      </c>
      <c r="R1072" t="s">
        <v>38</v>
      </c>
      <c r="S1072" s="9">
        <v>4400</v>
      </c>
      <c r="T1072" s="9">
        <v>1076</v>
      </c>
      <c r="U1072" s="9">
        <v>4734400</v>
      </c>
      <c r="V1072" s="6" t="s">
        <v>29</v>
      </c>
      <c r="W1072" t="s">
        <v>40</v>
      </c>
      <c r="X1072">
        <v>3201000327</v>
      </c>
      <c r="Y1072">
        <v>325701001</v>
      </c>
      <c r="Z1072" s="3">
        <v>45783.726388888892</v>
      </c>
      <c r="AA1072" s="6">
        <v>2025</v>
      </c>
      <c r="AB1072" s="1">
        <v>46022</v>
      </c>
    </row>
    <row r="1073" spans="1:28" x14ac:dyDescent="0.3">
      <c r="A1073" t="s">
        <v>3923</v>
      </c>
      <c r="B1073" s="6" t="s">
        <v>830</v>
      </c>
      <c r="C1073" s="6" t="s">
        <v>831</v>
      </c>
      <c r="D1073">
        <v>6163049814</v>
      </c>
      <c r="E1073">
        <v>616601001</v>
      </c>
      <c r="F1073" t="s">
        <v>52</v>
      </c>
      <c r="G1073" s="4" t="s">
        <v>3924</v>
      </c>
      <c r="H1073" s="1">
        <v>45768</v>
      </c>
      <c r="J1073" s="8">
        <v>45782</v>
      </c>
      <c r="K1073" s="1" t="s">
        <v>2872</v>
      </c>
      <c r="L1073" t="s">
        <v>3925</v>
      </c>
      <c r="M1073" t="s">
        <v>3902</v>
      </c>
      <c r="N1073" s="12">
        <v>10366989.6</v>
      </c>
      <c r="O1073" t="s">
        <v>3613</v>
      </c>
      <c r="P1073" s="6" t="s">
        <v>1814</v>
      </c>
      <c r="R1073" t="s">
        <v>38</v>
      </c>
      <c r="S1073" s="9">
        <v>4210.8</v>
      </c>
      <c r="T1073" s="9">
        <v>2286</v>
      </c>
      <c r="U1073" s="9">
        <v>9625888.8000000007</v>
      </c>
      <c r="V1073" s="6" t="s">
        <v>90</v>
      </c>
      <c r="W1073" t="s">
        <v>59</v>
      </c>
      <c r="X1073">
        <v>5259153331</v>
      </c>
      <c r="Y1073">
        <v>525901001</v>
      </c>
      <c r="Z1073" s="3">
        <v>45782.731944444444</v>
      </c>
      <c r="AA1073" s="6">
        <v>2025</v>
      </c>
      <c r="AB1073" s="1">
        <v>46022</v>
      </c>
    </row>
    <row r="1074" spans="1:28" x14ac:dyDescent="0.3">
      <c r="A1074" t="s">
        <v>3923</v>
      </c>
      <c r="B1074" s="6" t="s">
        <v>830</v>
      </c>
      <c r="C1074" s="6" t="s">
        <v>831</v>
      </c>
      <c r="D1074">
        <v>6163049814</v>
      </c>
      <c r="E1074">
        <v>616601001</v>
      </c>
      <c r="F1074" t="s">
        <v>52</v>
      </c>
      <c r="G1074" t="s">
        <v>3926</v>
      </c>
      <c r="H1074" s="1">
        <v>45768</v>
      </c>
      <c r="J1074" s="8">
        <v>45782</v>
      </c>
      <c r="K1074" s="1" t="s">
        <v>2872</v>
      </c>
      <c r="L1074" t="s">
        <v>3925</v>
      </c>
      <c r="M1074" t="s">
        <v>3902</v>
      </c>
      <c r="N1074" s="12">
        <v>10366989.6</v>
      </c>
      <c r="O1074" t="s">
        <v>3613</v>
      </c>
      <c r="P1074" s="6" t="s">
        <v>1814</v>
      </c>
      <c r="R1074" t="s">
        <v>38</v>
      </c>
      <c r="S1074" s="9">
        <v>4210.8</v>
      </c>
      <c r="T1074" s="9">
        <v>176</v>
      </c>
      <c r="U1074" s="9">
        <v>741100.8</v>
      </c>
      <c r="V1074" s="6" t="s">
        <v>90</v>
      </c>
      <c r="W1074" t="s">
        <v>59</v>
      </c>
      <c r="X1074">
        <v>5259153331</v>
      </c>
      <c r="Y1074">
        <v>525901001</v>
      </c>
      <c r="Z1074" s="3">
        <v>45782.731944444444</v>
      </c>
      <c r="AA1074" s="6">
        <v>2025</v>
      </c>
      <c r="AB1074" s="1">
        <v>46022</v>
      </c>
    </row>
    <row r="1075" spans="1:28" x14ac:dyDescent="0.3">
      <c r="A1075" t="s">
        <v>3899</v>
      </c>
      <c r="B1075" s="6" t="s">
        <v>830</v>
      </c>
      <c r="C1075" s="6" t="s">
        <v>831</v>
      </c>
      <c r="D1075">
        <v>6163049814</v>
      </c>
      <c r="E1075">
        <v>616601001</v>
      </c>
      <c r="F1075" t="s">
        <v>52</v>
      </c>
      <c r="G1075" t="s">
        <v>3900</v>
      </c>
      <c r="H1075" s="1">
        <v>45768</v>
      </c>
      <c r="J1075" s="8">
        <v>45782</v>
      </c>
      <c r="K1075" s="1" t="s">
        <v>2872</v>
      </c>
      <c r="L1075" t="s">
        <v>3901</v>
      </c>
      <c r="M1075" t="s">
        <v>3902</v>
      </c>
      <c r="N1075" s="12">
        <v>125906974.73999999</v>
      </c>
      <c r="O1075" t="s">
        <v>3648</v>
      </c>
      <c r="P1075" s="6" t="s">
        <v>2277</v>
      </c>
      <c r="Q1075" t="s">
        <v>37</v>
      </c>
      <c r="R1075" t="s">
        <v>38</v>
      </c>
      <c r="S1075" s="9">
        <v>2984.78</v>
      </c>
      <c r="T1075" s="9">
        <v>8319</v>
      </c>
      <c r="U1075" s="9">
        <v>24830384.82</v>
      </c>
      <c r="V1075" s="6" t="s">
        <v>90</v>
      </c>
      <c r="W1075" t="s">
        <v>59</v>
      </c>
      <c r="X1075">
        <v>5259153331</v>
      </c>
      <c r="Y1075">
        <v>525901001</v>
      </c>
      <c r="Z1075" s="3">
        <v>45782.720833333333</v>
      </c>
      <c r="AA1075" s="6">
        <v>2025</v>
      </c>
      <c r="AB1075" s="1">
        <v>46022</v>
      </c>
    </row>
    <row r="1076" spans="1:28" x14ac:dyDescent="0.3">
      <c r="A1076" t="s">
        <v>3899</v>
      </c>
      <c r="B1076" s="6" t="s">
        <v>830</v>
      </c>
      <c r="C1076" s="6" t="s">
        <v>831</v>
      </c>
      <c r="D1076">
        <v>6163049814</v>
      </c>
      <c r="E1076">
        <v>616601001</v>
      </c>
      <c r="F1076" t="s">
        <v>52</v>
      </c>
      <c r="G1076" t="s">
        <v>3900</v>
      </c>
      <c r="H1076" s="1">
        <v>45768</v>
      </c>
      <c r="J1076" s="8">
        <v>45782</v>
      </c>
      <c r="K1076" s="1" t="s">
        <v>2872</v>
      </c>
      <c r="L1076" t="s">
        <v>3901</v>
      </c>
      <c r="M1076" t="s">
        <v>3902</v>
      </c>
      <c r="N1076" s="12">
        <v>125906974.73999999</v>
      </c>
      <c r="O1076" t="s">
        <v>3633</v>
      </c>
      <c r="P1076" s="6" t="s">
        <v>36</v>
      </c>
      <c r="Q1076" t="s">
        <v>37</v>
      </c>
      <c r="R1076" t="s">
        <v>38</v>
      </c>
      <c r="S1076" s="9">
        <v>2984.78</v>
      </c>
      <c r="T1076" s="9">
        <v>25545</v>
      </c>
      <c r="U1076" s="9">
        <v>76246205.099999994</v>
      </c>
      <c r="V1076" s="6" t="s">
        <v>90</v>
      </c>
      <c r="W1076" t="s">
        <v>59</v>
      </c>
      <c r="X1076">
        <v>5259153331</v>
      </c>
      <c r="Y1076">
        <v>525901001</v>
      </c>
      <c r="Z1076" s="3">
        <v>45782.720833333333</v>
      </c>
      <c r="AA1076" s="6">
        <v>2025</v>
      </c>
      <c r="AB1076" s="1">
        <v>46022</v>
      </c>
    </row>
    <row r="1077" spans="1:28" x14ac:dyDescent="0.3">
      <c r="A1077" t="s">
        <v>3927</v>
      </c>
      <c r="B1077" s="6" t="s">
        <v>1596</v>
      </c>
      <c r="C1077" s="6" t="s">
        <v>285</v>
      </c>
      <c r="D1077">
        <v>3325008103</v>
      </c>
      <c r="E1077">
        <v>332501001</v>
      </c>
      <c r="F1077" t="s">
        <v>94</v>
      </c>
      <c r="G1077" t="s">
        <v>3928</v>
      </c>
      <c r="H1077" s="1">
        <v>45775</v>
      </c>
      <c r="I1077" t="s">
        <v>3929</v>
      </c>
      <c r="J1077" s="8">
        <v>45782</v>
      </c>
      <c r="K1077" s="1" t="s">
        <v>2872</v>
      </c>
      <c r="L1077" t="s">
        <v>3928</v>
      </c>
      <c r="M1077" t="s">
        <v>3930</v>
      </c>
      <c r="N1077" s="12">
        <v>6054400</v>
      </c>
      <c r="O1077" t="s">
        <v>3633</v>
      </c>
      <c r="P1077" s="6" t="s">
        <v>36</v>
      </c>
      <c r="Q1077" t="s">
        <v>37</v>
      </c>
      <c r="R1077" t="s">
        <v>38</v>
      </c>
      <c r="S1077" s="9">
        <v>3195.44</v>
      </c>
      <c r="T1077" s="9">
        <v>1800</v>
      </c>
      <c r="U1077" s="9">
        <v>5751800.3399999999</v>
      </c>
      <c r="V1077" s="6" t="s">
        <v>111</v>
      </c>
      <c r="W1077" t="s">
        <v>59</v>
      </c>
      <c r="X1077">
        <v>5262258091</v>
      </c>
      <c r="Y1077">
        <v>526201001</v>
      </c>
      <c r="Z1077" s="3">
        <v>45782.457638888889</v>
      </c>
      <c r="AA1077" s="6">
        <v>2025</v>
      </c>
      <c r="AB1077" s="1">
        <v>46021</v>
      </c>
    </row>
    <row r="1078" spans="1:28" x14ac:dyDescent="0.3">
      <c r="A1078" t="s">
        <v>3931</v>
      </c>
      <c r="B1078" s="6" t="s">
        <v>602</v>
      </c>
      <c r="C1078" s="6" t="s">
        <v>548</v>
      </c>
      <c r="D1078">
        <v>1901130110</v>
      </c>
      <c r="E1078">
        <v>190101001</v>
      </c>
      <c r="F1078" t="s">
        <v>52</v>
      </c>
      <c r="G1078" t="s">
        <v>3932</v>
      </c>
      <c r="H1078" s="1">
        <v>45768</v>
      </c>
      <c r="J1078" s="8">
        <v>45782</v>
      </c>
      <c r="K1078" s="1" t="s">
        <v>2872</v>
      </c>
      <c r="L1078" t="s">
        <v>3933</v>
      </c>
      <c r="M1078" t="s">
        <v>3684</v>
      </c>
      <c r="N1078" s="12">
        <v>20026347.050000001</v>
      </c>
      <c r="O1078" t="s">
        <v>3776</v>
      </c>
      <c r="P1078" s="6" t="s">
        <v>2277</v>
      </c>
      <c r="R1078" t="s">
        <v>38</v>
      </c>
      <c r="S1078" s="9">
        <v>4866.67</v>
      </c>
      <c r="T1078" s="9">
        <v>4115</v>
      </c>
      <c r="U1078" s="9">
        <v>20026347.050000001</v>
      </c>
      <c r="V1078" s="6" t="s">
        <v>39</v>
      </c>
      <c r="W1078" t="s">
        <v>40</v>
      </c>
      <c r="X1078">
        <v>7810687137</v>
      </c>
      <c r="Y1078">
        <v>781401001</v>
      </c>
      <c r="Z1078" s="3">
        <v>45782.226388888892</v>
      </c>
      <c r="AA1078" s="6">
        <v>2025</v>
      </c>
      <c r="AB1078" s="1">
        <v>45869</v>
      </c>
    </row>
    <row r="1079" spans="1:28" x14ac:dyDescent="0.3">
      <c r="A1079" t="s">
        <v>3934</v>
      </c>
      <c r="B1079" s="6" t="s">
        <v>851</v>
      </c>
      <c r="C1079" s="6" t="s">
        <v>852</v>
      </c>
      <c r="D1079">
        <v>1435360610</v>
      </c>
      <c r="E1079">
        <v>143501001</v>
      </c>
      <c r="F1079" t="s">
        <v>52</v>
      </c>
      <c r="G1079" t="s">
        <v>3935</v>
      </c>
      <c r="H1079" s="1">
        <v>45768</v>
      </c>
      <c r="J1079" s="8">
        <v>45782</v>
      </c>
      <c r="K1079" s="1" t="s">
        <v>2872</v>
      </c>
      <c r="L1079" t="s">
        <v>3935</v>
      </c>
      <c r="M1079" t="s">
        <v>2978</v>
      </c>
      <c r="N1079" s="12">
        <v>3925576.35</v>
      </c>
      <c r="O1079" t="s">
        <v>3936</v>
      </c>
      <c r="P1079" s="6" t="s">
        <v>2277</v>
      </c>
      <c r="R1079" t="s">
        <v>38</v>
      </c>
      <c r="S1079" s="9">
        <v>3091.01</v>
      </c>
      <c r="T1079" s="9">
        <v>1270</v>
      </c>
      <c r="U1079" s="9">
        <v>3925576.35</v>
      </c>
      <c r="V1079" s="6" t="s">
        <v>2502</v>
      </c>
      <c r="W1079" t="s">
        <v>2503</v>
      </c>
      <c r="X1079">
        <v>381110688655</v>
      </c>
      <c r="Z1079" s="3">
        <v>45783.175694444442</v>
      </c>
      <c r="AA1079" s="6">
        <v>2025</v>
      </c>
      <c r="AB1079" s="1">
        <v>46022</v>
      </c>
    </row>
    <row r="1080" spans="1:28" x14ac:dyDescent="0.3">
      <c r="A1080" t="s">
        <v>3937</v>
      </c>
      <c r="B1080" s="6" t="s">
        <v>1776</v>
      </c>
      <c r="C1080" s="6" t="s">
        <v>460</v>
      </c>
      <c r="D1080">
        <v>4632286337</v>
      </c>
      <c r="E1080">
        <v>463201001</v>
      </c>
      <c r="F1080" t="s">
        <v>94</v>
      </c>
      <c r="G1080" t="s">
        <v>3938</v>
      </c>
      <c r="H1080" s="1">
        <v>45775</v>
      </c>
      <c r="I1080" t="s">
        <v>3929</v>
      </c>
      <c r="J1080" s="8">
        <v>45782</v>
      </c>
      <c r="K1080" s="1" t="s">
        <v>2872</v>
      </c>
      <c r="L1080" t="s">
        <v>3938</v>
      </c>
      <c r="M1080" t="s">
        <v>3939</v>
      </c>
      <c r="N1080" s="12">
        <v>6421950</v>
      </c>
      <c r="O1080" t="s">
        <v>3940</v>
      </c>
      <c r="P1080" s="6" t="s">
        <v>2941</v>
      </c>
      <c r="R1080" t="s">
        <v>38</v>
      </c>
      <c r="S1080" s="9">
        <v>3195</v>
      </c>
      <c r="T1080" s="9">
        <v>2010</v>
      </c>
      <c r="U1080" s="9">
        <v>6421950</v>
      </c>
      <c r="V1080" s="6" t="s">
        <v>90</v>
      </c>
      <c r="W1080" t="s">
        <v>59</v>
      </c>
      <c r="X1080">
        <v>5259153331</v>
      </c>
      <c r="Y1080">
        <v>525901001</v>
      </c>
      <c r="Z1080" s="3">
        <v>45783.374305555553</v>
      </c>
      <c r="AA1080" s="6">
        <v>2025</v>
      </c>
      <c r="AB1080" s="1">
        <v>46020</v>
      </c>
    </row>
    <row r="1081" spans="1:28" x14ac:dyDescent="0.3">
      <c r="A1081" t="s">
        <v>3899</v>
      </c>
      <c r="B1081" s="6" t="s">
        <v>830</v>
      </c>
      <c r="C1081" s="6" t="s">
        <v>831</v>
      </c>
      <c r="D1081">
        <v>6163049814</v>
      </c>
      <c r="E1081">
        <v>616601001</v>
      </c>
      <c r="F1081" t="s">
        <v>52</v>
      </c>
      <c r="G1081" t="s">
        <v>3900</v>
      </c>
      <c r="H1081" s="1">
        <v>45768</v>
      </c>
      <c r="J1081" s="8">
        <v>45782</v>
      </c>
      <c r="K1081" s="1" t="s">
        <v>2872</v>
      </c>
      <c r="L1081" t="s">
        <v>3901</v>
      </c>
      <c r="M1081" t="s">
        <v>3902</v>
      </c>
      <c r="N1081" s="12">
        <v>125906974.73999999</v>
      </c>
      <c r="O1081" t="s">
        <v>3613</v>
      </c>
      <c r="P1081" s="6" t="s">
        <v>3758</v>
      </c>
      <c r="Q1081" t="s">
        <v>37</v>
      </c>
      <c r="R1081" t="s">
        <v>38</v>
      </c>
      <c r="S1081" s="9">
        <v>2984.78</v>
      </c>
      <c r="T1081" s="9">
        <v>638</v>
      </c>
      <c r="U1081" s="9">
        <v>1904289.64</v>
      </c>
      <c r="V1081" s="6" t="s">
        <v>90</v>
      </c>
      <c r="W1081" t="s">
        <v>59</v>
      </c>
      <c r="X1081">
        <v>5259153331</v>
      </c>
      <c r="Y1081">
        <v>525901001</v>
      </c>
      <c r="Z1081" s="3">
        <v>45782.720833333333</v>
      </c>
      <c r="AA1081" s="6">
        <v>2025</v>
      </c>
      <c r="AB1081" s="1">
        <v>46022</v>
      </c>
    </row>
    <row r="1082" spans="1:28" x14ac:dyDescent="0.3">
      <c r="A1082" t="s">
        <v>3927</v>
      </c>
      <c r="B1082" s="6" t="s">
        <v>1596</v>
      </c>
      <c r="C1082" s="6" t="s">
        <v>285</v>
      </c>
      <c r="D1082">
        <v>3325008103</v>
      </c>
      <c r="E1082">
        <v>332501001</v>
      </c>
      <c r="F1082" t="s">
        <v>94</v>
      </c>
      <c r="G1082" t="s">
        <v>3928</v>
      </c>
      <c r="H1082" s="1">
        <v>45775</v>
      </c>
      <c r="I1082" t="s">
        <v>3929</v>
      </c>
      <c r="J1082" s="8">
        <v>45782</v>
      </c>
      <c r="K1082" s="1" t="s">
        <v>2872</v>
      </c>
      <c r="L1082" t="s">
        <v>3928</v>
      </c>
      <c r="M1082" t="s">
        <v>3930</v>
      </c>
      <c r="N1082" s="12">
        <v>6054400</v>
      </c>
      <c r="O1082" t="s">
        <v>3613</v>
      </c>
      <c r="P1082" s="6" t="s">
        <v>3758</v>
      </c>
      <c r="Q1082" t="s">
        <v>37</v>
      </c>
      <c r="R1082" t="s">
        <v>38</v>
      </c>
      <c r="S1082" s="9">
        <v>3289.13</v>
      </c>
      <c r="T1082" s="9">
        <v>92</v>
      </c>
      <c r="U1082" s="9">
        <v>302599.65999999997</v>
      </c>
      <c r="V1082" s="6" t="s">
        <v>111</v>
      </c>
      <c r="W1082" t="s">
        <v>59</v>
      </c>
      <c r="X1082">
        <v>5262258091</v>
      </c>
      <c r="Y1082">
        <v>526201001</v>
      </c>
      <c r="Z1082" s="3">
        <v>45782.457638888889</v>
      </c>
      <c r="AA1082" s="6">
        <v>2025</v>
      </c>
      <c r="AB1082" s="1">
        <v>46021</v>
      </c>
    </row>
    <row r="1083" spans="1:28" x14ac:dyDescent="0.3">
      <c r="A1083" t="s">
        <v>3941</v>
      </c>
      <c r="B1083" s="6" t="s">
        <v>121</v>
      </c>
      <c r="C1083" s="6" t="s">
        <v>122</v>
      </c>
      <c r="D1083">
        <v>5402155123</v>
      </c>
      <c r="E1083">
        <v>540201001</v>
      </c>
      <c r="F1083" t="s">
        <v>52</v>
      </c>
      <c r="G1083" t="s">
        <v>3942</v>
      </c>
      <c r="H1083" s="1">
        <v>45771</v>
      </c>
      <c r="I1083" t="s">
        <v>3943</v>
      </c>
      <c r="J1083" s="8">
        <v>45783</v>
      </c>
      <c r="K1083" s="1" t="s">
        <v>2872</v>
      </c>
      <c r="L1083" t="s">
        <v>3944</v>
      </c>
      <c r="M1083" t="s">
        <v>3945</v>
      </c>
      <c r="N1083" s="12">
        <v>956800</v>
      </c>
      <c r="O1083" t="s">
        <v>3745</v>
      </c>
      <c r="P1083" s="6" t="s">
        <v>2277</v>
      </c>
      <c r="R1083" t="s">
        <v>38</v>
      </c>
      <c r="S1083" s="9">
        <v>2392</v>
      </c>
      <c r="T1083" s="9">
        <v>400</v>
      </c>
      <c r="U1083" s="9">
        <v>956800</v>
      </c>
      <c r="V1083" s="6" t="s">
        <v>3392</v>
      </c>
      <c r="W1083" t="s">
        <v>3393</v>
      </c>
      <c r="X1083">
        <v>6658423648</v>
      </c>
      <c r="Y1083">
        <v>665801001</v>
      </c>
      <c r="Z1083" s="3">
        <v>45784.383333333331</v>
      </c>
      <c r="AA1083" s="6">
        <v>2025</v>
      </c>
      <c r="AB1083" s="1">
        <v>45991</v>
      </c>
    </row>
    <row r="1084" spans="1:28" x14ac:dyDescent="0.3">
      <c r="A1084" s="4" t="s">
        <v>3946</v>
      </c>
      <c r="B1084" s="6" t="s">
        <v>1003</v>
      </c>
      <c r="C1084" s="6" t="s">
        <v>1004</v>
      </c>
      <c r="D1084">
        <v>816025842</v>
      </c>
      <c r="E1084">
        <v>81601001</v>
      </c>
      <c r="F1084" t="s">
        <v>149</v>
      </c>
      <c r="G1084" t="s">
        <v>3947</v>
      </c>
      <c r="H1084" s="1">
        <v>45776</v>
      </c>
      <c r="I1084" t="s">
        <v>3948</v>
      </c>
      <c r="J1084" s="8">
        <v>45783</v>
      </c>
      <c r="K1084" s="1" t="s">
        <v>2872</v>
      </c>
      <c r="L1084" t="s">
        <v>3949</v>
      </c>
      <c r="M1084" t="s">
        <v>377</v>
      </c>
      <c r="N1084" s="12">
        <v>4981500</v>
      </c>
      <c r="O1084" t="s">
        <v>3633</v>
      </c>
      <c r="P1084" s="6" t="s">
        <v>36</v>
      </c>
      <c r="R1084" t="s">
        <v>38</v>
      </c>
      <c r="S1084" s="9">
        <v>4050</v>
      </c>
      <c r="T1084" s="9">
        <v>1230</v>
      </c>
      <c r="U1084" s="9">
        <v>4981500</v>
      </c>
      <c r="V1084" s="6" t="s">
        <v>1009</v>
      </c>
      <c r="W1084" t="s">
        <v>40</v>
      </c>
      <c r="X1084">
        <v>3443142095</v>
      </c>
      <c r="Y1084">
        <v>344301001</v>
      </c>
      <c r="Z1084" s="3">
        <v>45784.699305555558</v>
      </c>
      <c r="AA1084" s="6">
        <v>2025</v>
      </c>
      <c r="AB1084" s="1">
        <v>45838</v>
      </c>
    </row>
    <row r="1085" spans="1:28" x14ac:dyDescent="0.3">
      <c r="A1085" t="s">
        <v>3950</v>
      </c>
      <c r="B1085" s="6" t="s">
        <v>29</v>
      </c>
      <c r="C1085" s="6" t="s">
        <v>30</v>
      </c>
      <c r="D1085">
        <v>3201000327</v>
      </c>
      <c r="E1085">
        <v>325701001</v>
      </c>
      <c r="F1085" t="s">
        <v>52</v>
      </c>
      <c r="G1085" s="4" t="s">
        <v>3951</v>
      </c>
      <c r="H1085" s="1">
        <v>45771</v>
      </c>
      <c r="I1085" t="s">
        <v>3943</v>
      </c>
      <c r="J1085" s="8">
        <v>45783</v>
      </c>
      <c r="K1085" s="1" t="s">
        <v>2872</v>
      </c>
      <c r="L1085" t="s">
        <v>3952</v>
      </c>
      <c r="M1085" t="s">
        <v>3710</v>
      </c>
      <c r="N1085" s="12">
        <v>53983628.649999999</v>
      </c>
      <c r="O1085" t="s">
        <v>3633</v>
      </c>
      <c r="P1085" s="6" t="s">
        <v>36</v>
      </c>
      <c r="R1085" t="s">
        <v>38</v>
      </c>
      <c r="S1085" s="9">
        <v>4733.33</v>
      </c>
      <c r="T1085" s="9">
        <v>11405</v>
      </c>
      <c r="U1085" s="9">
        <v>53983628.649999999</v>
      </c>
      <c r="V1085" s="6" t="s">
        <v>39</v>
      </c>
      <c r="W1085" t="s">
        <v>40</v>
      </c>
      <c r="X1085">
        <v>7810687137</v>
      </c>
      <c r="Y1085">
        <v>781401001</v>
      </c>
      <c r="Z1085" s="3">
        <v>45783.440972222219</v>
      </c>
      <c r="AA1085" s="6">
        <v>2025</v>
      </c>
      <c r="AB1085" s="1">
        <v>46022</v>
      </c>
    </row>
    <row r="1086" spans="1:28" x14ac:dyDescent="0.3">
      <c r="A1086" t="s">
        <v>3953</v>
      </c>
      <c r="B1086" s="6" t="s">
        <v>220</v>
      </c>
      <c r="C1086" s="6" t="s">
        <v>221</v>
      </c>
      <c r="D1086">
        <v>5024068656</v>
      </c>
      <c r="E1086">
        <v>502401001</v>
      </c>
      <c r="F1086" t="s">
        <v>52</v>
      </c>
      <c r="G1086" t="s">
        <v>3954</v>
      </c>
      <c r="H1086" s="1">
        <v>45768</v>
      </c>
      <c r="J1086" s="8">
        <v>45783</v>
      </c>
      <c r="K1086" s="1" t="s">
        <v>2872</v>
      </c>
      <c r="L1086" t="s">
        <v>3954</v>
      </c>
      <c r="M1086" t="s">
        <v>3955</v>
      </c>
      <c r="N1086" s="12">
        <v>118710.09</v>
      </c>
      <c r="O1086" t="s">
        <v>3633</v>
      </c>
      <c r="P1086" s="6" t="s">
        <v>36</v>
      </c>
      <c r="R1086" t="s">
        <v>38</v>
      </c>
      <c r="S1086" s="9">
        <v>4396.67</v>
      </c>
      <c r="T1086" s="9">
        <v>27</v>
      </c>
      <c r="U1086" s="9">
        <v>118710.09</v>
      </c>
      <c r="V1086" s="6" t="s">
        <v>128</v>
      </c>
      <c r="W1086" t="s">
        <v>129</v>
      </c>
      <c r="X1086">
        <v>274110679</v>
      </c>
      <c r="Y1086">
        <v>500801001</v>
      </c>
      <c r="Z1086" s="3">
        <v>45783.707638888889</v>
      </c>
      <c r="AA1086" s="6">
        <v>2025</v>
      </c>
      <c r="AB1086" s="1">
        <v>45825</v>
      </c>
    </row>
    <row r="1087" spans="1:28" x14ac:dyDescent="0.3">
      <c r="A1087" s="4" t="s">
        <v>3956</v>
      </c>
      <c r="B1087" s="6" t="s">
        <v>554</v>
      </c>
      <c r="C1087" s="6" t="s">
        <v>555</v>
      </c>
      <c r="D1087">
        <v>7453135827</v>
      </c>
      <c r="E1087">
        <v>745301001</v>
      </c>
      <c r="F1087" t="s">
        <v>52</v>
      </c>
      <c r="G1087" t="s">
        <v>3957</v>
      </c>
      <c r="H1087" s="1">
        <v>45772</v>
      </c>
      <c r="J1087" s="8">
        <v>45783</v>
      </c>
      <c r="K1087" s="1" t="s">
        <v>2872</v>
      </c>
      <c r="L1087" t="s">
        <v>3958</v>
      </c>
      <c r="M1087" t="s">
        <v>3959</v>
      </c>
      <c r="N1087" s="12">
        <v>4137488.46</v>
      </c>
      <c r="O1087" t="s">
        <v>3633</v>
      </c>
      <c r="P1087" s="6" t="s">
        <v>36</v>
      </c>
      <c r="R1087" t="s">
        <v>38</v>
      </c>
      <c r="S1087" s="9">
        <v>4336.99</v>
      </c>
      <c r="T1087" s="9">
        <v>954</v>
      </c>
      <c r="U1087" s="9">
        <v>4137488.46</v>
      </c>
      <c r="V1087" s="6" t="s">
        <v>111</v>
      </c>
      <c r="W1087" t="s">
        <v>59</v>
      </c>
      <c r="X1087">
        <v>5262258091</v>
      </c>
      <c r="Y1087">
        <v>526201001</v>
      </c>
      <c r="Z1087" s="3">
        <v>45790.65</v>
      </c>
      <c r="AA1087" s="6">
        <v>2025</v>
      </c>
      <c r="AB1087" s="1">
        <v>46021</v>
      </c>
    </row>
    <row r="1088" spans="1:28" x14ac:dyDescent="0.3">
      <c r="A1088" t="s">
        <v>3960</v>
      </c>
      <c r="B1088" s="6" t="s">
        <v>113</v>
      </c>
      <c r="C1088" s="6" t="s">
        <v>114</v>
      </c>
      <c r="D1088">
        <v>8601035838</v>
      </c>
      <c r="E1088">
        <v>860201001</v>
      </c>
      <c r="F1088" t="s">
        <v>52</v>
      </c>
      <c r="G1088" t="s">
        <v>3961</v>
      </c>
      <c r="H1088" s="1">
        <v>45772</v>
      </c>
      <c r="J1088" s="8">
        <v>45784</v>
      </c>
      <c r="K1088" s="1" t="s">
        <v>2872</v>
      </c>
      <c r="L1088" t="s">
        <v>3962</v>
      </c>
      <c r="M1088" t="s">
        <v>3963</v>
      </c>
      <c r="N1088" s="12">
        <v>2480485.7000000002</v>
      </c>
      <c r="O1088" t="s">
        <v>3936</v>
      </c>
      <c r="P1088" s="6" t="s">
        <v>2277</v>
      </c>
      <c r="R1088" t="s">
        <v>38</v>
      </c>
      <c r="S1088" s="9">
        <v>2480.4899999999998</v>
      </c>
      <c r="T1088" s="9">
        <v>1000</v>
      </c>
      <c r="U1088" s="9">
        <v>2480485.7000000002</v>
      </c>
      <c r="V1088" s="6" t="s">
        <v>2502</v>
      </c>
      <c r="W1088" t="s">
        <v>2503</v>
      </c>
      <c r="X1088">
        <v>381110688655</v>
      </c>
      <c r="Z1088" s="3">
        <v>45784.412499999999</v>
      </c>
      <c r="AA1088" s="6">
        <v>2025</v>
      </c>
      <c r="AB1088" s="1">
        <v>45866</v>
      </c>
    </row>
    <row r="1089" spans="1:28" x14ac:dyDescent="0.3">
      <c r="A1089" s="4" t="s">
        <v>3964</v>
      </c>
      <c r="B1089" s="6" t="s">
        <v>197</v>
      </c>
      <c r="C1089" s="6" t="s">
        <v>198</v>
      </c>
      <c r="D1089">
        <v>1001046786</v>
      </c>
      <c r="E1089">
        <v>100101001</v>
      </c>
      <c r="F1089" t="s">
        <v>52</v>
      </c>
      <c r="G1089" t="s">
        <v>3965</v>
      </c>
      <c r="H1089" s="1">
        <v>45772</v>
      </c>
      <c r="J1089" s="8">
        <v>45784</v>
      </c>
      <c r="K1089" s="1" t="s">
        <v>2872</v>
      </c>
      <c r="L1089" t="s">
        <v>3965</v>
      </c>
      <c r="M1089" t="s">
        <v>3966</v>
      </c>
      <c r="N1089" s="12">
        <v>21458304</v>
      </c>
      <c r="O1089" t="s">
        <v>3648</v>
      </c>
      <c r="P1089" s="6" t="s">
        <v>2277</v>
      </c>
      <c r="R1089" t="s">
        <v>38</v>
      </c>
      <c r="S1089" s="9">
        <v>3973.76</v>
      </c>
      <c r="T1089" s="9">
        <v>5400</v>
      </c>
      <c r="U1089" s="9">
        <v>21458304</v>
      </c>
      <c r="V1089" s="6" t="s">
        <v>545</v>
      </c>
      <c r="W1089" t="s">
        <v>40</v>
      </c>
      <c r="X1089">
        <v>7713655588</v>
      </c>
      <c r="Y1089">
        <v>773001001</v>
      </c>
      <c r="Z1089" s="3">
        <v>45789.550694444442</v>
      </c>
      <c r="AA1089" s="6">
        <v>2025</v>
      </c>
      <c r="AB1089" s="1">
        <v>46022</v>
      </c>
    </row>
    <row r="1090" spans="1:28" x14ac:dyDescent="0.3">
      <c r="A1090" t="s">
        <v>3967</v>
      </c>
      <c r="B1090" s="6" t="s">
        <v>758</v>
      </c>
      <c r="C1090" s="6" t="s">
        <v>759</v>
      </c>
      <c r="D1090">
        <v>6731018660</v>
      </c>
      <c r="E1090">
        <v>673101001</v>
      </c>
      <c r="F1090" t="s">
        <v>52</v>
      </c>
      <c r="G1090" t="s">
        <v>3968</v>
      </c>
      <c r="H1090" s="1">
        <v>45775</v>
      </c>
      <c r="J1090" s="8">
        <v>45789</v>
      </c>
      <c r="K1090" s="1" t="s">
        <v>2872</v>
      </c>
      <c r="L1090" t="s">
        <v>3969</v>
      </c>
      <c r="M1090" t="s">
        <v>3970</v>
      </c>
      <c r="N1090" s="12">
        <v>4040928</v>
      </c>
      <c r="O1090" t="s">
        <v>3613</v>
      </c>
      <c r="P1090" s="6" t="s">
        <v>3758</v>
      </c>
      <c r="Q1090" t="s">
        <v>37</v>
      </c>
      <c r="R1090" t="s">
        <v>38</v>
      </c>
      <c r="S1090" s="9">
        <v>2592</v>
      </c>
      <c r="T1090" s="9">
        <v>1559</v>
      </c>
      <c r="U1090" s="9">
        <v>4040928</v>
      </c>
      <c r="V1090" s="6" t="s">
        <v>1612</v>
      </c>
      <c r="W1090" t="s">
        <v>1613</v>
      </c>
      <c r="X1090">
        <v>9727026181</v>
      </c>
      <c r="Y1090">
        <v>770601001</v>
      </c>
      <c r="Z1090" s="3">
        <v>45790.661805555559</v>
      </c>
      <c r="AA1090" s="6">
        <v>2025</v>
      </c>
      <c r="AB1090" s="1">
        <v>46053</v>
      </c>
    </row>
    <row r="1091" spans="1:28" x14ac:dyDescent="0.3">
      <c r="A1091" t="s">
        <v>776</v>
      </c>
      <c r="B1091" s="6" t="s">
        <v>3971</v>
      </c>
      <c r="C1091" s="6" t="s">
        <v>105</v>
      </c>
      <c r="D1091">
        <v>6661002248</v>
      </c>
      <c r="E1091">
        <v>667101001</v>
      </c>
      <c r="F1091" t="s">
        <v>149</v>
      </c>
      <c r="G1091" t="s">
        <v>778</v>
      </c>
      <c r="H1091" s="1">
        <v>45782</v>
      </c>
      <c r="J1091" s="8">
        <v>45789</v>
      </c>
      <c r="K1091" s="1" t="s">
        <v>2872</v>
      </c>
      <c r="L1091" t="s">
        <v>778</v>
      </c>
      <c r="M1091" t="s">
        <v>377</v>
      </c>
      <c r="N1091" s="12">
        <v>142800</v>
      </c>
      <c r="O1091" t="s">
        <v>3972</v>
      </c>
      <c r="P1091" s="6" t="s">
        <v>36</v>
      </c>
      <c r="R1091" t="s">
        <v>38</v>
      </c>
      <c r="S1091" s="9">
        <v>5100</v>
      </c>
      <c r="T1091" s="9">
        <v>28</v>
      </c>
      <c r="U1091" s="9">
        <v>142800</v>
      </c>
      <c r="V1091" s="6" t="s">
        <v>58</v>
      </c>
      <c r="W1091" t="s">
        <v>59</v>
      </c>
      <c r="X1091">
        <v>5262222144</v>
      </c>
      <c r="Y1091">
        <v>526201001</v>
      </c>
      <c r="Z1091" s="3">
        <v>45789.313888888886</v>
      </c>
      <c r="AA1091" s="6">
        <v>2025</v>
      </c>
      <c r="AB1091" s="1">
        <v>46022</v>
      </c>
    </row>
    <row r="1092" spans="1:28" x14ac:dyDescent="0.3">
      <c r="A1092" t="s">
        <v>3973</v>
      </c>
      <c r="B1092" s="6" t="s">
        <v>997</v>
      </c>
      <c r="C1092" s="6" t="s">
        <v>336</v>
      </c>
      <c r="D1092">
        <v>5905061070</v>
      </c>
      <c r="E1092">
        <v>590501001</v>
      </c>
      <c r="F1092" t="s">
        <v>52</v>
      </c>
      <c r="G1092" t="s">
        <v>3974</v>
      </c>
      <c r="H1092" s="1">
        <v>45775</v>
      </c>
      <c r="J1092" s="8">
        <v>45789</v>
      </c>
      <c r="K1092" s="1" t="s">
        <v>2872</v>
      </c>
      <c r="L1092" t="s">
        <v>3974</v>
      </c>
      <c r="M1092" t="s">
        <v>377</v>
      </c>
      <c r="N1092" s="12">
        <v>68788059.299999997</v>
      </c>
      <c r="O1092" t="s">
        <v>3633</v>
      </c>
      <c r="P1092" s="6" t="s">
        <v>36</v>
      </c>
      <c r="R1092" t="s">
        <v>38</v>
      </c>
      <c r="S1092" s="9">
        <v>3866.67</v>
      </c>
      <c r="T1092" s="9">
        <v>17790</v>
      </c>
      <c r="U1092" s="9">
        <v>68788059.299999997</v>
      </c>
      <c r="V1092" s="6" t="s">
        <v>58</v>
      </c>
      <c r="W1092" t="s">
        <v>59</v>
      </c>
      <c r="X1092">
        <v>5262222144</v>
      </c>
      <c r="Y1092">
        <v>526201001</v>
      </c>
      <c r="Z1092" s="3">
        <v>45790.288888888892</v>
      </c>
      <c r="AA1092" s="6">
        <v>2025</v>
      </c>
      <c r="AB1092" s="1">
        <v>46022</v>
      </c>
    </row>
    <row r="1093" spans="1:28" x14ac:dyDescent="0.3">
      <c r="A1093" s="4" t="s">
        <v>3975</v>
      </c>
      <c r="B1093" s="6" t="s">
        <v>459</v>
      </c>
      <c r="C1093" s="6" t="s">
        <v>460</v>
      </c>
      <c r="D1093">
        <v>4629019420</v>
      </c>
      <c r="E1093">
        <v>463201001</v>
      </c>
      <c r="F1093" t="s">
        <v>52</v>
      </c>
      <c r="G1093" t="s">
        <v>3976</v>
      </c>
      <c r="H1093" s="1">
        <v>45776</v>
      </c>
      <c r="I1093" t="s">
        <v>3977</v>
      </c>
      <c r="J1093" s="8">
        <v>45789</v>
      </c>
      <c r="K1093" s="1" t="s">
        <v>2872</v>
      </c>
      <c r="L1093" t="s">
        <v>3978</v>
      </c>
      <c r="M1093" t="s">
        <v>463</v>
      </c>
      <c r="N1093" s="12">
        <v>39164790</v>
      </c>
      <c r="O1093" t="s">
        <v>3979</v>
      </c>
      <c r="P1093" s="6" t="s">
        <v>2277</v>
      </c>
      <c r="R1093" t="s">
        <v>38</v>
      </c>
      <c r="S1093" s="9">
        <v>4130</v>
      </c>
      <c r="T1093" s="9">
        <v>4000</v>
      </c>
      <c r="U1093" s="9">
        <v>16520000</v>
      </c>
      <c r="V1093" s="6" t="s">
        <v>58</v>
      </c>
      <c r="W1093" t="s">
        <v>59</v>
      </c>
      <c r="X1093">
        <v>5262222144</v>
      </c>
      <c r="Y1093">
        <v>526201001</v>
      </c>
      <c r="Z1093" s="3">
        <v>45790.407638888886</v>
      </c>
      <c r="AA1093" s="6">
        <v>2025</v>
      </c>
      <c r="AB1093" s="1">
        <v>46014</v>
      </c>
    </row>
    <row r="1094" spans="1:28" x14ac:dyDescent="0.3">
      <c r="A1094" s="4" t="s">
        <v>3975</v>
      </c>
      <c r="B1094" s="6" t="s">
        <v>459</v>
      </c>
      <c r="C1094" s="6" t="s">
        <v>460</v>
      </c>
      <c r="D1094">
        <v>4629019420</v>
      </c>
      <c r="E1094">
        <v>463201001</v>
      </c>
      <c r="F1094" t="s">
        <v>52</v>
      </c>
      <c r="G1094" t="s">
        <v>3976</v>
      </c>
      <c r="H1094" s="1">
        <v>45776</v>
      </c>
      <c r="I1094" t="s">
        <v>3977</v>
      </c>
      <c r="J1094" s="8">
        <v>45789</v>
      </c>
      <c r="K1094" s="1" t="s">
        <v>2872</v>
      </c>
      <c r="L1094" t="s">
        <v>3978</v>
      </c>
      <c r="M1094" t="s">
        <v>463</v>
      </c>
      <c r="N1094" s="12">
        <v>37913400</v>
      </c>
      <c r="O1094" t="s">
        <v>3745</v>
      </c>
      <c r="P1094" s="6" t="s">
        <v>2277</v>
      </c>
      <c r="R1094" t="s">
        <v>38</v>
      </c>
      <c r="S1094" s="9">
        <v>4130</v>
      </c>
      <c r="T1094" s="9">
        <v>4000</v>
      </c>
      <c r="U1094" s="9">
        <v>16520000</v>
      </c>
      <c r="V1094" s="6" t="s">
        <v>58</v>
      </c>
      <c r="W1094" t="s">
        <v>59</v>
      </c>
      <c r="X1094">
        <v>5262222144</v>
      </c>
      <c r="Y1094">
        <v>526201001</v>
      </c>
      <c r="Z1094" s="3">
        <v>45789.39166666667</v>
      </c>
      <c r="AA1094" s="6">
        <v>2025</v>
      </c>
      <c r="AB1094" s="1">
        <v>46014</v>
      </c>
    </row>
    <row r="1095" spans="1:28" x14ac:dyDescent="0.3">
      <c r="A1095" t="s">
        <v>3980</v>
      </c>
      <c r="B1095" s="6" t="s">
        <v>459</v>
      </c>
      <c r="C1095" s="6" t="s">
        <v>460</v>
      </c>
      <c r="D1095">
        <v>4629019420</v>
      </c>
      <c r="E1095">
        <v>463201001</v>
      </c>
      <c r="F1095" t="s">
        <v>52</v>
      </c>
      <c r="G1095" t="s">
        <v>3976</v>
      </c>
      <c r="H1095" s="1">
        <v>45776</v>
      </c>
      <c r="I1095" t="s">
        <v>3977</v>
      </c>
      <c r="J1095" s="8">
        <v>45789</v>
      </c>
      <c r="K1095" s="1" t="s">
        <v>2872</v>
      </c>
      <c r="L1095" t="s">
        <v>3978</v>
      </c>
      <c r="M1095" t="s">
        <v>463</v>
      </c>
      <c r="N1095" s="12">
        <v>39164790</v>
      </c>
      <c r="O1095" t="s">
        <v>3981</v>
      </c>
      <c r="P1095" s="6" t="s">
        <v>36</v>
      </c>
      <c r="R1095" t="s">
        <v>38</v>
      </c>
      <c r="S1095" s="9">
        <v>4130</v>
      </c>
      <c r="T1095" s="9">
        <v>5483</v>
      </c>
      <c r="U1095" s="9">
        <v>22644790</v>
      </c>
      <c r="V1095" s="6" t="s">
        <v>58</v>
      </c>
      <c r="W1095" t="s">
        <v>59</v>
      </c>
      <c r="X1095">
        <v>5262222144</v>
      </c>
      <c r="Y1095">
        <v>526201001</v>
      </c>
      <c r="Z1095" s="3">
        <v>45790.407638888886</v>
      </c>
      <c r="AA1095" s="6">
        <v>2025</v>
      </c>
      <c r="AB1095" s="1">
        <v>46014</v>
      </c>
    </row>
    <row r="1096" spans="1:28" x14ac:dyDescent="0.3">
      <c r="A1096" t="s">
        <v>3980</v>
      </c>
      <c r="B1096" s="6" t="s">
        <v>459</v>
      </c>
      <c r="C1096" s="6" t="s">
        <v>460</v>
      </c>
      <c r="D1096">
        <v>4629019420</v>
      </c>
      <c r="E1096">
        <v>463201001</v>
      </c>
      <c r="F1096" t="s">
        <v>52</v>
      </c>
      <c r="G1096" t="s">
        <v>3976</v>
      </c>
      <c r="H1096" s="1">
        <v>45776</v>
      </c>
      <c r="I1096" t="s">
        <v>3977</v>
      </c>
      <c r="J1096" s="8">
        <v>45789</v>
      </c>
      <c r="K1096" s="1" t="s">
        <v>2872</v>
      </c>
      <c r="L1096" t="s">
        <v>3978</v>
      </c>
      <c r="M1096" t="s">
        <v>463</v>
      </c>
      <c r="N1096" s="12">
        <v>37913400</v>
      </c>
      <c r="O1096" t="s">
        <v>3633</v>
      </c>
      <c r="P1096" s="6" t="s">
        <v>36</v>
      </c>
      <c r="R1096" t="s">
        <v>38</v>
      </c>
      <c r="S1096" s="9">
        <v>4130</v>
      </c>
      <c r="T1096" s="9">
        <v>5180</v>
      </c>
      <c r="U1096" s="9">
        <v>21393400</v>
      </c>
      <c r="V1096" s="6" t="s">
        <v>58</v>
      </c>
      <c r="W1096" t="s">
        <v>59</v>
      </c>
      <c r="X1096">
        <v>5262222144</v>
      </c>
      <c r="Y1096">
        <v>526201001</v>
      </c>
      <c r="Z1096" s="3">
        <v>45789.39166666667</v>
      </c>
      <c r="AA1096" s="6">
        <v>2025</v>
      </c>
      <c r="AB1096" s="1">
        <v>46014</v>
      </c>
    </row>
    <row r="1097" spans="1:28" x14ac:dyDescent="0.3">
      <c r="A1097" t="s">
        <v>3982</v>
      </c>
      <c r="B1097" s="6" t="s">
        <v>3983</v>
      </c>
      <c r="C1097" s="6" t="s">
        <v>43</v>
      </c>
      <c r="D1097">
        <v>5611087244</v>
      </c>
      <c r="E1097">
        <v>561001001</v>
      </c>
      <c r="F1097" t="s">
        <v>2712</v>
      </c>
      <c r="G1097" t="s">
        <v>3984</v>
      </c>
      <c r="H1097" s="1">
        <v>45771</v>
      </c>
      <c r="I1097" t="s">
        <v>3019</v>
      </c>
      <c r="J1097" s="8">
        <v>45790</v>
      </c>
      <c r="K1097" s="1" t="s">
        <v>2872</v>
      </c>
      <c r="L1097" t="s">
        <v>3985</v>
      </c>
      <c r="M1097" t="s">
        <v>3986</v>
      </c>
      <c r="N1097" s="12">
        <v>265200</v>
      </c>
      <c r="O1097" t="s">
        <v>3987</v>
      </c>
      <c r="P1097" s="6" t="s">
        <v>36</v>
      </c>
      <c r="R1097" t="s">
        <v>48</v>
      </c>
      <c r="S1097" s="9">
        <v>3900</v>
      </c>
      <c r="T1097" s="9">
        <v>68</v>
      </c>
      <c r="U1097" s="9">
        <v>265200</v>
      </c>
      <c r="V1097" s="6" t="s">
        <v>39</v>
      </c>
      <c r="W1097" t="s">
        <v>40</v>
      </c>
      <c r="Z1097" s="3"/>
      <c r="AA1097" s="6">
        <v>2025</v>
      </c>
      <c r="AB1097" s="1">
        <v>46022</v>
      </c>
    </row>
    <row r="1098" spans="1:28" x14ac:dyDescent="0.3">
      <c r="A1098" t="s">
        <v>3988</v>
      </c>
      <c r="B1098" s="6" t="s">
        <v>1368</v>
      </c>
      <c r="C1098" s="6" t="s">
        <v>1048</v>
      </c>
      <c r="D1098">
        <v>2901070303</v>
      </c>
      <c r="E1098">
        <v>290101001</v>
      </c>
      <c r="F1098" t="s">
        <v>52</v>
      </c>
      <c r="G1098" t="s">
        <v>3989</v>
      </c>
      <c r="H1098" s="1">
        <v>45777</v>
      </c>
      <c r="I1098" t="s">
        <v>3990</v>
      </c>
      <c r="J1098" s="8">
        <v>45791</v>
      </c>
      <c r="K1098" s="1" t="s">
        <v>2872</v>
      </c>
      <c r="L1098" t="s">
        <v>3991</v>
      </c>
      <c r="M1098" t="s">
        <v>3502</v>
      </c>
      <c r="N1098" s="12">
        <v>53390400</v>
      </c>
      <c r="O1098" t="s">
        <v>3613</v>
      </c>
      <c r="P1098" s="6" t="s">
        <v>3758</v>
      </c>
      <c r="Q1098" t="s">
        <v>37</v>
      </c>
      <c r="R1098" t="s">
        <v>38</v>
      </c>
      <c r="S1098" s="9">
        <v>4900</v>
      </c>
      <c r="T1098" s="9">
        <v>5896</v>
      </c>
      <c r="U1098" s="9">
        <v>28890400</v>
      </c>
      <c r="V1098" s="6" t="s">
        <v>3992</v>
      </c>
      <c r="W1098" t="s">
        <v>59</v>
      </c>
      <c r="X1098">
        <v>9731077333</v>
      </c>
      <c r="Y1098">
        <v>773101001</v>
      </c>
      <c r="Z1098" s="3">
        <v>45791.431250000001</v>
      </c>
      <c r="AA1098" s="6">
        <v>2025</v>
      </c>
      <c r="AB1098" s="1">
        <v>45991</v>
      </c>
    </row>
    <row r="1099" spans="1:28" x14ac:dyDescent="0.3">
      <c r="A1099" t="s">
        <v>3993</v>
      </c>
      <c r="B1099" s="6" t="s">
        <v>68</v>
      </c>
      <c r="C1099" s="6" t="s">
        <v>69</v>
      </c>
      <c r="D1099">
        <v>8300010526</v>
      </c>
      <c r="E1099">
        <v>298301001</v>
      </c>
      <c r="F1099" t="s">
        <v>52</v>
      </c>
      <c r="G1099" t="s">
        <v>3994</v>
      </c>
      <c r="H1099" s="1">
        <v>45777</v>
      </c>
      <c r="J1099" s="8">
        <v>45791</v>
      </c>
      <c r="K1099" s="1" t="s">
        <v>2872</v>
      </c>
      <c r="L1099" t="s">
        <v>3051</v>
      </c>
      <c r="M1099" t="s">
        <v>1519</v>
      </c>
      <c r="N1099" s="12">
        <v>2261655</v>
      </c>
      <c r="O1099" t="s">
        <v>3648</v>
      </c>
      <c r="P1099" s="6" t="s">
        <v>2277</v>
      </c>
      <c r="R1099" t="s">
        <v>38</v>
      </c>
      <c r="S1099" s="9">
        <v>4188.25</v>
      </c>
      <c r="T1099" s="9">
        <v>540</v>
      </c>
      <c r="U1099" s="9">
        <v>2261655</v>
      </c>
      <c r="V1099" s="6" t="s">
        <v>352</v>
      </c>
      <c r="W1099" t="s">
        <v>40</v>
      </c>
      <c r="X1099">
        <v>7843014747</v>
      </c>
      <c r="Y1099">
        <v>781401001</v>
      </c>
      <c r="Z1099" s="3">
        <v>45791.474305555559</v>
      </c>
      <c r="AA1099" s="6">
        <v>2025</v>
      </c>
      <c r="AB1099" s="1">
        <v>45873</v>
      </c>
    </row>
    <row r="1100" spans="1:28" x14ac:dyDescent="0.3">
      <c r="A1100" t="s">
        <v>3995</v>
      </c>
      <c r="B1100" s="6" t="s">
        <v>2738</v>
      </c>
      <c r="C1100" s="6" t="s">
        <v>852</v>
      </c>
      <c r="D1100">
        <v>1435026510</v>
      </c>
      <c r="E1100">
        <v>143501001</v>
      </c>
      <c r="F1100" t="s">
        <v>52</v>
      </c>
      <c r="G1100" t="s">
        <v>3996</v>
      </c>
      <c r="H1100" s="1">
        <v>45772</v>
      </c>
      <c r="J1100" s="8">
        <v>45791</v>
      </c>
      <c r="K1100" s="1" t="s">
        <v>2872</v>
      </c>
      <c r="L1100" t="s">
        <v>3997</v>
      </c>
      <c r="M1100" t="s">
        <v>3998</v>
      </c>
      <c r="N1100" s="12">
        <v>21090417.300000001</v>
      </c>
      <c r="O1100" t="s">
        <v>3613</v>
      </c>
      <c r="P1100" s="6" t="s">
        <v>2941</v>
      </c>
      <c r="R1100" t="s">
        <v>38</v>
      </c>
      <c r="S1100" s="9">
        <v>3971.83</v>
      </c>
      <c r="T1100" s="9">
        <v>5310</v>
      </c>
      <c r="U1100" s="9">
        <v>21090417.300000001</v>
      </c>
      <c r="V1100" s="6" t="s">
        <v>1815</v>
      </c>
      <c r="W1100" t="s">
        <v>1816</v>
      </c>
      <c r="X1100">
        <v>7708813060</v>
      </c>
      <c r="Y1100">
        <v>770801001</v>
      </c>
      <c r="Z1100" s="3">
        <v>45792.197222222225</v>
      </c>
      <c r="AA1100" s="6">
        <v>2025</v>
      </c>
      <c r="AB1100" s="1">
        <v>46011</v>
      </c>
    </row>
    <row r="1101" spans="1:28" x14ac:dyDescent="0.3">
      <c r="A1101" t="s">
        <v>3999</v>
      </c>
      <c r="B1101" s="6" t="s">
        <v>4000</v>
      </c>
      <c r="C1101" s="6" t="s">
        <v>539</v>
      </c>
      <c r="D1101">
        <v>7802067651</v>
      </c>
      <c r="E1101">
        <v>780201001</v>
      </c>
      <c r="F1101" t="s">
        <v>94</v>
      </c>
      <c r="G1101" t="s">
        <v>4001</v>
      </c>
      <c r="H1101" s="1">
        <v>45784</v>
      </c>
      <c r="J1101" s="8">
        <v>45791</v>
      </c>
      <c r="K1101" s="1" t="s">
        <v>2872</v>
      </c>
      <c r="L1101" t="s">
        <v>4001</v>
      </c>
      <c r="M1101" t="s">
        <v>4002</v>
      </c>
      <c r="N1101" s="12">
        <v>540000</v>
      </c>
      <c r="O1101" t="s">
        <v>3633</v>
      </c>
      <c r="P1101" s="6" t="s">
        <v>36</v>
      </c>
      <c r="R1101" t="s">
        <v>38</v>
      </c>
      <c r="S1101" s="9">
        <v>4500</v>
      </c>
      <c r="T1101" s="9">
        <v>120</v>
      </c>
      <c r="U1101" s="9">
        <v>540000</v>
      </c>
      <c r="V1101" s="6" t="s">
        <v>352</v>
      </c>
      <c r="W1101" t="s">
        <v>40</v>
      </c>
      <c r="X1101">
        <v>7843014747</v>
      </c>
      <c r="Y1101">
        <v>781401001</v>
      </c>
      <c r="Z1101" s="3">
        <v>45792.427083333336</v>
      </c>
      <c r="AA1101" s="6">
        <v>2025</v>
      </c>
      <c r="AB1101" s="1">
        <v>46073</v>
      </c>
    </row>
    <row r="1102" spans="1:28" x14ac:dyDescent="0.3">
      <c r="A1102" t="s">
        <v>3988</v>
      </c>
      <c r="B1102" s="6" t="s">
        <v>1368</v>
      </c>
      <c r="C1102" s="6" t="s">
        <v>1048</v>
      </c>
      <c r="D1102">
        <v>2901070303</v>
      </c>
      <c r="E1102">
        <v>290101001</v>
      </c>
      <c r="F1102" t="s">
        <v>52</v>
      </c>
      <c r="G1102" t="s">
        <v>3989</v>
      </c>
      <c r="H1102" s="1">
        <v>45777</v>
      </c>
      <c r="I1102" t="s">
        <v>3990</v>
      </c>
      <c r="J1102" s="8">
        <v>45791</v>
      </c>
      <c r="K1102" s="1" t="s">
        <v>2872</v>
      </c>
      <c r="L1102" t="s">
        <v>3991</v>
      </c>
      <c r="M1102" t="s">
        <v>3502</v>
      </c>
      <c r="N1102" s="12">
        <v>53390400</v>
      </c>
      <c r="O1102" t="s">
        <v>4003</v>
      </c>
      <c r="P1102" s="6" t="s">
        <v>2277</v>
      </c>
      <c r="Q1102" t="s">
        <v>37</v>
      </c>
      <c r="R1102" t="s">
        <v>38</v>
      </c>
      <c r="S1102" s="9">
        <v>4900</v>
      </c>
      <c r="T1102" s="9">
        <v>5000</v>
      </c>
      <c r="U1102" s="9">
        <v>24500000</v>
      </c>
      <c r="V1102" s="6" t="s">
        <v>3992</v>
      </c>
      <c r="W1102" t="s">
        <v>59</v>
      </c>
      <c r="X1102">
        <v>9731077333</v>
      </c>
      <c r="Y1102">
        <v>773101001</v>
      </c>
      <c r="Z1102" s="3">
        <v>45791.431250000001</v>
      </c>
      <c r="AA1102" s="6">
        <v>2025</v>
      </c>
      <c r="AB1102" s="1">
        <v>45991</v>
      </c>
    </row>
    <row r="1103" spans="1:28" x14ac:dyDescent="0.3">
      <c r="A1103" t="s">
        <v>4004</v>
      </c>
      <c r="B1103" s="6" t="s">
        <v>1368</v>
      </c>
      <c r="C1103" s="6" t="s">
        <v>1048</v>
      </c>
      <c r="D1103">
        <v>2901070303</v>
      </c>
      <c r="E1103">
        <v>290101001</v>
      </c>
      <c r="F1103" t="s">
        <v>52</v>
      </c>
      <c r="G1103" t="s">
        <v>4005</v>
      </c>
      <c r="H1103" s="1">
        <v>45777</v>
      </c>
      <c r="I1103" t="s">
        <v>3990</v>
      </c>
      <c r="J1103" s="8">
        <v>45791</v>
      </c>
      <c r="K1103" s="1" t="s">
        <v>2872</v>
      </c>
      <c r="L1103" t="s">
        <v>4006</v>
      </c>
      <c r="M1103" t="s">
        <v>2588</v>
      </c>
      <c r="N1103" s="12">
        <v>38508904</v>
      </c>
      <c r="O1103" t="s">
        <v>3633</v>
      </c>
      <c r="P1103" s="6" t="s">
        <v>36</v>
      </c>
      <c r="R1103" t="s">
        <v>38</v>
      </c>
      <c r="S1103" s="9">
        <v>4728.5</v>
      </c>
      <c r="T1103" s="9">
        <v>8144</v>
      </c>
      <c r="U1103" s="9">
        <v>38508904</v>
      </c>
      <c r="V1103" s="6" t="s">
        <v>3992</v>
      </c>
      <c r="W1103" t="s">
        <v>59</v>
      </c>
      <c r="X1103">
        <v>9731077333</v>
      </c>
      <c r="Y1103">
        <v>773101001</v>
      </c>
      <c r="Z1103" s="3">
        <v>45791.426388888889</v>
      </c>
      <c r="AA1103" s="6">
        <v>2025</v>
      </c>
      <c r="AB1103" s="1">
        <v>45991</v>
      </c>
    </row>
    <row r="1104" spans="1:28" x14ac:dyDescent="0.3">
      <c r="A1104" t="s">
        <v>4007</v>
      </c>
      <c r="B1104" s="6" t="s">
        <v>4008</v>
      </c>
      <c r="C1104" s="6" t="s">
        <v>759</v>
      </c>
      <c r="D1104">
        <v>6731033838</v>
      </c>
      <c r="E1104">
        <v>673101001</v>
      </c>
      <c r="F1104" t="s">
        <v>2712</v>
      </c>
      <c r="G1104" t="s">
        <v>4009</v>
      </c>
      <c r="H1104" s="1">
        <v>45775</v>
      </c>
      <c r="I1104" t="s">
        <v>3019</v>
      </c>
      <c r="J1104" s="8">
        <v>45791</v>
      </c>
      <c r="K1104" s="1" t="s">
        <v>2872</v>
      </c>
      <c r="L1104" t="s">
        <v>4009</v>
      </c>
      <c r="M1104" t="s">
        <v>4010</v>
      </c>
      <c r="N1104" s="12">
        <v>18985215.600000001</v>
      </c>
      <c r="O1104" t="s">
        <v>4011</v>
      </c>
      <c r="P1104" s="6" t="s">
        <v>36</v>
      </c>
      <c r="R1104" t="s">
        <v>48</v>
      </c>
      <c r="S1104" s="9">
        <v>4036.39</v>
      </c>
      <c r="T1104" s="9">
        <v>4703</v>
      </c>
      <c r="U1104" s="9">
        <v>18985215.600000001</v>
      </c>
      <c r="V1104" s="6" t="s">
        <v>39</v>
      </c>
      <c r="W1104" t="s">
        <v>40</v>
      </c>
      <c r="Z1104" s="3"/>
      <c r="AA1104" s="6">
        <v>2025</v>
      </c>
      <c r="AB1104" s="1">
        <v>46053</v>
      </c>
    </row>
    <row r="1105" spans="1:28" x14ac:dyDescent="0.3">
      <c r="A1105" t="s">
        <v>4012</v>
      </c>
      <c r="B1105" s="6" t="s">
        <v>276</v>
      </c>
      <c r="C1105" s="6" t="s">
        <v>277</v>
      </c>
      <c r="D1105">
        <v>9102012869</v>
      </c>
      <c r="E1105">
        <v>910201001</v>
      </c>
      <c r="F1105" t="s">
        <v>52</v>
      </c>
      <c r="G1105" t="s">
        <v>4013</v>
      </c>
      <c r="H1105" s="1">
        <v>45775</v>
      </c>
      <c r="I1105" t="s">
        <v>4014</v>
      </c>
      <c r="J1105" s="8">
        <v>45792</v>
      </c>
      <c r="K1105" s="1" t="s">
        <v>2872</v>
      </c>
      <c r="L1105" t="s">
        <v>4013</v>
      </c>
      <c r="M1105" t="s">
        <v>4015</v>
      </c>
      <c r="N1105" s="12">
        <v>63522379</v>
      </c>
      <c r="O1105" t="s">
        <v>3815</v>
      </c>
      <c r="P1105" s="6" t="s">
        <v>3758</v>
      </c>
      <c r="Q1105" t="s">
        <v>3258</v>
      </c>
      <c r="R1105" t="s">
        <v>38</v>
      </c>
      <c r="S1105" s="9">
        <v>4636.67</v>
      </c>
      <c r="T1105" s="9">
        <v>4567</v>
      </c>
      <c r="U1105" s="9">
        <v>21175671.890000001</v>
      </c>
      <c r="V1105" s="6" t="s">
        <v>39</v>
      </c>
      <c r="W1105" t="s">
        <v>40</v>
      </c>
      <c r="X1105">
        <v>7810687137</v>
      </c>
      <c r="Y1105">
        <v>781401001</v>
      </c>
      <c r="Z1105" s="3">
        <v>45792.427083333336</v>
      </c>
      <c r="AA1105" s="6">
        <v>2025</v>
      </c>
      <c r="AB1105" s="1">
        <v>46021</v>
      </c>
    </row>
    <row r="1106" spans="1:28" x14ac:dyDescent="0.3">
      <c r="A1106" t="s">
        <v>4016</v>
      </c>
      <c r="B1106" s="6" t="s">
        <v>2724</v>
      </c>
      <c r="C1106" s="6" t="s">
        <v>427</v>
      </c>
      <c r="D1106">
        <v>5190800114</v>
      </c>
      <c r="E1106">
        <v>519001001</v>
      </c>
      <c r="F1106" t="s">
        <v>94</v>
      </c>
      <c r="G1106" t="s">
        <v>4017</v>
      </c>
      <c r="H1106" s="1">
        <v>45789</v>
      </c>
      <c r="I1106" t="s">
        <v>4018</v>
      </c>
      <c r="J1106" s="8">
        <v>45792</v>
      </c>
      <c r="K1106" s="1" t="s">
        <v>2872</v>
      </c>
      <c r="L1106" t="s">
        <v>4019</v>
      </c>
      <c r="M1106" t="s">
        <v>4020</v>
      </c>
      <c r="N1106" s="12">
        <v>9580400</v>
      </c>
      <c r="O1106" t="s">
        <v>3648</v>
      </c>
      <c r="P1106" s="6" t="s">
        <v>2277</v>
      </c>
      <c r="R1106" t="s">
        <v>38</v>
      </c>
      <c r="S1106" s="9">
        <v>4300</v>
      </c>
      <c r="T1106" s="9">
        <v>770</v>
      </c>
      <c r="U1106" s="9">
        <v>3311000</v>
      </c>
      <c r="V1106" s="6" t="s">
        <v>39</v>
      </c>
      <c r="W1106" t="s">
        <v>40</v>
      </c>
      <c r="X1106">
        <v>7810687137</v>
      </c>
      <c r="Y1106">
        <v>781401001</v>
      </c>
      <c r="Z1106" s="3">
        <v>45793.57708333333</v>
      </c>
      <c r="AA1106" s="6">
        <v>2025</v>
      </c>
      <c r="AB1106" s="1">
        <v>46021</v>
      </c>
    </row>
    <row r="1107" spans="1:28" x14ac:dyDescent="0.3">
      <c r="A1107" t="s">
        <v>4021</v>
      </c>
      <c r="B1107" s="6" t="s">
        <v>418</v>
      </c>
      <c r="C1107" s="6" t="s">
        <v>148</v>
      </c>
      <c r="D1107">
        <v>5190800114</v>
      </c>
      <c r="E1107">
        <v>519001001</v>
      </c>
      <c r="F1107" t="s">
        <v>94</v>
      </c>
      <c r="G1107" t="s">
        <v>4017</v>
      </c>
      <c r="H1107" s="1">
        <v>45789</v>
      </c>
      <c r="I1107" t="s">
        <v>4018</v>
      </c>
      <c r="J1107" s="8">
        <v>45792</v>
      </c>
      <c r="K1107" s="1" t="s">
        <v>2872</v>
      </c>
      <c r="L1107" t="s">
        <v>4019</v>
      </c>
      <c r="M1107" t="s">
        <v>4020</v>
      </c>
      <c r="N1107" s="12">
        <v>9580400</v>
      </c>
      <c r="O1107" t="s">
        <v>4022</v>
      </c>
      <c r="P1107" s="6" t="s">
        <v>2941</v>
      </c>
      <c r="R1107" t="s">
        <v>38</v>
      </c>
      <c r="S1107" s="9">
        <v>3800</v>
      </c>
      <c r="T1107" s="9">
        <v>789</v>
      </c>
      <c r="U1107" s="9">
        <v>2998200</v>
      </c>
      <c r="V1107" s="6" t="s">
        <v>128</v>
      </c>
      <c r="W1107" t="s">
        <v>129</v>
      </c>
      <c r="X1107">
        <v>274110679</v>
      </c>
      <c r="Y1107">
        <v>500801001</v>
      </c>
      <c r="Z1107" s="3">
        <v>45793.425000000003</v>
      </c>
      <c r="AA1107" s="6">
        <v>2025</v>
      </c>
      <c r="AB1107" s="1">
        <v>46022</v>
      </c>
    </row>
    <row r="1108" spans="1:28" x14ac:dyDescent="0.3">
      <c r="A1108" t="s">
        <v>4023</v>
      </c>
      <c r="B1108" s="6" t="s">
        <v>697</v>
      </c>
      <c r="C1108" s="6" t="s">
        <v>502</v>
      </c>
      <c r="D1108">
        <v>5190800114</v>
      </c>
      <c r="E1108">
        <v>519001001</v>
      </c>
      <c r="F1108" t="s">
        <v>94</v>
      </c>
      <c r="G1108" t="s">
        <v>4017</v>
      </c>
      <c r="H1108" s="1">
        <v>45789</v>
      </c>
      <c r="I1108" t="s">
        <v>4018</v>
      </c>
      <c r="J1108" s="8">
        <v>45792</v>
      </c>
      <c r="K1108" s="1" t="s">
        <v>2872</v>
      </c>
      <c r="L1108" t="s">
        <v>4019</v>
      </c>
      <c r="M1108" t="s">
        <v>4020</v>
      </c>
      <c r="N1108" s="12">
        <v>9580400</v>
      </c>
      <c r="O1108" t="s">
        <v>3633</v>
      </c>
      <c r="P1108" s="6" t="s">
        <v>36</v>
      </c>
      <c r="R1108" t="s">
        <v>38</v>
      </c>
      <c r="S1108" s="9">
        <v>5100</v>
      </c>
      <c r="T1108" s="9">
        <v>46</v>
      </c>
      <c r="U1108" s="9">
        <v>234600</v>
      </c>
      <c r="V1108" s="6" t="s">
        <v>58</v>
      </c>
      <c r="W1108" t="s">
        <v>59</v>
      </c>
      <c r="X1108">
        <v>5262222144</v>
      </c>
      <c r="Y1108">
        <v>526201001</v>
      </c>
      <c r="Z1108" s="3">
        <v>45793.342361111114</v>
      </c>
      <c r="AA1108" s="6">
        <v>2025</v>
      </c>
      <c r="AB1108" s="1">
        <v>46022</v>
      </c>
    </row>
    <row r="1109" spans="1:28" x14ac:dyDescent="0.3">
      <c r="A1109" t="s">
        <v>4024</v>
      </c>
      <c r="B1109" s="6" t="s">
        <v>4025</v>
      </c>
      <c r="C1109" s="6" t="s">
        <v>4026</v>
      </c>
      <c r="D1109">
        <v>274157821</v>
      </c>
      <c r="E1109">
        <v>27401001</v>
      </c>
      <c r="F1109" t="s">
        <v>149</v>
      </c>
      <c r="G1109" t="s">
        <v>4027</v>
      </c>
      <c r="H1109" s="1">
        <v>45789</v>
      </c>
      <c r="J1109" s="8">
        <v>45792</v>
      </c>
      <c r="K1109" s="1" t="s">
        <v>2872</v>
      </c>
      <c r="L1109" t="s">
        <v>4027</v>
      </c>
      <c r="M1109" t="s">
        <v>377</v>
      </c>
      <c r="N1109" s="12">
        <v>2998200</v>
      </c>
      <c r="O1109" t="s">
        <v>3633</v>
      </c>
      <c r="P1109" s="6" t="s">
        <v>36</v>
      </c>
      <c r="R1109" t="s">
        <v>38</v>
      </c>
      <c r="S1109" s="9">
        <v>3160</v>
      </c>
      <c r="T1109" s="9">
        <v>160</v>
      </c>
      <c r="U1109" s="9">
        <v>505600</v>
      </c>
      <c r="V1109" s="6" t="s">
        <v>4028</v>
      </c>
      <c r="W1109" t="s">
        <v>4029</v>
      </c>
      <c r="X1109">
        <v>3812994288</v>
      </c>
      <c r="Y1109">
        <v>381201001</v>
      </c>
      <c r="Z1109" s="3">
        <v>45793.195138888892</v>
      </c>
      <c r="AA1109" s="6">
        <v>2025</v>
      </c>
      <c r="AB1109" s="1">
        <v>45869</v>
      </c>
    </row>
    <row r="1110" spans="1:28" x14ac:dyDescent="0.3">
      <c r="A1110" t="s">
        <v>4012</v>
      </c>
      <c r="B1110" s="6" t="s">
        <v>276</v>
      </c>
      <c r="C1110" s="6" t="s">
        <v>277</v>
      </c>
      <c r="D1110">
        <v>9102012869</v>
      </c>
      <c r="E1110">
        <v>910201001</v>
      </c>
      <c r="F1110" t="s">
        <v>52</v>
      </c>
      <c r="G1110" t="s">
        <v>4013</v>
      </c>
      <c r="H1110" s="1">
        <v>45775</v>
      </c>
      <c r="I1110" t="s">
        <v>4014</v>
      </c>
      <c r="J1110" s="8">
        <v>45792</v>
      </c>
      <c r="K1110" s="1" t="s">
        <v>2872</v>
      </c>
      <c r="L1110" t="s">
        <v>4013</v>
      </c>
      <c r="M1110" t="s">
        <v>4015</v>
      </c>
      <c r="N1110" s="12">
        <v>63522379</v>
      </c>
      <c r="O1110" t="s">
        <v>3648</v>
      </c>
      <c r="P1110" s="6" t="s">
        <v>2277</v>
      </c>
      <c r="Q1110" t="s">
        <v>1993</v>
      </c>
      <c r="R1110" t="s">
        <v>38</v>
      </c>
      <c r="S1110" s="9">
        <v>4636.67</v>
      </c>
      <c r="T1110" s="9">
        <v>4567</v>
      </c>
      <c r="U1110" s="9">
        <v>21175671.890000001</v>
      </c>
      <c r="V1110" s="6" t="s">
        <v>39</v>
      </c>
      <c r="W1110" t="s">
        <v>40</v>
      </c>
      <c r="X1110">
        <v>7810687137</v>
      </c>
      <c r="Y1110">
        <v>781401001</v>
      </c>
      <c r="Z1110" s="3">
        <v>45792.427083333336</v>
      </c>
      <c r="AA1110" s="6">
        <v>2025</v>
      </c>
      <c r="AB1110" s="1">
        <v>46021</v>
      </c>
    </row>
    <row r="1111" spans="1:28" x14ac:dyDescent="0.3">
      <c r="A1111" t="s">
        <v>4012</v>
      </c>
      <c r="B1111" s="6" t="s">
        <v>276</v>
      </c>
      <c r="C1111" s="6" t="s">
        <v>277</v>
      </c>
      <c r="D1111">
        <v>9102012869</v>
      </c>
      <c r="E1111">
        <v>910201001</v>
      </c>
      <c r="F1111" t="s">
        <v>52</v>
      </c>
      <c r="G1111" t="s">
        <v>4013</v>
      </c>
      <c r="H1111" s="1">
        <v>45775</v>
      </c>
      <c r="I1111" t="s">
        <v>4014</v>
      </c>
      <c r="J1111" s="8">
        <v>45792</v>
      </c>
      <c r="K1111" s="1" t="s">
        <v>2872</v>
      </c>
      <c r="L1111" t="s">
        <v>4013</v>
      </c>
      <c r="M1111" t="s">
        <v>4015</v>
      </c>
      <c r="N1111" s="12">
        <v>63522379</v>
      </c>
      <c r="O1111" t="s">
        <v>4022</v>
      </c>
      <c r="P1111" s="6" t="s">
        <v>2941</v>
      </c>
      <c r="Q1111" t="s">
        <v>1993</v>
      </c>
      <c r="R1111" t="s">
        <v>38</v>
      </c>
      <c r="S1111" s="9">
        <v>4636.67</v>
      </c>
      <c r="T1111" s="9">
        <v>4566</v>
      </c>
      <c r="U1111" s="9">
        <v>21171035.219999999</v>
      </c>
      <c r="V1111" s="6" t="s">
        <v>39</v>
      </c>
      <c r="W1111" t="s">
        <v>40</v>
      </c>
      <c r="X1111">
        <v>7810687137</v>
      </c>
      <c r="Y1111">
        <v>781401001</v>
      </c>
      <c r="Z1111" s="3">
        <v>45792.427083333336</v>
      </c>
      <c r="AA1111" s="6">
        <v>2025</v>
      </c>
      <c r="AB1111" s="1">
        <v>46021</v>
      </c>
    </row>
    <row r="1112" spans="1:28" x14ac:dyDescent="0.3">
      <c r="A1112" t="s">
        <v>4016</v>
      </c>
      <c r="B1112" s="6" t="s">
        <v>2724</v>
      </c>
      <c r="C1112" s="6" t="s">
        <v>427</v>
      </c>
      <c r="D1112">
        <v>5190800114</v>
      </c>
      <c r="E1112">
        <v>519001001</v>
      </c>
      <c r="F1112" t="s">
        <v>94</v>
      </c>
      <c r="G1112" t="s">
        <v>4017</v>
      </c>
      <c r="H1112" s="1">
        <v>45789</v>
      </c>
      <c r="I1112" t="s">
        <v>4018</v>
      </c>
      <c r="J1112" s="8">
        <v>45792</v>
      </c>
      <c r="K1112" s="1" t="s">
        <v>2872</v>
      </c>
      <c r="L1112" t="s">
        <v>4019</v>
      </c>
      <c r="M1112" t="s">
        <v>4020</v>
      </c>
      <c r="N1112" s="12">
        <v>9580400</v>
      </c>
      <c r="O1112" t="s">
        <v>3815</v>
      </c>
      <c r="P1112" s="6" t="s">
        <v>3758</v>
      </c>
      <c r="Q1112" t="s">
        <v>3258</v>
      </c>
      <c r="R1112" t="s">
        <v>38</v>
      </c>
      <c r="S1112" s="9">
        <v>4300</v>
      </c>
      <c r="T1112" s="9">
        <v>380</v>
      </c>
      <c r="U1112" s="9">
        <v>1634000</v>
      </c>
      <c r="V1112" s="6" t="s">
        <v>39</v>
      </c>
      <c r="W1112" t="s">
        <v>40</v>
      </c>
      <c r="X1112">
        <v>7810687137</v>
      </c>
      <c r="Y1112">
        <v>781401001</v>
      </c>
      <c r="Z1112" s="3">
        <v>45793.57708333333</v>
      </c>
      <c r="AA1112" s="6">
        <v>2025</v>
      </c>
      <c r="AB1112" s="1">
        <v>46021</v>
      </c>
    </row>
    <row r="1113" spans="1:28" x14ac:dyDescent="0.3">
      <c r="A1113" t="s">
        <v>4030</v>
      </c>
      <c r="B1113" s="6" t="s">
        <v>876</v>
      </c>
      <c r="C1113" s="6" t="s">
        <v>877</v>
      </c>
      <c r="D1113">
        <v>2466212607</v>
      </c>
      <c r="E1113">
        <v>246601001</v>
      </c>
      <c r="F1113" t="s">
        <v>52</v>
      </c>
      <c r="G1113" t="s">
        <v>4031</v>
      </c>
      <c r="H1113" s="1">
        <v>45782</v>
      </c>
      <c r="I1113" t="s">
        <v>4032</v>
      </c>
      <c r="J1113" s="8">
        <v>45793</v>
      </c>
      <c r="K1113" s="1" t="s">
        <v>2872</v>
      </c>
      <c r="L1113" t="s">
        <v>4033</v>
      </c>
      <c r="M1113" t="s">
        <v>4034</v>
      </c>
      <c r="N1113" s="12">
        <v>24350821.800000001</v>
      </c>
      <c r="O1113" t="s">
        <v>3815</v>
      </c>
      <c r="P1113" s="6" t="s">
        <v>3758</v>
      </c>
      <c r="Q1113" t="s">
        <v>3258</v>
      </c>
      <c r="R1113" t="s">
        <v>38</v>
      </c>
      <c r="S1113" s="9">
        <v>4733.33</v>
      </c>
      <c r="T1113" s="9">
        <v>10399</v>
      </c>
      <c r="U1113" s="9">
        <v>49221898.670000002</v>
      </c>
      <c r="V1113" s="6" t="s">
        <v>39</v>
      </c>
      <c r="W1113" t="s">
        <v>40</v>
      </c>
      <c r="X1113">
        <v>7810687137</v>
      </c>
      <c r="Y1113">
        <v>781401001</v>
      </c>
      <c r="Z1113" s="3">
        <v>45796.414583333331</v>
      </c>
      <c r="AA1113" s="6">
        <v>2025</v>
      </c>
      <c r="AB1113" s="1">
        <v>46022</v>
      </c>
    </row>
    <row r="1114" spans="1:28" x14ac:dyDescent="0.3">
      <c r="A1114" t="s">
        <v>4035</v>
      </c>
      <c r="B1114" s="6" t="s">
        <v>4025</v>
      </c>
      <c r="C1114" s="6" t="s">
        <v>4026</v>
      </c>
      <c r="D1114">
        <v>2466212607</v>
      </c>
      <c r="E1114">
        <v>246601001</v>
      </c>
      <c r="F1114" t="s">
        <v>52</v>
      </c>
      <c r="G1114" t="s">
        <v>4031</v>
      </c>
      <c r="H1114" s="1">
        <v>45782</v>
      </c>
      <c r="I1114" t="s">
        <v>4032</v>
      </c>
      <c r="J1114" s="8">
        <v>45793</v>
      </c>
      <c r="K1114" s="1" t="s">
        <v>2872</v>
      </c>
      <c r="L1114" t="s">
        <v>4033</v>
      </c>
      <c r="M1114" t="s">
        <v>4034</v>
      </c>
      <c r="N1114" s="12">
        <v>24350821.800000001</v>
      </c>
      <c r="O1114" t="s">
        <v>4036</v>
      </c>
      <c r="P1114" s="6" t="s">
        <v>2941</v>
      </c>
      <c r="R1114" t="s">
        <v>38</v>
      </c>
      <c r="S1114" s="9">
        <v>3950</v>
      </c>
      <c r="T1114" s="9">
        <v>612</v>
      </c>
      <c r="U1114" s="9">
        <v>2417400</v>
      </c>
      <c r="V1114" s="6" t="s">
        <v>90</v>
      </c>
      <c r="W1114" t="s">
        <v>59</v>
      </c>
      <c r="X1114">
        <v>5259153331</v>
      </c>
      <c r="Y1114">
        <v>525901001</v>
      </c>
      <c r="Z1114" s="3">
        <v>45795.531944444447</v>
      </c>
      <c r="AA1114" s="6">
        <v>2025</v>
      </c>
      <c r="AB1114" s="1">
        <v>45900</v>
      </c>
    </row>
    <row r="1115" spans="1:28" x14ac:dyDescent="0.3">
      <c r="A1115" t="s">
        <v>4016</v>
      </c>
      <c r="B1115" s="6" t="s">
        <v>2724</v>
      </c>
      <c r="C1115" s="6" t="s">
        <v>427</v>
      </c>
      <c r="D1115">
        <v>7900001070</v>
      </c>
      <c r="E1115">
        <v>790101001</v>
      </c>
      <c r="F1115" t="s">
        <v>52</v>
      </c>
      <c r="G1115" t="s">
        <v>4037</v>
      </c>
      <c r="H1115" s="1">
        <v>45782</v>
      </c>
      <c r="J1115" s="8">
        <v>45793</v>
      </c>
      <c r="K1115" s="1" t="s">
        <v>2872</v>
      </c>
      <c r="L1115" t="s">
        <v>4037</v>
      </c>
      <c r="M1115" t="s">
        <v>4038</v>
      </c>
      <c r="N1115" s="12">
        <v>505600</v>
      </c>
      <c r="O1115" t="s">
        <v>3613</v>
      </c>
      <c r="P1115" s="6" t="s">
        <v>2277</v>
      </c>
      <c r="R1115" t="s">
        <v>38</v>
      </c>
      <c r="S1115" s="9">
        <v>4300</v>
      </c>
      <c r="T1115" s="9">
        <v>300</v>
      </c>
      <c r="U1115" s="9">
        <v>1290000</v>
      </c>
      <c r="V1115" s="6" t="s">
        <v>39</v>
      </c>
      <c r="W1115" t="s">
        <v>40</v>
      </c>
      <c r="X1115">
        <v>7810687137</v>
      </c>
      <c r="Y1115">
        <v>781401001</v>
      </c>
      <c r="Z1115" s="3">
        <v>45793.57708333333</v>
      </c>
      <c r="AA1115" s="6">
        <v>2025</v>
      </c>
      <c r="AB1115" s="1">
        <v>46021</v>
      </c>
    </row>
    <row r="1116" spans="1:28" x14ac:dyDescent="0.3">
      <c r="A1116" t="s">
        <v>4039</v>
      </c>
      <c r="B1116" s="6" t="s">
        <v>4025</v>
      </c>
      <c r="C1116" s="6" t="s">
        <v>4026</v>
      </c>
      <c r="D1116">
        <v>2540018454</v>
      </c>
      <c r="E1116">
        <v>254001001</v>
      </c>
      <c r="F1116" t="s">
        <v>52</v>
      </c>
      <c r="G1116" t="s">
        <v>4040</v>
      </c>
      <c r="H1116" s="1">
        <v>45777</v>
      </c>
      <c r="J1116" s="8">
        <v>45793</v>
      </c>
      <c r="K1116" s="1" t="s">
        <v>2872</v>
      </c>
      <c r="L1116" t="s">
        <v>4040</v>
      </c>
      <c r="M1116" t="s">
        <v>4041</v>
      </c>
      <c r="N1116" s="12">
        <v>49221898.670000002</v>
      </c>
      <c r="O1116" t="s">
        <v>3633</v>
      </c>
      <c r="P1116" s="6" t="s">
        <v>36</v>
      </c>
      <c r="R1116" t="s">
        <v>38</v>
      </c>
      <c r="S1116" s="9">
        <v>3555.95</v>
      </c>
      <c r="T1116" s="9">
        <v>108</v>
      </c>
      <c r="U1116" s="9">
        <v>384042.23</v>
      </c>
      <c r="V1116" s="6" t="s">
        <v>90</v>
      </c>
      <c r="W1116" t="s">
        <v>59</v>
      </c>
      <c r="X1116">
        <v>5259153331</v>
      </c>
      <c r="Y1116">
        <v>525901001</v>
      </c>
      <c r="Z1116" s="3">
        <v>45795.527777777781</v>
      </c>
      <c r="AA1116" s="6">
        <v>2025</v>
      </c>
      <c r="AB1116" s="1">
        <v>45900</v>
      </c>
    </row>
    <row r="1117" spans="1:28" x14ac:dyDescent="0.3">
      <c r="A1117" s="4" t="s">
        <v>4042</v>
      </c>
      <c r="B1117" s="6" t="s">
        <v>2724</v>
      </c>
      <c r="C1117" s="6" t="s">
        <v>427</v>
      </c>
      <c r="D1117">
        <v>6330019628</v>
      </c>
      <c r="E1117">
        <v>633001001</v>
      </c>
      <c r="F1117" t="s">
        <v>149</v>
      </c>
      <c r="G1117" t="s">
        <v>4043</v>
      </c>
      <c r="H1117" s="1">
        <v>45790</v>
      </c>
      <c r="J1117" s="8">
        <v>45793</v>
      </c>
      <c r="K1117" s="1" t="s">
        <v>2872</v>
      </c>
      <c r="L1117" t="s">
        <v>4044</v>
      </c>
      <c r="M1117" t="s">
        <v>377</v>
      </c>
      <c r="N1117" s="12">
        <v>234600</v>
      </c>
      <c r="O1117" t="s">
        <v>3613</v>
      </c>
      <c r="P1117" s="6" t="s">
        <v>36</v>
      </c>
      <c r="R1117" t="s">
        <v>38</v>
      </c>
      <c r="S1117" s="9">
        <v>4300</v>
      </c>
      <c r="T1117" s="9">
        <v>778</v>
      </c>
      <c r="U1117" s="9">
        <v>3345400</v>
      </c>
      <c r="V1117" s="6" t="s">
        <v>39</v>
      </c>
      <c r="W1117" t="s">
        <v>40</v>
      </c>
      <c r="X1117">
        <v>7810687137</v>
      </c>
      <c r="Y1117">
        <v>781401001</v>
      </c>
      <c r="Z1117" s="3">
        <v>45793.57708333333</v>
      </c>
      <c r="AA1117" s="6">
        <v>2025</v>
      </c>
      <c r="AB1117" s="1">
        <v>46021</v>
      </c>
    </row>
    <row r="1118" spans="1:28" x14ac:dyDescent="0.3">
      <c r="A1118" t="s">
        <v>4045</v>
      </c>
      <c r="B1118" s="6" t="s">
        <v>1088</v>
      </c>
      <c r="C1118" s="6" t="s">
        <v>355</v>
      </c>
      <c r="D1118">
        <v>7900001070</v>
      </c>
      <c r="E1118">
        <v>790101001</v>
      </c>
      <c r="F1118" t="s">
        <v>52</v>
      </c>
      <c r="G1118" t="s">
        <v>4046</v>
      </c>
      <c r="H1118" s="1">
        <v>45783</v>
      </c>
      <c r="J1118" s="8">
        <v>45795</v>
      </c>
      <c r="K1118" s="1" t="s">
        <v>2872</v>
      </c>
      <c r="L1118" t="s">
        <v>4046</v>
      </c>
      <c r="M1118" t="s">
        <v>4047</v>
      </c>
      <c r="N1118" s="12">
        <v>2417400</v>
      </c>
      <c r="O1118" t="s">
        <v>3613</v>
      </c>
      <c r="P1118" s="6" t="s">
        <v>3758</v>
      </c>
      <c r="Q1118" t="s">
        <v>37</v>
      </c>
      <c r="R1118" t="s">
        <v>38</v>
      </c>
      <c r="S1118" s="9">
        <v>4183.99</v>
      </c>
      <c r="T1118" s="9">
        <v>2910</v>
      </c>
      <c r="U1118" s="9">
        <v>12175410.9</v>
      </c>
      <c r="V1118" s="6" t="s">
        <v>545</v>
      </c>
      <c r="W1118" t="s">
        <v>40</v>
      </c>
      <c r="X1118">
        <v>7713655588</v>
      </c>
      <c r="Y1118">
        <v>773001001</v>
      </c>
      <c r="Z1118" s="3">
        <v>45797.287499999999</v>
      </c>
      <c r="AA1118" s="6">
        <v>2025</v>
      </c>
      <c r="AB1118" s="1">
        <v>46021</v>
      </c>
    </row>
    <row r="1119" spans="1:28" x14ac:dyDescent="0.3">
      <c r="A1119" t="s">
        <v>4045</v>
      </c>
      <c r="B1119" s="6" t="s">
        <v>1088</v>
      </c>
      <c r="C1119" s="6" t="s">
        <v>355</v>
      </c>
      <c r="D1119">
        <v>7900001070</v>
      </c>
      <c r="E1119">
        <v>790101001</v>
      </c>
      <c r="F1119" t="s">
        <v>52</v>
      </c>
      <c r="G1119" t="s">
        <v>4048</v>
      </c>
      <c r="H1119" s="1">
        <v>45784</v>
      </c>
      <c r="J1119" s="8">
        <v>45795</v>
      </c>
      <c r="K1119" s="1" t="s">
        <v>2872</v>
      </c>
      <c r="L1119" t="s">
        <v>4048</v>
      </c>
      <c r="M1119" t="s">
        <v>4049</v>
      </c>
      <c r="N1119" s="12">
        <v>384042.23</v>
      </c>
      <c r="O1119" t="s">
        <v>3613</v>
      </c>
      <c r="P1119" s="6" t="s">
        <v>3758</v>
      </c>
      <c r="Q1119" t="s">
        <v>37</v>
      </c>
      <c r="R1119" t="s">
        <v>38</v>
      </c>
      <c r="S1119" s="9">
        <v>4183.99</v>
      </c>
      <c r="T1119" s="9">
        <v>2910</v>
      </c>
      <c r="U1119" s="9">
        <v>12175410.9</v>
      </c>
      <c r="V1119" s="6" t="s">
        <v>545</v>
      </c>
      <c r="W1119" t="s">
        <v>40</v>
      </c>
      <c r="X1119">
        <v>7713655588</v>
      </c>
      <c r="Y1119">
        <v>773001001</v>
      </c>
      <c r="Z1119" s="3">
        <v>45797.287499999999</v>
      </c>
      <c r="AA1119" s="6">
        <v>2025</v>
      </c>
      <c r="AB1119" s="1">
        <v>46021</v>
      </c>
    </row>
    <row r="1120" spans="1:28" x14ac:dyDescent="0.3">
      <c r="A1120" t="s">
        <v>4050</v>
      </c>
      <c r="B1120" s="6" t="s">
        <v>554</v>
      </c>
      <c r="C1120" s="6" t="s">
        <v>555</v>
      </c>
      <c r="D1120">
        <v>7453135827</v>
      </c>
      <c r="E1120">
        <v>745301001</v>
      </c>
      <c r="F1120" t="s">
        <v>52</v>
      </c>
      <c r="G1120" t="s">
        <v>4051</v>
      </c>
      <c r="H1120" s="1">
        <v>45784</v>
      </c>
      <c r="J1120" s="8">
        <v>45796</v>
      </c>
      <c r="K1120" s="1" t="s">
        <v>2872</v>
      </c>
      <c r="L1120" t="s">
        <v>4052</v>
      </c>
      <c r="M1120" t="s">
        <v>3959</v>
      </c>
      <c r="N1120" s="13">
        <v>29457771</v>
      </c>
      <c r="O1120" t="s">
        <v>3613</v>
      </c>
      <c r="P1120" s="6" t="s">
        <v>3758</v>
      </c>
      <c r="Q1120" t="s">
        <v>37</v>
      </c>
      <c r="R1120" t="s">
        <v>38</v>
      </c>
      <c r="S1120" s="9">
        <v>3781</v>
      </c>
      <c r="T1120" s="9">
        <v>7791</v>
      </c>
      <c r="U1120" s="9">
        <v>29457771</v>
      </c>
      <c r="V1120" s="6" t="s">
        <v>90</v>
      </c>
      <c r="W1120" t="s">
        <v>59</v>
      </c>
      <c r="X1120">
        <v>5259153331</v>
      </c>
      <c r="Y1120">
        <v>525901001</v>
      </c>
      <c r="Z1120" s="3">
        <v>45799.356249999997</v>
      </c>
      <c r="AA1120" s="6">
        <v>2025</v>
      </c>
      <c r="AB1120" s="1">
        <v>46021</v>
      </c>
    </row>
    <row r="1121" spans="1:28" x14ac:dyDescent="0.3">
      <c r="A1121" t="s">
        <v>4053</v>
      </c>
      <c r="B1121" s="6" t="s">
        <v>121</v>
      </c>
      <c r="C1121" s="6" t="s">
        <v>122</v>
      </c>
      <c r="D1121">
        <v>5402155123</v>
      </c>
      <c r="E1121">
        <v>540201001</v>
      </c>
      <c r="F1121" t="s">
        <v>52</v>
      </c>
      <c r="G1121" t="s">
        <v>4054</v>
      </c>
      <c r="H1121" s="1">
        <v>45783</v>
      </c>
      <c r="I1121" t="s">
        <v>4055</v>
      </c>
      <c r="J1121" s="8">
        <v>45796</v>
      </c>
      <c r="K1121" s="1" t="s">
        <v>2872</v>
      </c>
      <c r="L1121" t="s">
        <v>4056</v>
      </c>
      <c r="M1121" t="s">
        <v>4057</v>
      </c>
      <c r="N1121" s="12">
        <v>1312428</v>
      </c>
      <c r="O1121" t="s">
        <v>3672</v>
      </c>
      <c r="P1121" s="6" t="s">
        <v>36</v>
      </c>
      <c r="R1121" t="s">
        <v>48</v>
      </c>
      <c r="S1121" s="9">
        <v>4654</v>
      </c>
      <c r="T1121" s="9">
        <v>282</v>
      </c>
      <c r="U1121" s="9">
        <v>1312428</v>
      </c>
      <c r="V1121" s="6" t="s">
        <v>750</v>
      </c>
      <c r="W1121" t="s">
        <v>59</v>
      </c>
      <c r="X1121">
        <v>540123954976</v>
      </c>
      <c r="Z1121" s="3">
        <v>45797.460416666669</v>
      </c>
      <c r="AA1121" s="6">
        <v>2025</v>
      </c>
      <c r="AB1121" s="1">
        <v>45991</v>
      </c>
    </row>
    <row r="1122" spans="1:28" x14ac:dyDescent="0.3">
      <c r="A1122" t="s">
        <v>4058</v>
      </c>
      <c r="B1122" s="6" t="s">
        <v>1088</v>
      </c>
      <c r="C1122" s="6" t="s">
        <v>355</v>
      </c>
      <c r="D1122">
        <v>2466212607</v>
      </c>
      <c r="E1122">
        <v>246601001</v>
      </c>
      <c r="F1122" t="s">
        <v>94</v>
      </c>
      <c r="G1122" t="s">
        <v>4059</v>
      </c>
      <c r="H1122" s="1">
        <v>45791</v>
      </c>
      <c r="I1122" t="s">
        <v>4060</v>
      </c>
      <c r="J1122" s="8">
        <v>45796</v>
      </c>
      <c r="K1122" s="1" t="s">
        <v>2872</v>
      </c>
      <c r="L1122" t="s">
        <v>4061</v>
      </c>
      <c r="M1122" t="s">
        <v>4062</v>
      </c>
      <c r="N1122" s="12">
        <v>71100</v>
      </c>
      <c r="O1122" t="s">
        <v>4063</v>
      </c>
      <c r="P1122" s="6" t="s">
        <v>36</v>
      </c>
      <c r="R1122" t="s">
        <v>38</v>
      </c>
      <c r="S1122" s="9">
        <v>3950</v>
      </c>
      <c r="T1122" s="9">
        <v>18</v>
      </c>
      <c r="U1122" s="9">
        <v>71100</v>
      </c>
      <c r="V1122" s="6" t="s">
        <v>39</v>
      </c>
      <c r="W1122" t="s">
        <v>40</v>
      </c>
      <c r="X1122">
        <v>7810687137</v>
      </c>
      <c r="Y1122">
        <v>781401001</v>
      </c>
      <c r="Z1122" s="3">
        <v>45797.348611111112</v>
      </c>
      <c r="AA1122" s="6">
        <v>2025</v>
      </c>
      <c r="AB1122" s="1">
        <v>45901</v>
      </c>
    </row>
    <row r="1123" spans="1:28" x14ac:dyDescent="0.3">
      <c r="A1123" t="s">
        <v>4064</v>
      </c>
      <c r="B1123" s="6" t="s">
        <v>623</v>
      </c>
      <c r="C1123" s="6" t="s">
        <v>164</v>
      </c>
      <c r="D1123">
        <v>7734115329</v>
      </c>
      <c r="E1123">
        <v>773401001</v>
      </c>
      <c r="F1123" t="s">
        <v>52</v>
      </c>
      <c r="G1123" t="s">
        <v>4065</v>
      </c>
      <c r="H1123" s="1">
        <v>45783</v>
      </c>
      <c r="J1123" s="8">
        <v>45796</v>
      </c>
      <c r="K1123" s="1" t="s">
        <v>2872</v>
      </c>
      <c r="L1123" t="s">
        <v>4066</v>
      </c>
      <c r="M1123" t="s">
        <v>4067</v>
      </c>
      <c r="N1123" s="12">
        <v>480000</v>
      </c>
      <c r="O1123" t="s">
        <v>4068</v>
      </c>
      <c r="P1123" s="6" t="s">
        <v>36</v>
      </c>
      <c r="R1123" t="s">
        <v>48</v>
      </c>
      <c r="S1123" s="9">
        <v>4800</v>
      </c>
      <c r="T1123" s="9">
        <v>100</v>
      </c>
      <c r="U1123" s="9">
        <v>480000</v>
      </c>
      <c r="V1123" s="6" t="s">
        <v>111</v>
      </c>
      <c r="W1123" t="s">
        <v>59</v>
      </c>
      <c r="X1123">
        <v>5262258091</v>
      </c>
      <c r="Y1123">
        <v>526201001</v>
      </c>
      <c r="Z1123" s="3">
        <v>45798.509722222225</v>
      </c>
      <c r="AA1123" s="6">
        <v>2025</v>
      </c>
      <c r="AB1123" s="1">
        <v>46191</v>
      </c>
    </row>
    <row r="1124" spans="1:28" x14ac:dyDescent="0.3">
      <c r="A1124" t="s">
        <v>4069</v>
      </c>
      <c r="B1124" s="6" t="s">
        <v>121</v>
      </c>
      <c r="C1124" s="6" t="s">
        <v>122</v>
      </c>
      <c r="D1124">
        <v>5402155123</v>
      </c>
      <c r="E1124">
        <v>540201001</v>
      </c>
      <c r="F1124" t="s">
        <v>52</v>
      </c>
      <c r="G1124" t="s">
        <v>4070</v>
      </c>
      <c r="H1124" s="1">
        <v>45782</v>
      </c>
      <c r="I1124" t="s">
        <v>4032</v>
      </c>
      <c r="J1124" s="8">
        <v>45797</v>
      </c>
      <c r="K1124" s="1" t="s">
        <v>2872</v>
      </c>
      <c r="L1124" t="s">
        <v>4071</v>
      </c>
      <c r="M1124" t="s">
        <v>4072</v>
      </c>
      <c r="N1124" s="12">
        <v>28454400</v>
      </c>
      <c r="O1124" t="s">
        <v>3613</v>
      </c>
      <c r="P1124" s="6" t="s">
        <v>3758</v>
      </c>
      <c r="Q1124" t="s">
        <v>37</v>
      </c>
      <c r="R1124" t="s">
        <v>38</v>
      </c>
      <c r="S1124" s="9">
        <v>2964</v>
      </c>
      <c r="T1124" s="9">
        <v>4800</v>
      </c>
      <c r="U1124" s="9">
        <v>14227200</v>
      </c>
      <c r="V1124" s="6" t="s">
        <v>3156</v>
      </c>
      <c r="W1124" t="s">
        <v>59</v>
      </c>
      <c r="X1124">
        <v>6684041878</v>
      </c>
      <c r="Y1124">
        <v>668401001</v>
      </c>
      <c r="Z1124" s="3">
        <v>45798.223611111112</v>
      </c>
      <c r="AA1124" s="6">
        <v>2025</v>
      </c>
      <c r="AB1124" s="1">
        <v>45991</v>
      </c>
    </row>
    <row r="1125" spans="1:28" x14ac:dyDescent="0.3">
      <c r="A1125" t="s">
        <v>4069</v>
      </c>
      <c r="B1125" s="6" t="s">
        <v>121</v>
      </c>
      <c r="C1125" s="6" t="s">
        <v>122</v>
      </c>
      <c r="D1125">
        <v>5402155123</v>
      </c>
      <c r="E1125">
        <v>540201001</v>
      </c>
      <c r="F1125" t="s">
        <v>52</v>
      </c>
      <c r="G1125" t="s">
        <v>4070</v>
      </c>
      <c r="H1125" s="1">
        <v>45782</v>
      </c>
      <c r="I1125" t="s">
        <v>4032</v>
      </c>
      <c r="J1125" s="8">
        <v>45797</v>
      </c>
      <c r="K1125" s="1" t="s">
        <v>2872</v>
      </c>
      <c r="L1125" t="s">
        <v>4071</v>
      </c>
      <c r="M1125" t="s">
        <v>4072</v>
      </c>
      <c r="N1125" s="12">
        <v>28454400</v>
      </c>
      <c r="O1125" t="s">
        <v>3745</v>
      </c>
      <c r="P1125" s="6" t="s">
        <v>2277</v>
      </c>
      <c r="R1125" t="s">
        <v>38</v>
      </c>
      <c r="S1125" s="9">
        <v>2964</v>
      </c>
      <c r="T1125" s="9">
        <v>4800</v>
      </c>
      <c r="U1125" s="9">
        <v>14227200</v>
      </c>
      <c r="V1125" s="6" t="s">
        <v>3156</v>
      </c>
      <c r="W1125" t="s">
        <v>59</v>
      </c>
      <c r="X1125">
        <v>6684041878</v>
      </c>
      <c r="Y1125">
        <v>668401001</v>
      </c>
      <c r="Z1125" s="3">
        <v>45798.223611111112</v>
      </c>
      <c r="AA1125" s="6">
        <v>2025</v>
      </c>
      <c r="AB1125" s="1">
        <v>45991</v>
      </c>
    </row>
    <row r="1126" spans="1:28" x14ac:dyDescent="0.3">
      <c r="A1126" t="s">
        <v>4073</v>
      </c>
      <c r="B1126" s="6" t="s">
        <v>1003</v>
      </c>
      <c r="C1126" s="6" t="s">
        <v>1004</v>
      </c>
      <c r="D1126">
        <v>816025842</v>
      </c>
      <c r="E1126">
        <v>81601001</v>
      </c>
      <c r="F1126" t="s">
        <v>149</v>
      </c>
      <c r="G1126" t="s">
        <v>4074</v>
      </c>
      <c r="H1126" s="1">
        <v>45792</v>
      </c>
      <c r="J1126" s="8">
        <v>45797</v>
      </c>
      <c r="K1126" s="1" t="s">
        <v>2872</v>
      </c>
      <c r="L1126" t="s">
        <v>4075</v>
      </c>
      <c r="M1126" t="s">
        <v>377</v>
      </c>
      <c r="N1126" s="12">
        <v>3175200</v>
      </c>
      <c r="O1126" t="s">
        <v>3633</v>
      </c>
      <c r="P1126" s="6" t="s">
        <v>36</v>
      </c>
      <c r="R1126" t="s">
        <v>38</v>
      </c>
      <c r="S1126" s="9">
        <v>4050</v>
      </c>
      <c r="T1126" s="9">
        <v>784</v>
      </c>
      <c r="U1126" s="9">
        <v>3175200</v>
      </c>
      <c r="V1126" s="6" t="s">
        <v>1009</v>
      </c>
      <c r="W1126" t="s">
        <v>40</v>
      </c>
      <c r="X1126">
        <v>3443142095</v>
      </c>
      <c r="Y1126">
        <v>344301001</v>
      </c>
      <c r="Z1126" s="3">
        <v>45799.731249999997</v>
      </c>
      <c r="AA1126" s="6">
        <v>2025</v>
      </c>
      <c r="AB1126" s="1">
        <v>45838</v>
      </c>
    </row>
    <row r="1127" spans="1:28" x14ac:dyDescent="0.3">
      <c r="A1127" t="s">
        <v>4076</v>
      </c>
      <c r="B1127" s="6" t="s">
        <v>1655</v>
      </c>
      <c r="C1127" s="6" t="s">
        <v>164</v>
      </c>
      <c r="D1127">
        <v>7724598966</v>
      </c>
      <c r="E1127">
        <v>772401001</v>
      </c>
      <c r="F1127" t="s">
        <v>149</v>
      </c>
      <c r="G1127" t="s">
        <v>4077</v>
      </c>
      <c r="H1127" s="1">
        <v>45792</v>
      </c>
      <c r="J1127" s="8">
        <v>45797</v>
      </c>
      <c r="K1127" s="1" t="s">
        <v>2872</v>
      </c>
      <c r="L1127" t="s">
        <v>4077</v>
      </c>
      <c r="M1127" t="s">
        <v>377</v>
      </c>
      <c r="N1127" s="12">
        <v>554166.35</v>
      </c>
      <c r="O1127" t="s">
        <v>4078</v>
      </c>
      <c r="P1127" s="6" t="s">
        <v>36</v>
      </c>
      <c r="R1127" t="s">
        <v>38</v>
      </c>
      <c r="S1127" s="9">
        <v>5833.33</v>
      </c>
      <c r="T1127" s="9">
        <v>95</v>
      </c>
      <c r="U1127" s="9">
        <v>554166.35</v>
      </c>
      <c r="V1127" s="6" t="s">
        <v>1635</v>
      </c>
      <c r="W1127" t="s">
        <v>129</v>
      </c>
      <c r="X1127">
        <v>7721754712</v>
      </c>
      <c r="Y1127">
        <v>502701001</v>
      </c>
      <c r="Z1127" s="3">
        <v>45799.620833333334</v>
      </c>
      <c r="AA1127" s="6">
        <v>2025</v>
      </c>
      <c r="AB1127" s="1">
        <v>46013</v>
      </c>
    </row>
    <row r="1128" spans="1:28" x14ac:dyDescent="0.3">
      <c r="A1128" t="s">
        <v>4079</v>
      </c>
      <c r="B1128" s="6" t="s">
        <v>1645</v>
      </c>
      <c r="C1128" s="6" t="s">
        <v>1257</v>
      </c>
      <c r="D1128">
        <v>606007910</v>
      </c>
      <c r="E1128">
        <v>60601001</v>
      </c>
      <c r="F1128" t="s">
        <v>149</v>
      </c>
      <c r="G1128" t="s">
        <v>4080</v>
      </c>
      <c r="H1128" s="1">
        <v>45793</v>
      </c>
      <c r="J1128" s="8">
        <v>45798</v>
      </c>
      <c r="K1128" s="1" t="s">
        <v>2872</v>
      </c>
      <c r="L1128" t="s">
        <v>4081</v>
      </c>
      <c r="M1128" t="s">
        <v>377</v>
      </c>
      <c r="N1128" s="12">
        <v>4865273.28</v>
      </c>
      <c r="O1128" t="s">
        <v>3613</v>
      </c>
      <c r="P1128" s="6" t="s">
        <v>36</v>
      </c>
      <c r="R1128" t="s">
        <v>38</v>
      </c>
      <c r="S1128" s="9">
        <v>4826.66</v>
      </c>
      <c r="T1128" s="9">
        <v>1008</v>
      </c>
      <c r="U1128" s="9">
        <v>4865273.28</v>
      </c>
      <c r="V1128" s="6" t="s">
        <v>58</v>
      </c>
      <c r="W1128" t="s">
        <v>59</v>
      </c>
      <c r="X1128">
        <v>5262222144</v>
      </c>
      <c r="Y1128">
        <v>526201001</v>
      </c>
      <c r="Z1128" s="3">
        <v>45798.440972222219</v>
      </c>
      <c r="AA1128" s="6">
        <v>2025</v>
      </c>
      <c r="AB1128" s="1">
        <v>46022</v>
      </c>
    </row>
    <row r="1129" spans="1:28" x14ac:dyDescent="0.3">
      <c r="A1129" t="s">
        <v>4082</v>
      </c>
      <c r="B1129" s="6" t="s">
        <v>4083</v>
      </c>
      <c r="C1129" s="6" t="s">
        <v>1257</v>
      </c>
      <c r="D1129">
        <v>602000713</v>
      </c>
      <c r="E1129">
        <v>60601001</v>
      </c>
      <c r="F1129" t="s">
        <v>149</v>
      </c>
      <c r="G1129" t="s">
        <v>4084</v>
      </c>
      <c r="H1129" s="1">
        <v>45791</v>
      </c>
      <c r="I1129" t="s">
        <v>4085</v>
      </c>
      <c r="J1129" s="8">
        <v>45798</v>
      </c>
      <c r="K1129" s="1" t="s">
        <v>2872</v>
      </c>
      <c r="L1129" t="s">
        <v>4086</v>
      </c>
      <c r="M1129" t="s">
        <v>377</v>
      </c>
      <c r="N1129" s="12">
        <v>4372953.96</v>
      </c>
      <c r="O1129" t="s">
        <v>3613</v>
      </c>
      <c r="P1129" s="6" t="s">
        <v>36</v>
      </c>
      <c r="R1129" t="s">
        <v>38</v>
      </c>
      <c r="S1129" s="9">
        <v>4826.66</v>
      </c>
      <c r="T1129" s="9">
        <v>906</v>
      </c>
      <c r="U1129" s="9">
        <v>4372953.96</v>
      </c>
      <c r="V1129" s="6" t="s">
        <v>58</v>
      </c>
      <c r="W1129" t="s">
        <v>59</v>
      </c>
      <c r="X1129">
        <v>5262222144</v>
      </c>
      <c r="Y1129">
        <v>526201001</v>
      </c>
      <c r="Z1129" s="3">
        <v>45798.438194444447</v>
      </c>
      <c r="AA1129" s="6">
        <v>2025</v>
      </c>
      <c r="AB1129" s="1">
        <v>46022</v>
      </c>
    </row>
    <row r="1130" spans="1:28" x14ac:dyDescent="0.3">
      <c r="A1130" t="s">
        <v>4087</v>
      </c>
      <c r="B1130" s="6" t="s">
        <v>975</v>
      </c>
      <c r="C1130" s="6" t="s">
        <v>213</v>
      </c>
      <c r="D1130">
        <v>1658012247</v>
      </c>
      <c r="E1130">
        <v>165701001</v>
      </c>
      <c r="F1130" t="s">
        <v>52</v>
      </c>
      <c r="G1130" t="s">
        <v>4088</v>
      </c>
      <c r="H1130" s="1">
        <v>45789</v>
      </c>
      <c r="I1130" t="s">
        <v>4089</v>
      </c>
      <c r="J1130" s="8">
        <v>45800</v>
      </c>
      <c r="K1130" s="1" t="s">
        <v>2872</v>
      </c>
      <c r="L1130" t="s">
        <v>4090</v>
      </c>
      <c r="M1130" t="s">
        <v>4091</v>
      </c>
      <c r="N1130" s="12">
        <v>173775</v>
      </c>
      <c r="O1130" t="s">
        <v>3633</v>
      </c>
      <c r="P1130" s="6" t="s">
        <v>36</v>
      </c>
      <c r="R1130" t="s">
        <v>38</v>
      </c>
      <c r="S1130" s="9">
        <v>3475.5</v>
      </c>
      <c r="T1130" s="9">
        <v>50</v>
      </c>
      <c r="U1130" s="9">
        <v>173775</v>
      </c>
      <c r="V1130" s="6" t="s">
        <v>111</v>
      </c>
      <c r="W1130" t="s">
        <v>59</v>
      </c>
      <c r="X1130">
        <v>5262258091</v>
      </c>
      <c r="Y1130">
        <v>526201001</v>
      </c>
      <c r="Z1130" s="3">
        <v>45800.409722222219</v>
      </c>
      <c r="AA1130" s="6">
        <v>2025</v>
      </c>
      <c r="AB1130" s="1">
        <v>46022</v>
      </c>
    </row>
    <row r="1131" spans="1:28" x14ac:dyDescent="0.3">
      <c r="A1131" t="s">
        <v>4092</v>
      </c>
      <c r="B1131" s="6" t="s">
        <v>2655</v>
      </c>
      <c r="C1131" s="6" t="s">
        <v>346</v>
      </c>
      <c r="D1131">
        <v>1101487569</v>
      </c>
      <c r="E1131">
        <v>110101001</v>
      </c>
      <c r="F1131" t="s">
        <v>94</v>
      </c>
      <c r="G1131" t="s">
        <v>4093</v>
      </c>
      <c r="H1131" s="1">
        <v>45797</v>
      </c>
      <c r="I1131" t="s">
        <v>4094</v>
      </c>
      <c r="J1131" s="8">
        <v>45800</v>
      </c>
      <c r="K1131" s="1" t="s">
        <v>2872</v>
      </c>
      <c r="L1131" t="s">
        <v>4093</v>
      </c>
      <c r="M1131" t="s">
        <v>4095</v>
      </c>
      <c r="N1131" s="12">
        <v>94500</v>
      </c>
      <c r="O1131" t="s">
        <v>3648</v>
      </c>
      <c r="P1131" s="6" t="s">
        <v>2277</v>
      </c>
      <c r="R1131" t="s">
        <v>38</v>
      </c>
      <c r="S1131" s="9">
        <v>4500</v>
      </c>
      <c r="T1131" s="9">
        <v>21</v>
      </c>
      <c r="U1131" s="9">
        <v>94500</v>
      </c>
      <c r="V1131" s="6" t="s">
        <v>39</v>
      </c>
      <c r="W1131" t="s">
        <v>40</v>
      </c>
      <c r="X1131">
        <v>7810687137</v>
      </c>
      <c r="Y1131">
        <v>781401001</v>
      </c>
      <c r="Z1131" s="3">
        <v>45804.380555555559</v>
      </c>
      <c r="AA1131" s="6">
        <v>2025</v>
      </c>
      <c r="AB1131" s="1">
        <v>46022</v>
      </c>
    </row>
    <row r="1132" spans="1:28" x14ac:dyDescent="0.3">
      <c r="A1132" t="s">
        <v>4096</v>
      </c>
      <c r="B1132" s="6" t="s">
        <v>139</v>
      </c>
      <c r="C1132" s="6" t="s">
        <v>140</v>
      </c>
      <c r="D1132">
        <v>3444198220</v>
      </c>
      <c r="E1132">
        <v>346001001</v>
      </c>
      <c r="F1132" t="s">
        <v>149</v>
      </c>
      <c r="G1132" t="s">
        <v>4097</v>
      </c>
      <c r="H1132" s="1">
        <v>45797</v>
      </c>
      <c r="J1132" s="8">
        <v>45800</v>
      </c>
      <c r="K1132" s="1" t="s">
        <v>2872</v>
      </c>
      <c r="L1132" t="s">
        <v>4098</v>
      </c>
      <c r="M1132" t="s">
        <v>3138</v>
      </c>
      <c r="N1132" s="12">
        <v>79900</v>
      </c>
      <c r="O1132" t="s">
        <v>3613</v>
      </c>
      <c r="P1132" s="6" t="s">
        <v>36</v>
      </c>
      <c r="R1132" t="s">
        <v>38</v>
      </c>
      <c r="S1132" s="9">
        <v>4700</v>
      </c>
      <c r="T1132" s="9">
        <v>17</v>
      </c>
      <c r="U1132" s="9">
        <v>79900</v>
      </c>
      <c r="V1132" s="6" t="s">
        <v>39</v>
      </c>
      <c r="W1132" t="s">
        <v>40</v>
      </c>
      <c r="X1132">
        <v>7810687137</v>
      </c>
      <c r="Y1132">
        <v>781401001</v>
      </c>
      <c r="Z1132" s="3">
        <v>45803.481944444444</v>
      </c>
      <c r="AA1132" s="6">
        <v>2025</v>
      </c>
      <c r="AB1132" s="1">
        <v>46022</v>
      </c>
    </row>
    <row r="1133" spans="1:28" x14ac:dyDescent="0.3">
      <c r="A1133" t="s">
        <v>4092</v>
      </c>
      <c r="B1133" s="6" t="s">
        <v>2655</v>
      </c>
      <c r="C1133" s="6" t="s">
        <v>346</v>
      </c>
      <c r="D1133">
        <v>1101487569</v>
      </c>
      <c r="E1133">
        <v>110101001</v>
      </c>
      <c r="F1133" t="s">
        <v>94</v>
      </c>
      <c r="G1133" t="s">
        <v>4093</v>
      </c>
      <c r="H1133" s="1">
        <v>45797</v>
      </c>
      <c r="I1133" t="s">
        <v>4094</v>
      </c>
      <c r="J1133" s="8">
        <v>45800</v>
      </c>
      <c r="K1133" s="1" t="s">
        <v>2872</v>
      </c>
      <c r="L1133" t="s">
        <v>4093</v>
      </c>
      <c r="M1133" t="s">
        <v>4095</v>
      </c>
      <c r="N1133" s="12">
        <v>94500</v>
      </c>
      <c r="O1133" t="s">
        <v>3648</v>
      </c>
      <c r="P1133" s="6" t="s">
        <v>2277</v>
      </c>
      <c r="R1133" t="s">
        <v>38</v>
      </c>
      <c r="S1133" s="9">
        <v>4500</v>
      </c>
      <c r="T1133" s="9">
        <v>21</v>
      </c>
      <c r="U1133" s="9">
        <v>94500</v>
      </c>
      <c r="V1133" s="6" t="s">
        <v>39</v>
      </c>
      <c r="W1133" t="s">
        <v>40</v>
      </c>
      <c r="X1133">
        <v>7810687137</v>
      </c>
      <c r="Y1133">
        <v>781401001</v>
      </c>
      <c r="Z1133" s="3">
        <v>45804.380555555559</v>
      </c>
      <c r="AA1133" s="6">
        <v>2025</v>
      </c>
      <c r="AB1133" s="1">
        <v>46022</v>
      </c>
    </row>
    <row r="1134" spans="1:28" x14ac:dyDescent="0.3">
      <c r="A1134" t="s">
        <v>4099</v>
      </c>
      <c r="B1134" s="6" t="s">
        <v>530</v>
      </c>
      <c r="C1134" s="6" t="s">
        <v>453</v>
      </c>
      <c r="D1134">
        <v>2221007858</v>
      </c>
      <c r="E1134">
        <v>222101001</v>
      </c>
      <c r="F1134" t="s">
        <v>52</v>
      </c>
      <c r="G1134" t="s">
        <v>4100</v>
      </c>
      <c r="H1134" s="1">
        <v>45792</v>
      </c>
      <c r="I1134" t="s">
        <v>4101</v>
      </c>
      <c r="J1134" s="8">
        <v>45803</v>
      </c>
      <c r="K1134" s="1" t="s">
        <v>2872</v>
      </c>
      <c r="L1134" t="s">
        <v>4102</v>
      </c>
      <c r="M1134" t="s">
        <v>3092</v>
      </c>
      <c r="N1134" s="12">
        <v>206078400</v>
      </c>
      <c r="O1134" t="s">
        <v>3613</v>
      </c>
      <c r="P1134" s="6" t="s">
        <v>3758</v>
      </c>
      <c r="Q1134" t="s">
        <v>3258</v>
      </c>
      <c r="R1134" t="s">
        <v>38</v>
      </c>
      <c r="S1134" s="9">
        <v>4950</v>
      </c>
      <c r="T1134" s="9">
        <v>5000</v>
      </c>
      <c r="U1134" s="9">
        <v>24750000</v>
      </c>
      <c r="V1134" s="6" t="s">
        <v>58</v>
      </c>
      <c r="W1134" t="s">
        <v>59</v>
      </c>
      <c r="X1134">
        <v>5262222144</v>
      </c>
      <c r="Y1134">
        <v>526201001</v>
      </c>
      <c r="Z1134" s="3">
        <v>45804.183333333334</v>
      </c>
      <c r="AA1134" s="6">
        <v>2025</v>
      </c>
      <c r="AB1134" s="1">
        <v>46015</v>
      </c>
    </row>
    <row r="1135" spans="1:28" x14ac:dyDescent="0.3">
      <c r="A1135" t="s">
        <v>4103</v>
      </c>
      <c r="B1135" s="6" t="s">
        <v>1094</v>
      </c>
      <c r="C1135" s="6" t="s">
        <v>479</v>
      </c>
      <c r="D1135">
        <v>5504004638</v>
      </c>
      <c r="E1135">
        <v>550401001</v>
      </c>
      <c r="F1135" t="s">
        <v>52</v>
      </c>
      <c r="G1135" t="s">
        <v>4104</v>
      </c>
      <c r="H1135" s="1">
        <v>45792</v>
      </c>
      <c r="J1135" s="8">
        <v>45803</v>
      </c>
      <c r="K1135" s="1" t="s">
        <v>2872</v>
      </c>
      <c r="L1135" t="s">
        <v>4105</v>
      </c>
      <c r="M1135" t="s">
        <v>4106</v>
      </c>
      <c r="N1135" s="12">
        <v>34975200</v>
      </c>
      <c r="O1135" t="s">
        <v>3613</v>
      </c>
      <c r="P1135" s="6" t="s">
        <v>3758</v>
      </c>
      <c r="Q1135" t="s">
        <v>37</v>
      </c>
      <c r="R1135" t="s">
        <v>38</v>
      </c>
      <c r="S1135" s="9">
        <v>3800</v>
      </c>
      <c r="T1135" s="9">
        <v>5204</v>
      </c>
      <c r="U1135" s="9">
        <v>19775200</v>
      </c>
      <c r="V1135" s="6" t="s">
        <v>58</v>
      </c>
      <c r="W1135" t="s">
        <v>59</v>
      </c>
      <c r="X1135">
        <v>5262222144</v>
      </c>
      <c r="Y1135">
        <v>526201001</v>
      </c>
      <c r="Z1135" s="3">
        <v>45803.337500000001</v>
      </c>
      <c r="AA1135" s="6">
        <v>2025</v>
      </c>
      <c r="AB1135" s="1">
        <v>45961</v>
      </c>
    </row>
    <row r="1136" spans="1:28" x14ac:dyDescent="0.3">
      <c r="A1136" t="s">
        <v>4107</v>
      </c>
      <c r="B1136" s="6" t="s">
        <v>997</v>
      </c>
      <c r="C1136" s="6" t="s">
        <v>336</v>
      </c>
      <c r="D1136">
        <v>5905061070</v>
      </c>
      <c r="E1136">
        <v>590501001</v>
      </c>
      <c r="F1136" t="s">
        <v>52</v>
      </c>
      <c r="G1136" t="s">
        <v>4108</v>
      </c>
      <c r="H1136" s="1">
        <v>45792</v>
      </c>
      <c r="J1136" s="8">
        <v>45803</v>
      </c>
      <c r="K1136" s="1" t="s">
        <v>2872</v>
      </c>
      <c r="L1136" t="s">
        <v>4108</v>
      </c>
      <c r="M1136" t="s">
        <v>3138</v>
      </c>
      <c r="N1136" s="12">
        <v>10000000</v>
      </c>
      <c r="O1136" t="s">
        <v>3613</v>
      </c>
      <c r="P1136" s="6" t="s">
        <v>3758</v>
      </c>
      <c r="Q1136" t="s">
        <v>37</v>
      </c>
      <c r="R1136" t="s">
        <v>38</v>
      </c>
      <c r="S1136" s="9">
        <v>5000</v>
      </c>
      <c r="T1136" s="9">
        <v>2000</v>
      </c>
      <c r="U1136" s="9">
        <v>10000000</v>
      </c>
      <c r="V1136" s="6" t="s">
        <v>90</v>
      </c>
      <c r="W1136" t="s">
        <v>59</v>
      </c>
      <c r="X1136">
        <v>5259153331</v>
      </c>
      <c r="Y1136">
        <v>525901001</v>
      </c>
      <c r="Z1136" s="3">
        <v>45804.272222222222</v>
      </c>
      <c r="AA1136" s="6">
        <v>2025</v>
      </c>
      <c r="AB1136" s="1">
        <v>46022</v>
      </c>
    </row>
    <row r="1137" spans="1:28" x14ac:dyDescent="0.3">
      <c r="A1137" t="s">
        <v>4109</v>
      </c>
      <c r="B1137" s="6" t="s">
        <v>633</v>
      </c>
      <c r="C1137" s="6" t="s">
        <v>634</v>
      </c>
      <c r="D1137">
        <v>5321028960</v>
      </c>
      <c r="E1137">
        <v>532101001</v>
      </c>
      <c r="F1137" t="s">
        <v>52</v>
      </c>
      <c r="G1137" t="s">
        <v>4110</v>
      </c>
      <c r="H1137" s="1">
        <v>45791</v>
      </c>
      <c r="J1137" s="8">
        <v>45803</v>
      </c>
      <c r="K1137" s="1" t="s">
        <v>2872</v>
      </c>
      <c r="L1137" t="s">
        <v>4110</v>
      </c>
      <c r="M1137" t="s">
        <v>4111</v>
      </c>
      <c r="N1137" s="12">
        <v>19530000</v>
      </c>
      <c r="O1137" t="s">
        <v>3815</v>
      </c>
      <c r="P1137" s="6" t="s">
        <v>3758</v>
      </c>
      <c r="Q1137" t="s">
        <v>37</v>
      </c>
      <c r="R1137" t="s">
        <v>38</v>
      </c>
      <c r="S1137" s="9">
        <v>4200</v>
      </c>
      <c r="T1137" s="9">
        <v>2325</v>
      </c>
      <c r="U1137" s="9">
        <v>9765000</v>
      </c>
      <c r="V1137" s="6" t="s">
        <v>39</v>
      </c>
      <c r="W1137" t="s">
        <v>40</v>
      </c>
      <c r="X1137">
        <v>7810687137</v>
      </c>
      <c r="Y1137">
        <v>781401001</v>
      </c>
      <c r="Z1137" s="3">
        <v>45803.381249999999</v>
      </c>
      <c r="AA1137" s="6">
        <v>2025</v>
      </c>
      <c r="AB1137" s="1">
        <v>45982</v>
      </c>
    </row>
    <row r="1138" spans="1:28" x14ac:dyDescent="0.3">
      <c r="A1138" s="4" t="s">
        <v>4112</v>
      </c>
      <c r="B1138" s="6" t="s">
        <v>131</v>
      </c>
      <c r="C1138" s="6" t="s">
        <v>132</v>
      </c>
      <c r="D1138">
        <v>6027053995</v>
      </c>
      <c r="E1138">
        <v>602701001</v>
      </c>
      <c r="F1138" t="s">
        <v>52</v>
      </c>
      <c r="G1138" t="s">
        <v>4113</v>
      </c>
      <c r="H1138" s="1">
        <v>45792</v>
      </c>
      <c r="I1138" t="s">
        <v>4101</v>
      </c>
      <c r="J1138" s="8">
        <v>45803</v>
      </c>
      <c r="K1138" s="1" t="s">
        <v>2872</v>
      </c>
      <c r="L1138" t="s">
        <v>4114</v>
      </c>
      <c r="M1138" t="s">
        <v>4115</v>
      </c>
      <c r="N1138" s="12">
        <v>16816800</v>
      </c>
      <c r="O1138" t="s">
        <v>3613</v>
      </c>
      <c r="P1138" s="6" t="s">
        <v>464</v>
      </c>
      <c r="R1138" t="s">
        <v>38</v>
      </c>
      <c r="S1138" s="9">
        <v>3503.5</v>
      </c>
      <c r="T1138" s="9">
        <v>4800</v>
      </c>
      <c r="U1138" s="9">
        <v>16816800</v>
      </c>
      <c r="V1138" s="6" t="s">
        <v>4116</v>
      </c>
      <c r="W1138" t="s">
        <v>4117</v>
      </c>
      <c r="X1138">
        <v>7705733810</v>
      </c>
      <c r="Y1138">
        <v>772901001</v>
      </c>
      <c r="Z1138" s="3">
        <v>45803.408333333333</v>
      </c>
      <c r="AA1138" s="6">
        <v>2025</v>
      </c>
      <c r="AB1138" s="1">
        <v>46022</v>
      </c>
    </row>
    <row r="1139" spans="1:28" x14ac:dyDescent="0.3">
      <c r="A1139" t="s">
        <v>4103</v>
      </c>
      <c r="B1139" s="6" t="s">
        <v>1094</v>
      </c>
      <c r="C1139" s="6" t="s">
        <v>479</v>
      </c>
      <c r="D1139">
        <v>5504004638</v>
      </c>
      <c r="E1139">
        <v>550401001</v>
      </c>
      <c r="F1139" t="s">
        <v>52</v>
      </c>
      <c r="G1139" t="s">
        <v>4104</v>
      </c>
      <c r="H1139" s="1">
        <v>45792</v>
      </c>
      <c r="J1139" s="8">
        <v>45803</v>
      </c>
      <c r="K1139" s="1" t="s">
        <v>2872</v>
      </c>
      <c r="L1139" t="s">
        <v>4105</v>
      </c>
      <c r="M1139" t="s">
        <v>4106</v>
      </c>
      <c r="N1139" s="12">
        <v>34975200</v>
      </c>
      <c r="O1139" t="s">
        <v>3633</v>
      </c>
      <c r="P1139" s="6" t="s">
        <v>36</v>
      </c>
      <c r="R1139" t="s">
        <v>38</v>
      </c>
      <c r="S1139" s="9">
        <v>3800</v>
      </c>
      <c r="T1139" s="9">
        <v>4000</v>
      </c>
      <c r="U1139" s="9">
        <v>15200000</v>
      </c>
      <c r="V1139" s="6" t="s">
        <v>58</v>
      </c>
      <c r="W1139" t="s">
        <v>59</v>
      </c>
      <c r="X1139">
        <v>5262222144</v>
      </c>
      <c r="Y1139">
        <v>526201001</v>
      </c>
      <c r="Z1139" s="3">
        <v>45803.337500000001</v>
      </c>
      <c r="AA1139" s="6">
        <v>2025</v>
      </c>
      <c r="AB1139" s="1">
        <v>45961</v>
      </c>
    </row>
    <row r="1140" spans="1:28" x14ac:dyDescent="0.3">
      <c r="A1140" t="s">
        <v>4118</v>
      </c>
      <c r="B1140" s="6" t="s">
        <v>1094</v>
      </c>
      <c r="C1140" s="6" t="s">
        <v>479</v>
      </c>
      <c r="D1140">
        <v>5504004638</v>
      </c>
      <c r="E1140">
        <v>550401001</v>
      </c>
      <c r="F1140" t="s">
        <v>52</v>
      </c>
      <c r="G1140" t="s">
        <v>4119</v>
      </c>
      <c r="H1140" s="1">
        <v>45791</v>
      </c>
      <c r="J1140" s="8">
        <v>45803</v>
      </c>
      <c r="K1140" s="1" t="s">
        <v>2872</v>
      </c>
      <c r="L1140" t="s">
        <v>4120</v>
      </c>
      <c r="M1140" t="s">
        <v>4121</v>
      </c>
      <c r="N1140" s="12">
        <v>1500000</v>
      </c>
      <c r="O1140" t="s">
        <v>4122</v>
      </c>
      <c r="P1140" s="6" t="s">
        <v>2277</v>
      </c>
      <c r="R1140" t="s">
        <v>38</v>
      </c>
      <c r="S1140" s="9">
        <v>3000</v>
      </c>
      <c r="T1140" s="9">
        <v>500</v>
      </c>
      <c r="U1140" s="9">
        <v>1500000</v>
      </c>
      <c r="V1140" s="6" t="s">
        <v>4028</v>
      </c>
      <c r="W1140" t="s">
        <v>4029</v>
      </c>
      <c r="X1140">
        <v>3812994288</v>
      </c>
      <c r="Y1140">
        <v>381201001</v>
      </c>
      <c r="Z1140" s="3">
        <v>45803.332638888889</v>
      </c>
      <c r="AA1140" s="6">
        <v>2025</v>
      </c>
      <c r="AB1140" s="1">
        <v>45961</v>
      </c>
    </row>
    <row r="1141" spans="1:28" x14ac:dyDescent="0.3">
      <c r="A1141" t="s">
        <v>4099</v>
      </c>
      <c r="B1141" s="6" t="s">
        <v>530</v>
      </c>
      <c r="C1141" s="6" t="s">
        <v>453</v>
      </c>
      <c r="D1141">
        <v>2221007858</v>
      </c>
      <c r="E1141">
        <v>222101001</v>
      </c>
      <c r="F1141" t="s">
        <v>52</v>
      </c>
      <c r="G1141" t="s">
        <v>4100</v>
      </c>
      <c r="H1141" s="1">
        <v>45792</v>
      </c>
      <c r="I1141" t="s">
        <v>4101</v>
      </c>
      <c r="J1141" s="8">
        <v>45803</v>
      </c>
      <c r="K1141" s="1" t="s">
        <v>2872</v>
      </c>
      <c r="L1141" t="s">
        <v>4102</v>
      </c>
      <c r="M1141" t="s">
        <v>3092</v>
      </c>
      <c r="N1141" s="12">
        <v>206078400</v>
      </c>
      <c r="O1141" t="s">
        <v>3745</v>
      </c>
      <c r="P1141" s="6" t="s">
        <v>2277</v>
      </c>
      <c r="R1141" t="s">
        <v>38</v>
      </c>
      <c r="S1141" s="9">
        <v>4950</v>
      </c>
      <c r="T1141" s="9">
        <v>8632</v>
      </c>
      <c r="U1141" s="9">
        <v>42728400</v>
      </c>
      <c r="V1141" s="6" t="s">
        <v>58</v>
      </c>
      <c r="W1141" t="s">
        <v>59</v>
      </c>
      <c r="X1141">
        <v>5262222144</v>
      </c>
      <c r="Y1141">
        <v>526201001</v>
      </c>
      <c r="Z1141" s="3">
        <v>45804.183333333334</v>
      </c>
      <c r="AA1141" s="6">
        <v>2025</v>
      </c>
      <c r="AB1141" s="1">
        <v>46015</v>
      </c>
    </row>
    <row r="1142" spans="1:28" x14ac:dyDescent="0.3">
      <c r="A1142" t="s">
        <v>4099</v>
      </c>
      <c r="B1142" s="6" t="s">
        <v>530</v>
      </c>
      <c r="C1142" s="6" t="s">
        <v>453</v>
      </c>
      <c r="D1142">
        <v>2221007858</v>
      </c>
      <c r="E1142">
        <v>222101001</v>
      </c>
      <c r="F1142" t="s">
        <v>52</v>
      </c>
      <c r="G1142" t="s">
        <v>4100</v>
      </c>
      <c r="H1142" s="1">
        <v>45792</v>
      </c>
      <c r="I1142" t="s">
        <v>4101</v>
      </c>
      <c r="J1142" s="8">
        <v>45803</v>
      </c>
      <c r="K1142" s="1" t="s">
        <v>2872</v>
      </c>
      <c r="L1142" t="s">
        <v>4102</v>
      </c>
      <c r="M1142" t="s">
        <v>3092</v>
      </c>
      <c r="N1142" s="12">
        <v>206078400</v>
      </c>
      <c r="O1142" t="s">
        <v>3633</v>
      </c>
      <c r="P1142" s="6" t="s">
        <v>36</v>
      </c>
      <c r="R1142" t="s">
        <v>38</v>
      </c>
      <c r="S1142" s="9">
        <v>4950</v>
      </c>
      <c r="T1142" s="9">
        <v>13000</v>
      </c>
      <c r="U1142" s="9">
        <v>64350000</v>
      </c>
      <c r="V1142" s="6" t="s">
        <v>58</v>
      </c>
      <c r="W1142" t="s">
        <v>59</v>
      </c>
      <c r="X1142">
        <v>5262222144</v>
      </c>
      <c r="Y1142">
        <v>526201001</v>
      </c>
      <c r="Z1142" s="3">
        <v>45804.183333333334</v>
      </c>
      <c r="AA1142" s="6">
        <v>2025</v>
      </c>
      <c r="AB1142" s="1">
        <v>46015</v>
      </c>
    </row>
    <row r="1143" spans="1:28" x14ac:dyDescent="0.3">
      <c r="A1143" s="4" t="s">
        <v>4123</v>
      </c>
      <c r="B1143" s="6" t="s">
        <v>530</v>
      </c>
      <c r="C1143" s="6" t="s">
        <v>453</v>
      </c>
      <c r="D1143">
        <v>2221007858</v>
      </c>
      <c r="E1143">
        <v>222101001</v>
      </c>
      <c r="F1143" t="s">
        <v>52</v>
      </c>
      <c r="G1143" t="s">
        <v>4100</v>
      </c>
      <c r="H1143" s="1">
        <v>45792</v>
      </c>
      <c r="I1143" t="s">
        <v>4101</v>
      </c>
      <c r="J1143" s="8">
        <v>45803</v>
      </c>
      <c r="K1143" s="1" t="s">
        <v>2872</v>
      </c>
      <c r="L1143" t="s">
        <v>4102</v>
      </c>
      <c r="M1143" t="s">
        <v>3092</v>
      </c>
      <c r="N1143" s="12">
        <v>206078400</v>
      </c>
      <c r="O1143" t="s">
        <v>3745</v>
      </c>
      <c r="P1143" s="6" t="s">
        <v>2277</v>
      </c>
      <c r="R1143" t="s">
        <v>38</v>
      </c>
      <c r="S1143" s="9">
        <v>4950</v>
      </c>
      <c r="T1143" s="9">
        <v>5000</v>
      </c>
      <c r="U1143" s="9">
        <v>24750000</v>
      </c>
      <c r="V1143" s="6" t="s">
        <v>58</v>
      </c>
      <c r="W1143" t="s">
        <v>59</v>
      </c>
      <c r="X1143">
        <v>5262222144</v>
      </c>
      <c r="Y1143">
        <v>526201001</v>
      </c>
      <c r="Z1143" s="3">
        <v>45804.183333333334</v>
      </c>
      <c r="AA1143" s="6">
        <v>2025</v>
      </c>
      <c r="AB1143" s="1">
        <v>46015</v>
      </c>
    </row>
    <row r="1144" spans="1:28" x14ac:dyDescent="0.3">
      <c r="A1144" t="s">
        <v>4099</v>
      </c>
      <c r="B1144" s="6" t="s">
        <v>530</v>
      </c>
      <c r="C1144" s="6" t="s">
        <v>453</v>
      </c>
      <c r="D1144">
        <v>2221007858</v>
      </c>
      <c r="E1144">
        <v>222101001</v>
      </c>
      <c r="F1144" t="s">
        <v>52</v>
      </c>
      <c r="G1144" t="s">
        <v>4100</v>
      </c>
      <c r="H1144" s="1">
        <v>45792</v>
      </c>
      <c r="I1144" t="s">
        <v>4101</v>
      </c>
      <c r="J1144" s="8">
        <v>45803</v>
      </c>
      <c r="K1144" s="1" t="s">
        <v>2872</v>
      </c>
      <c r="L1144" t="s">
        <v>4102</v>
      </c>
      <c r="M1144" t="s">
        <v>3092</v>
      </c>
      <c r="N1144" s="12">
        <v>206078400</v>
      </c>
      <c r="O1144" t="s">
        <v>3633</v>
      </c>
      <c r="P1144" s="6" t="s">
        <v>36</v>
      </c>
      <c r="R1144" t="s">
        <v>38</v>
      </c>
      <c r="S1144" s="9">
        <v>4950</v>
      </c>
      <c r="T1144" s="9">
        <v>10000</v>
      </c>
      <c r="U1144" s="9">
        <v>49500000</v>
      </c>
      <c r="V1144" s="6" t="s">
        <v>58</v>
      </c>
      <c r="W1144" t="s">
        <v>59</v>
      </c>
      <c r="X1144">
        <v>5262222144</v>
      </c>
      <c r="Y1144">
        <v>526201001</v>
      </c>
      <c r="Z1144" s="3">
        <v>45804.183333333334</v>
      </c>
      <c r="AA1144" s="6">
        <v>2025</v>
      </c>
      <c r="AB1144" s="1">
        <v>46015</v>
      </c>
    </row>
    <row r="1145" spans="1:28" x14ac:dyDescent="0.3">
      <c r="A1145" t="s">
        <v>4124</v>
      </c>
      <c r="B1145" s="6" t="s">
        <v>501</v>
      </c>
      <c r="C1145" s="6" t="s">
        <v>502</v>
      </c>
      <c r="D1145">
        <v>6318197367</v>
      </c>
      <c r="E1145">
        <v>631801001</v>
      </c>
      <c r="F1145" t="s">
        <v>52</v>
      </c>
      <c r="G1145" t="s">
        <v>4125</v>
      </c>
      <c r="H1145" s="1">
        <v>45792</v>
      </c>
      <c r="I1145" t="s">
        <v>4101</v>
      </c>
      <c r="J1145" s="8">
        <v>45803</v>
      </c>
      <c r="K1145" s="1" t="s">
        <v>2872</v>
      </c>
      <c r="L1145" t="s">
        <v>4126</v>
      </c>
      <c r="M1145" t="s">
        <v>4127</v>
      </c>
      <c r="N1145" s="12">
        <v>300000</v>
      </c>
      <c r="O1145" t="s">
        <v>3613</v>
      </c>
      <c r="P1145" s="6" t="s">
        <v>1814</v>
      </c>
      <c r="R1145" t="s">
        <v>38</v>
      </c>
      <c r="S1145" s="9">
        <v>6000</v>
      </c>
      <c r="T1145" s="9">
        <v>50</v>
      </c>
      <c r="U1145" s="9">
        <v>300000</v>
      </c>
      <c r="V1145" s="6" t="s">
        <v>90</v>
      </c>
      <c r="W1145" t="s">
        <v>59</v>
      </c>
      <c r="X1145">
        <v>5259153331</v>
      </c>
      <c r="Y1145">
        <v>525901001</v>
      </c>
      <c r="Z1145" s="3">
        <v>45803.665277777778</v>
      </c>
      <c r="AA1145" s="6">
        <v>2025</v>
      </c>
      <c r="AB1145" s="1">
        <v>46022</v>
      </c>
    </row>
    <row r="1146" spans="1:28" x14ac:dyDescent="0.3">
      <c r="A1146" t="s">
        <v>4128</v>
      </c>
      <c r="B1146" s="6" t="s">
        <v>4129</v>
      </c>
      <c r="C1146" s="6" t="s">
        <v>1257</v>
      </c>
      <c r="D1146">
        <v>603005320</v>
      </c>
      <c r="E1146">
        <v>60301001</v>
      </c>
      <c r="F1146" t="s">
        <v>52</v>
      </c>
      <c r="G1146" t="s">
        <v>4130</v>
      </c>
      <c r="H1146" s="1">
        <v>45791</v>
      </c>
      <c r="I1146" t="s">
        <v>4131</v>
      </c>
      <c r="J1146" s="8">
        <v>45803</v>
      </c>
      <c r="K1146" s="1" t="s">
        <v>2872</v>
      </c>
      <c r="L1146" t="s">
        <v>4132</v>
      </c>
      <c r="M1146" t="s">
        <v>4133</v>
      </c>
      <c r="N1146" s="12">
        <v>1853441.28</v>
      </c>
      <c r="O1146" t="s">
        <v>3633</v>
      </c>
      <c r="P1146" s="6" t="s">
        <v>36</v>
      </c>
      <c r="R1146" t="s">
        <v>38</v>
      </c>
      <c r="S1146" s="9">
        <v>4826.67</v>
      </c>
      <c r="T1146" s="9">
        <v>384</v>
      </c>
      <c r="U1146" s="9">
        <v>1853441.28</v>
      </c>
      <c r="V1146" s="6" t="s">
        <v>111</v>
      </c>
      <c r="W1146" t="s">
        <v>59</v>
      </c>
      <c r="X1146">
        <v>5262258091</v>
      </c>
      <c r="Y1146">
        <v>526201001</v>
      </c>
      <c r="Z1146" s="3">
        <v>45803.661805555559</v>
      </c>
      <c r="AA1146" s="6">
        <v>2025</v>
      </c>
      <c r="AB1146" s="1">
        <v>46022</v>
      </c>
    </row>
    <row r="1147" spans="1:28" x14ac:dyDescent="0.3">
      <c r="A1147" t="s">
        <v>4109</v>
      </c>
      <c r="B1147" s="6" t="s">
        <v>633</v>
      </c>
      <c r="C1147" s="6" t="s">
        <v>634</v>
      </c>
      <c r="D1147">
        <v>5321028960</v>
      </c>
      <c r="E1147">
        <v>532101001</v>
      </c>
      <c r="F1147" t="s">
        <v>52</v>
      </c>
      <c r="G1147" t="s">
        <v>4110</v>
      </c>
      <c r="H1147" s="1">
        <v>45791</v>
      </c>
      <c r="J1147" s="8">
        <v>45803</v>
      </c>
      <c r="K1147" s="1" t="s">
        <v>2872</v>
      </c>
      <c r="L1147" t="s">
        <v>4110</v>
      </c>
      <c r="M1147" t="s">
        <v>4111</v>
      </c>
      <c r="N1147" s="12">
        <v>19530000</v>
      </c>
      <c r="O1147" t="s">
        <v>3648</v>
      </c>
      <c r="P1147" s="6" t="s">
        <v>2277</v>
      </c>
      <c r="R1147" t="s">
        <v>38</v>
      </c>
      <c r="S1147" s="9">
        <v>4200</v>
      </c>
      <c r="T1147" s="9">
        <v>2325</v>
      </c>
      <c r="U1147" s="9">
        <v>9765000</v>
      </c>
      <c r="V1147" s="6" t="s">
        <v>39</v>
      </c>
      <c r="W1147" t="s">
        <v>40</v>
      </c>
      <c r="X1147">
        <v>7810687137</v>
      </c>
      <c r="Y1147">
        <v>781401001</v>
      </c>
      <c r="Z1147" s="3">
        <v>45803.381249999999</v>
      </c>
      <c r="AA1147" s="6">
        <v>2025</v>
      </c>
      <c r="AB1147" s="1">
        <v>45982</v>
      </c>
    </row>
    <row r="1148" spans="1:28" x14ac:dyDescent="0.3">
      <c r="A1148" t="s">
        <v>4134</v>
      </c>
      <c r="B1148" s="6" t="s">
        <v>121</v>
      </c>
      <c r="C1148" s="6" t="s">
        <v>122</v>
      </c>
      <c r="D1148">
        <v>5402155123</v>
      </c>
      <c r="E1148">
        <v>540201001</v>
      </c>
      <c r="F1148" t="s">
        <v>52</v>
      </c>
      <c r="G1148" t="s">
        <v>4135</v>
      </c>
      <c r="H1148" s="1">
        <v>45792</v>
      </c>
      <c r="I1148" t="s">
        <v>4101</v>
      </c>
      <c r="J1148" s="8">
        <v>45804</v>
      </c>
      <c r="K1148" s="1" t="s">
        <v>2872</v>
      </c>
      <c r="L1148" t="s">
        <v>4136</v>
      </c>
      <c r="M1148" t="s">
        <v>4137</v>
      </c>
      <c r="N1148" s="12">
        <v>60769492</v>
      </c>
      <c r="O1148" t="s">
        <v>3613</v>
      </c>
      <c r="P1148" s="6" t="s">
        <v>3758</v>
      </c>
      <c r="Q1148" t="s">
        <v>3258</v>
      </c>
      <c r="R1148" t="s">
        <v>38</v>
      </c>
      <c r="S1148" s="9">
        <v>2924</v>
      </c>
      <c r="T1148" s="9">
        <v>6928</v>
      </c>
      <c r="U1148" s="9">
        <v>20257472</v>
      </c>
      <c r="V1148" s="6" t="s">
        <v>3156</v>
      </c>
      <c r="W1148" t="s">
        <v>59</v>
      </c>
      <c r="X1148">
        <v>6684041878</v>
      </c>
      <c r="Y1148">
        <v>668401001</v>
      </c>
      <c r="Z1148" s="3">
        <v>45804.486805555556</v>
      </c>
      <c r="AA1148" s="6">
        <v>2025</v>
      </c>
      <c r="AB1148" s="1">
        <v>45991</v>
      </c>
    </row>
    <row r="1149" spans="1:28" x14ac:dyDescent="0.3">
      <c r="A1149" t="s">
        <v>4138</v>
      </c>
      <c r="B1149" s="6" t="s">
        <v>321</v>
      </c>
      <c r="C1149" s="6" t="s">
        <v>322</v>
      </c>
      <c r="D1149">
        <v>3917515253</v>
      </c>
      <c r="E1149">
        <v>390601001</v>
      </c>
      <c r="F1149" t="s">
        <v>52</v>
      </c>
      <c r="G1149" t="s">
        <v>4139</v>
      </c>
      <c r="H1149" s="1">
        <v>45792</v>
      </c>
      <c r="I1149" t="s">
        <v>4101</v>
      </c>
      <c r="J1149" s="8">
        <v>45804</v>
      </c>
      <c r="K1149" s="1" t="s">
        <v>2872</v>
      </c>
      <c r="L1149" t="s">
        <v>4139</v>
      </c>
      <c r="M1149" t="s">
        <v>4140</v>
      </c>
      <c r="N1149" s="12">
        <v>28336269</v>
      </c>
      <c r="O1149" t="s">
        <v>3815</v>
      </c>
      <c r="P1149" s="6" t="s">
        <v>3758</v>
      </c>
      <c r="Q1149" t="s">
        <v>3258</v>
      </c>
      <c r="R1149" t="s">
        <v>38</v>
      </c>
      <c r="S1149" s="9">
        <v>3934.5</v>
      </c>
      <c r="T1149" s="9">
        <v>3306</v>
      </c>
      <c r="U1149" s="9">
        <v>13007457</v>
      </c>
      <c r="V1149" s="6" t="s">
        <v>352</v>
      </c>
      <c r="W1149" t="s">
        <v>40</v>
      </c>
      <c r="X1149">
        <v>7843014747</v>
      </c>
      <c r="Y1149">
        <v>781401001</v>
      </c>
      <c r="Z1149" s="3">
        <v>45804.698611111111</v>
      </c>
      <c r="AA1149" s="6">
        <v>2025</v>
      </c>
      <c r="AB1149" s="1">
        <v>46022</v>
      </c>
    </row>
    <row r="1150" spans="1:28" x14ac:dyDescent="0.3">
      <c r="A1150" t="s">
        <v>4141</v>
      </c>
      <c r="B1150" s="6" t="s">
        <v>321</v>
      </c>
      <c r="C1150" s="6" t="s">
        <v>322</v>
      </c>
      <c r="D1150">
        <v>3917515253</v>
      </c>
      <c r="E1150">
        <v>390601001</v>
      </c>
      <c r="F1150" t="s">
        <v>52</v>
      </c>
      <c r="G1150" t="s">
        <v>4142</v>
      </c>
      <c r="H1150" s="1">
        <v>45792</v>
      </c>
      <c r="I1150" t="s">
        <v>4101</v>
      </c>
      <c r="J1150" s="8">
        <v>45804</v>
      </c>
      <c r="K1150" s="1" t="s">
        <v>2872</v>
      </c>
      <c r="L1150" t="s">
        <v>4142</v>
      </c>
      <c r="M1150" t="s">
        <v>4140</v>
      </c>
      <c r="N1150" s="12">
        <v>53785023.5</v>
      </c>
      <c r="O1150" t="s">
        <v>3815</v>
      </c>
      <c r="P1150" s="6" t="s">
        <v>3758</v>
      </c>
      <c r="Q1150" t="s">
        <v>37</v>
      </c>
      <c r="R1150" t="s">
        <v>38</v>
      </c>
      <c r="S1150" s="9">
        <v>4278.5</v>
      </c>
      <c r="T1150" s="9">
        <v>2571</v>
      </c>
      <c r="U1150" s="9">
        <v>11000023.5</v>
      </c>
      <c r="V1150" s="6" t="s">
        <v>352</v>
      </c>
      <c r="W1150" t="s">
        <v>40</v>
      </c>
      <c r="X1150">
        <v>7843014747</v>
      </c>
      <c r="Y1150">
        <v>781401001</v>
      </c>
      <c r="Z1150" s="3">
        <v>45804.70208333333</v>
      </c>
      <c r="AA1150" s="6">
        <v>2025</v>
      </c>
      <c r="AB1150" s="1">
        <v>46022</v>
      </c>
    </row>
    <row r="1151" spans="1:28" x14ac:dyDescent="0.3">
      <c r="A1151" t="s">
        <v>4134</v>
      </c>
      <c r="B1151" s="6" t="s">
        <v>121</v>
      </c>
      <c r="C1151" s="6" t="s">
        <v>122</v>
      </c>
      <c r="D1151">
        <v>5402155123</v>
      </c>
      <c r="E1151">
        <v>540201001</v>
      </c>
      <c r="F1151" t="s">
        <v>52</v>
      </c>
      <c r="G1151" t="s">
        <v>4135</v>
      </c>
      <c r="H1151" s="1">
        <v>45792</v>
      </c>
      <c r="I1151" t="s">
        <v>4101</v>
      </c>
      <c r="J1151" s="8">
        <v>45804</v>
      </c>
      <c r="K1151" s="1" t="s">
        <v>2872</v>
      </c>
      <c r="L1151" t="s">
        <v>4136</v>
      </c>
      <c r="M1151" t="s">
        <v>4137</v>
      </c>
      <c r="N1151" s="12">
        <v>60769492</v>
      </c>
      <c r="O1151" t="s">
        <v>4143</v>
      </c>
      <c r="P1151" s="6" t="s">
        <v>2941</v>
      </c>
      <c r="Q1151" t="s">
        <v>3258</v>
      </c>
      <c r="R1151" t="s">
        <v>38</v>
      </c>
      <c r="S1151" s="9">
        <v>2924</v>
      </c>
      <c r="T1151" s="9">
        <v>6927</v>
      </c>
      <c r="U1151" s="9">
        <v>20254548</v>
      </c>
      <c r="V1151" s="6" t="s">
        <v>3156</v>
      </c>
      <c r="W1151" t="s">
        <v>59</v>
      </c>
      <c r="X1151">
        <v>6684041878</v>
      </c>
      <c r="Y1151">
        <v>668401001</v>
      </c>
      <c r="Z1151" s="3">
        <v>45804.486805555556</v>
      </c>
      <c r="AA1151" s="6">
        <v>2025</v>
      </c>
      <c r="AB1151" s="1">
        <v>45991</v>
      </c>
    </row>
    <row r="1152" spans="1:28" x14ac:dyDescent="0.3">
      <c r="A1152" s="4" t="s">
        <v>4144</v>
      </c>
      <c r="B1152" s="6" t="s">
        <v>121</v>
      </c>
      <c r="C1152" s="6" t="s">
        <v>122</v>
      </c>
      <c r="D1152">
        <v>5402155123</v>
      </c>
      <c r="E1152">
        <v>540201001</v>
      </c>
      <c r="F1152" t="s">
        <v>52</v>
      </c>
      <c r="G1152" t="s">
        <v>4135</v>
      </c>
      <c r="H1152" s="1">
        <v>45792</v>
      </c>
      <c r="I1152" t="s">
        <v>4101</v>
      </c>
      <c r="J1152" s="8">
        <v>45804</v>
      </c>
      <c r="K1152" s="1" t="s">
        <v>2872</v>
      </c>
      <c r="L1152" t="s">
        <v>4136</v>
      </c>
      <c r="M1152" t="s">
        <v>4137</v>
      </c>
      <c r="N1152" s="12">
        <v>60769492</v>
      </c>
      <c r="O1152" t="s">
        <v>3745</v>
      </c>
      <c r="P1152" s="6" t="s">
        <v>2277</v>
      </c>
      <c r="Q1152" t="s">
        <v>3258</v>
      </c>
      <c r="R1152" t="s">
        <v>38</v>
      </c>
      <c r="S1152" s="9">
        <v>2924</v>
      </c>
      <c r="T1152" s="9">
        <v>6928</v>
      </c>
      <c r="U1152" s="9">
        <v>20257472</v>
      </c>
      <c r="V1152" s="6" t="s">
        <v>3156</v>
      </c>
      <c r="W1152" t="s">
        <v>59</v>
      </c>
      <c r="X1152">
        <v>6684041878</v>
      </c>
      <c r="Y1152">
        <v>668401001</v>
      </c>
      <c r="Z1152" s="3">
        <v>45804.486805555556</v>
      </c>
      <c r="AA1152" s="6">
        <v>2025</v>
      </c>
      <c r="AB1152" s="1">
        <v>45991</v>
      </c>
    </row>
    <row r="1153" spans="1:28" x14ac:dyDescent="0.3">
      <c r="A1153" t="s">
        <v>4141</v>
      </c>
      <c r="B1153" s="6" t="s">
        <v>321</v>
      </c>
      <c r="C1153" s="6" t="s">
        <v>322</v>
      </c>
      <c r="D1153">
        <v>3917515253</v>
      </c>
      <c r="E1153" s="4">
        <v>390601001</v>
      </c>
      <c r="F1153" t="s">
        <v>52</v>
      </c>
      <c r="G1153" t="s">
        <v>4142</v>
      </c>
      <c r="H1153" s="1">
        <v>45792</v>
      </c>
      <c r="I1153" t="s">
        <v>4101</v>
      </c>
      <c r="J1153" s="8">
        <v>45804</v>
      </c>
      <c r="K1153" s="1" t="s">
        <v>2872</v>
      </c>
      <c r="L1153" t="s">
        <v>4142</v>
      </c>
      <c r="M1153" t="s">
        <v>4140</v>
      </c>
      <c r="N1153" s="12">
        <v>53785023.5</v>
      </c>
      <c r="O1153" t="s">
        <v>3648</v>
      </c>
      <c r="P1153" s="6" t="s">
        <v>2277</v>
      </c>
      <c r="Q1153" t="s">
        <v>37</v>
      </c>
      <c r="R1153" t="s">
        <v>38</v>
      </c>
      <c r="S1153" s="9">
        <v>4278.5</v>
      </c>
      <c r="T1153" s="9">
        <v>2000</v>
      </c>
      <c r="U1153" s="9">
        <v>8557000</v>
      </c>
      <c r="V1153" s="6" t="s">
        <v>352</v>
      </c>
      <c r="W1153" t="s">
        <v>40</v>
      </c>
      <c r="X1153">
        <v>7843014747</v>
      </c>
      <c r="Y1153">
        <v>781401001</v>
      </c>
      <c r="Z1153" s="3">
        <v>45804.70208333333</v>
      </c>
      <c r="AA1153" s="6">
        <v>2025</v>
      </c>
      <c r="AB1153" s="1">
        <v>46022</v>
      </c>
    </row>
    <row r="1154" spans="1:28" x14ac:dyDescent="0.3">
      <c r="A1154" t="s">
        <v>4141</v>
      </c>
      <c r="B1154" s="6" t="s">
        <v>321</v>
      </c>
      <c r="C1154" s="6" t="s">
        <v>322</v>
      </c>
      <c r="D1154">
        <v>3917515253</v>
      </c>
      <c r="E1154">
        <v>390601001</v>
      </c>
      <c r="F1154" t="s">
        <v>52</v>
      </c>
      <c r="G1154" t="s">
        <v>4142</v>
      </c>
      <c r="H1154" s="1">
        <v>45792</v>
      </c>
      <c r="I1154" t="s">
        <v>4101</v>
      </c>
      <c r="J1154" s="8">
        <v>45804</v>
      </c>
      <c r="K1154" s="1" t="s">
        <v>2872</v>
      </c>
      <c r="L1154" t="s">
        <v>4142</v>
      </c>
      <c r="M1154" t="s">
        <v>4140</v>
      </c>
      <c r="N1154" s="12">
        <v>53785023.5</v>
      </c>
      <c r="O1154" t="s">
        <v>3633</v>
      </c>
      <c r="P1154" s="6" t="s">
        <v>36</v>
      </c>
      <c r="Q1154" t="s">
        <v>37</v>
      </c>
      <c r="R1154" t="s">
        <v>38</v>
      </c>
      <c r="S1154" s="9">
        <v>4278.5</v>
      </c>
      <c r="T1154" s="9">
        <v>8000</v>
      </c>
      <c r="U1154" s="9">
        <v>34228000</v>
      </c>
      <c r="V1154" s="6" t="s">
        <v>352</v>
      </c>
      <c r="W1154" t="s">
        <v>40</v>
      </c>
      <c r="X1154">
        <v>7843014747</v>
      </c>
      <c r="Y1154">
        <v>781401001</v>
      </c>
      <c r="Z1154" s="3">
        <v>45804.70208333333</v>
      </c>
      <c r="AA1154" s="6">
        <v>2025</v>
      </c>
      <c r="AB1154" s="1">
        <v>46022</v>
      </c>
    </row>
    <row r="1155" spans="1:28" x14ac:dyDescent="0.3">
      <c r="A1155" t="s">
        <v>4138</v>
      </c>
      <c r="B1155" s="6" t="s">
        <v>321</v>
      </c>
      <c r="C1155" s="6" t="s">
        <v>322</v>
      </c>
      <c r="D1155">
        <v>3917515253</v>
      </c>
      <c r="E1155">
        <v>390601001</v>
      </c>
      <c r="F1155" t="s">
        <v>52</v>
      </c>
      <c r="G1155" t="s">
        <v>4139</v>
      </c>
      <c r="H1155" s="1">
        <v>45792</v>
      </c>
      <c r="I1155" t="s">
        <v>4101</v>
      </c>
      <c r="J1155" s="8">
        <v>45804</v>
      </c>
      <c r="K1155" s="1" t="s">
        <v>2872</v>
      </c>
      <c r="L1155" t="s">
        <v>4139</v>
      </c>
      <c r="M1155" t="s">
        <v>4140</v>
      </c>
      <c r="N1155" s="12">
        <v>28336269</v>
      </c>
      <c r="O1155" t="s">
        <v>3648</v>
      </c>
      <c r="P1155" s="6" t="s">
        <v>2277</v>
      </c>
      <c r="Q1155" t="s">
        <v>3258</v>
      </c>
      <c r="R1155" t="s">
        <v>38</v>
      </c>
      <c r="S1155" s="9">
        <v>3934.5</v>
      </c>
      <c r="T1155" s="9">
        <v>3896</v>
      </c>
      <c r="U1155" s="9">
        <v>15328812</v>
      </c>
      <c r="V1155" s="6" t="s">
        <v>352</v>
      </c>
      <c r="W1155" t="s">
        <v>40</v>
      </c>
      <c r="X1155">
        <v>7843014747</v>
      </c>
      <c r="Y1155">
        <v>781401001</v>
      </c>
      <c r="Z1155" s="3">
        <v>45804.698611111111</v>
      </c>
      <c r="AA1155" s="6">
        <v>2025</v>
      </c>
      <c r="AB1155" s="1">
        <v>46022</v>
      </c>
    </row>
    <row r="1156" spans="1:28" x14ac:dyDescent="0.3">
      <c r="A1156" t="s">
        <v>4145</v>
      </c>
      <c r="B1156" s="6" t="s">
        <v>870</v>
      </c>
      <c r="C1156" s="6" t="s">
        <v>164</v>
      </c>
      <c r="D1156">
        <v>7802030429</v>
      </c>
      <c r="E1156">
        <v>781401001</v>
      </c>
      <c r="F1156" t="s">
        <v>94</v>
      </c>
      <c r="G1156" t="s">
        <v>4146</v>
      </c>
      <c r="H1156" s="1">
        <v>45800</v>
      </c>
      <c r="I1156" t="s">
        <v>4147</v>
      </c>
      <c r="J1156" s="8">
        <v>45805</v>
      </c>
      <c r="K1156" s="1" t="s">
        <v>2872</v>
      </c>
      <c r="L1156" t="s">
        <v>4148</v>
      </c>
      <c r="M1156" t="s">
        <v>4149</v>
      </c>
      <c r="N1156" s="12">
        <v>1413952</v>
      </c>
      <c r="O1156" t="s">
        <v>3633</v>
      </c>
      <c r="P1156" s="6" t="s">
        <v>36</v>
      </c>
      <c r="R1156" t="s">
        <v>38</v>
      </c>
      <c r="S1156" s="9">
        <v>6305</v>
      </c>
      <c r="T1156" s="9">
        <v>26</v>
      </c>
      <c r="U1156" s="9">
        <v>163930</v>
      </c>
      <c r="V1156" s="6" t="s">
        <v>39</v>
      </c>
      <c r="W1156" t="s">
        <v>40</v>
      </c>
      <c r="X1156">
        <v>7810687137</v>
      </c>
      <c r="Y1156">
        <v>781401001</v>
      </c>
      <c r="Z1156" s="3">
        <v>45806.527083333334</v>
      </c>
      <c r="AA1156" s="6">
        <v>2025</v>
      </c>
      <c r="AB1156" s="1">
        <v>45991</v>
      </c>
    </row>
    <row r="1157" spans="1:28" x14ac:dyDescent="0.3">
      <c r="A1157" t="s">
        <v>4150</v>
      </c>
      <c r="B1157" s="6" t="s">
        <v>2724</v>
      </c>
      <c r="C1157" s="6" t="s">
        <v>427</v>
      </c>
      <c r="D1157">
        <v>5190800114</v>
      </c>
      <c r="E1157">
        <v>519001001</v>
      </c>
      <c r="F1157" t="s">
        <v>52</v>
      </c>
      <c r="G1157" t="s">
        <v>4151</v>
      </c>
      <c r="H1157" s="1">
        <v>45792</v>
      </c>
      <c r="I1157" t="s">
        <v>4101</v>
      </c>
      <c r="J1157" s="8">
        <v>45805</v>
      </c>
      <c r="K1157" s="1" t="s">
        <v>2872</v>
      </c>
      <c r="L1157" t="s">
        <v>4152</v>
      </c>
      <c r="M1157" t="s">
        <v>4153</v>
      </c>
      <c r="N1157" s="12">
        <v>237811</v>
      </c>
      <c r="O1157" t="s">
        <v>3633</v>
      </c>
      <c r="P1157" s="6" t="s">
        <v>36</v>
      </c>
      <c r="R1157" t="s">
        <v>38</v>
      </c>
      <c r="S1157" s="9">
        <v>4487</v>
      </c>
      <c r="T1157" s="9">
        <v>53</v>
      </c>
      <c r="U1157" s="9">
        <v>237811</v>
      </c>
      <c r="V1157" s="6" t="s">
        <v>39</v>
      </c>
      <c r="W1157" t="s">
        <v>40</v>
      </c>
      <c r="X1157">
        <v>7810687137</v>
      </c>
      <c r="Y1157">
        <v>781401001</v>
      </c>
      <c r="Z1157" s="3">
        <v>45805.658333333333</v>
      </c>
      <c r="AA1157" s="6">
        <v>2025</v>
      </c>
      <c r="AB1157" s="1">
        <v>46021</v>
      </c>
    </row>
    <row r="1158" spans="1:28" x14ac:dyDescent="0.3">
      <c r="A1158" t="s">
        <v>4154</v>
      </c>
      <c r="B1158" s="6" t="s">
        <v>42</v>
      </c>
      <c r="C1158" s="6" t="s">
        <v>43</v>
      </c>
      <c r="D1158">
        <v>5609027223</v>
      </c>
      <c r="E1158">
        <v>560901001</v>
      </c>
      <c r="F1158" t="s">
        <v>52</v>
      </c>
      <c r="G1158" s="5" t="s">
        <v>4155</v>
      </c>
      <c r="H1158" s="1">
        <v>45793</v>
      </c>
      <c r="I1158" t="s">
        <v>3019</v>
      </c>
      <c r="J1158" s="8">
        <v>45806</v>
      </c>
      <c r="K1158" s="1" t="s">
        <v>2872</v>
      </c>
      <c r="L1158" t="s">
        <v>4155</v>
      </c>
      <c r="M1158" t="s">
        <v>4156</v>
      </c>
      <c r="N1158" s="12">
        <v>70626093.450000003</v>
      </c>
      <c r="O1158" t="s">
        <v>3613</v>
      </c>
      <c r="P1158" s="6" t="s">
        <v>3758</v>
      </c>
      <c r="Q1158" t="s">
        <v>3258</v>
      </c>
      <c r="R1158" t="s">
        <v>38</v>
      </c>
      <c r="S1158" s="9">
        <v>3944.49</v>
      </c>
      <c r="T1158" s="9">
        <v>5305</v>
      </c>
      <c r="U1158" s="9">
        <v>20925519.449999999</v>
      </c>
      <c r="V1158" s="6" t="s">
        <v>39</v>
      </c>
      <c r="W1158" t="s">
        <v>40</v>
      </c>
      <c r="AA1158" s="6">
        <v>2025</v>
      </c>
    </row>
    <row r="1159" spans="1:28" x14ac:dyDescent="0.3">
      <c r="A1159" t="s">
        <v>4145</v>
      </c>
      <c r="B1159" s="6" t="s">
        <v>870</v>
      </c>
      <c r="C1159" s="6" t="s">
        <v>164</v>
      </c>
      <c r="D1159">
        <v>1835027727</v>
      </c>
      <c r="E1159">
        <v>184001001</v>
      </c>
      <c r="F1159" t="s">
        <v>149</v>
      </c>
      <c r="G1159" t="s">
        <v>4157</v>
      </c>
      <c r="H1159" s="1">
        <v>45803</v>
      </c>
      <c r="J1159" s="8">
        <v>45806</v>
      </c>
      <c r="K1159" s="1" t="s">
        <v>2872</v>
      </c>
      <c r="L1159" t="s">
        <v>4148</v>
      </c>
      <c r="M1159" t="s">
        <v>4149</v>
      </c>
      <c r="N1159" s="12">
        <v>1413952</v>
      </c>
      <c r="O1159" t="s">
        <v>3633</v>
      </c>
      <c r="P1159" s="6" t="s">
        <v>36</v>
      </c>
      <c r="R1159" t="s">
        <v>38</v>
      </c>
      <c r="S1159" s="9">
        <v>4166.74</v>
      </c>
      <c r="T1159" s="9">
        <v>300</v>
      </c>
      <c r="U1159" s="9">
        <v>1250022</v>
      </c>
      <c r="V1159" s="6" t="s">
        <v>39</v>
      </c>
      <c r="W1159" t="s">
        <v>40</v>
      </c>
      <c r="X1159">
        <v>7810687137</v>
      </c>
      <c r="Y1159">
        <v>781401001</v>
      </c>
      <c r="Z1159" s="3">
        <v>45806.527083333334</v>
      </c>
      <c r="AA1159" s="6">
        <v>2025</v>
      </c>
      <c r="AB1159" s="1">
        <v>45991</v>
      </c>
    </row>
    <row r="1160" spans="1:28" x14ac:dyDescent="0.3">
      <c r="A1160" t="s">
        <v>4154</v>
      </c>
      <c r="B1160" s="6" t="s">
        <v>42</v>
      </c>
      <c r="C1160" s="6" t="s">
        <v>43</v>
      </c>
      <c r="D1160">
        <v>5609027223</v>
      </c>
      <c r="E1160">
        <v>560901001</v>
      </c>
      <c r="F1160" t="s">
        <v>52</v>
      </c>
      <c r="G1160" s="5" t="s">
        <v>4155</v>
      </c>
      <c r="H1160" s="1">
        <v>45793</v>
      </c>
      <c r="I1160" t="s">
        <v>3019</v>
      </c>
      <c r="J1160" s="8">
        <v>45806</v>
      </c>
      <c r="K1160" s="1" t="s">
        <v>2872</v>
      </c>
      <c r="L1160" t="s">
        <v>4155</v>
      </c>
      <c r="M1160" t="s">
        <v>4156</v>
      </c>
      <c r="N1160" s="12">
        <v>70626093.450000003</v>
      </c>
      <c r="O1160" t="s">
        <v>3613</v>
      </c>
      <c r="P1160" s="6" t="s">
        <v>2941</v>
      </c>
      <c r="Q1160" t="s">
        <v>3258</v>
      </c>
      <c r="R1160" t="s">
        <v>38</v>
      </c>
      <c r="S1160" s="9">
        <v>3944.49</v>
      </c>
      <c r="T1160" s="9">
        <v>5590</v>
      </c>
      <c r="U1160" s="9">
        <v>22049699.099999998</v>
      </c>
      <c r="W1160" t="s">
        <v>40</v>
      </c>
      <c r="AA1160" s="6">
        <v>2025</v>
      </c>
    </row>
    <row r="1161" spans="1:28" x14ac:dyDescent="0.3">
      <c r="A1161" t="s">
        <v>4154</v>
      </c>
      <c r="B1161" s="6" t="s">
        <v>42</v>
      </c>
      <c r="C1161" s="6" t="s">
        <v>43</v>
      </c>
      <c r="D1161">
        <v>5609027223</v>
      </c>
      <c r="E1161">
        <v>560901001</v>
      </c>
      <c r="F1161" t="s">
        <v>52</v>
      </c>
      <c r="G1161" s="5" t="s">
        <v>4155</v>
      </c>
      <c r="H1161" s="1">
        <v>45793</v>
      </c>
      <c r="I1161" t="s">
        <v>3019</v>
      </c>
      <c r="J1161" s="8">
        <v>45806</v>
      </c>
      <c r="K1161" s="1" t="s">
        <v>2872</v>
      </c>
      <c r="L1161" t="s">
        <v>4155</v>
      </c>
      <c r="M1161" t="s">
        <v>4156</v>
      </c>
      <c r="N1161" s="12">
        <v>70626093.450000003</v>
      </c>
      <c r="O1161" t="s">
        <v>3613</v>
      </c>
      <c r="P1161" s="6" t="s">
        <v>2277</v>
      </c>
      <c r="Q1161" t="s">
        <v>3258</v>
      </c>
      <c r="R1161" t="s">
        <v>38</v>
      </c>
      <c r="S1161" s="9">
        <v>3944.49</v>
      </c>
      <c r="T1161" s="9">
        <v>7010</v>
      </c>
      <c r="U1161" s="9">
        <v>27650874.899999999</v>
      </c>
      <c r="W1161" t="s">
        <v>40</v>
      </c>
      <c r="AA1161" s="6">
        <v>2025</v>
      </c>
    </row>
    <row r="1162" spans="1:28" x14ac:dyDescent="0.3">
      <c r="A1162" t="s">
        <v>4158</v>
      </c>
      <c r="B1162" s="6" t="s">
        <v>4159</v>
      </c>
      <c r="C1162" s="6" t="s">
        <v>502</v>
      </c>
      <c r="D1162">
        <v>7714338609</v>
      </c>
      <c r="E1162">
        <v>771401001</v>
      </c>
      <c r="F1162" t="s">
        <v>94</v>
      </c>
      <c r="G1162" t="s">
        <v>4160</v>
      </c>
      <c r="H1162" s="1">
        <v>45803</v>
      </c>
      <c r="J1162" s="8">
        <v>45806</v>
      </c>
      <c r="K1162" s="1" t="s">
        <v>2872</v>
      </c>
      <c r="L1162" t="s">
        <v>4161</v>
      </c>
      <c r="M1162" t="s">
        <v>377</v>
      </c>
      <c r="N1162" s="12">
        <v>46000</v>
      </c>
      <c r="O1162" t="s">
        <v>3624</v>
      </c>
      <c r="P1162" s="6" t="s">
        <v>891</v>
      </c>
      <c r="Q1162" t="s">
        <v>37</v>
      </c>
      <c r="R1162" t="s">
        <v>38</v>
      </c>
      <c r="S1162" s="9">
        <v>4600</v>
      </c>
      <c r="T1162" s="9">
        <v>10</v>
      </c>
      <c r="U1162" s="9">
        <v>46000</v>
      </c>
      <c r="V1162" s="6" t="s">
        <v>90</v>
      </c>
      <c r="W1162" t="s">
        <v>59</v>
      </c>
      <c r="X1162">
        <v>5259153331</v>
      </c>
      <c r="Y1162">
        <v>525901001</v>
      </c>
      <c r="Z1162" s="3">
        <v>45807.290277777778</v>
      </c>
      <c r="AA1162" s="6">
        <v>2025</v>
      </c>
      <c r="AB1162" s="1">
        <v>45869</v>
      </c>
    </row>
    <row r="1163" spans="1:28" x14ac:dyDescent="0.3">
      <c r="A1163" t="s">
        <v>4162</v>
      </c>
      <c r="B1163" s="17" t="s">
        <v>274</v>
      </c>
      <c r="C1163" s="6" t="s">
        <v>270</v>
      </c>
      <c r="D1163">
        <v>1833000350</v>
      </c>
      <c r="E1163">
        <v>184001001</v>
      </c>
      <c r="F1163" t="s">
        <v>44</v>
      </c>
      <c r="G1163" t="s">
        <v>4163</v>
      </c>
      <c r="H1163" s="1">
        <v>45806</v>
      </c>
      <c r="I1163" t="s">
        <v>3019</v>
      </c>
      <c r="J1163" s="8">
        <v>45807</v>
      </c>
      <c r="K1163" s="1" t="s">
        <v>2872</v>
      </c>
      <c r="L1163" t="s">
        <v>4164</v>
      </c>
      <c r="M1163" t="s">
        <v>4165</v>
      </c>
      <c r="N1163" s="12">
        <v>37237500</v>
      </c>
      <c r="O1163" t="s">
        <v>4165</v>
      </c>
      <c r="P1163" s="6" t="s">
        <v>891</v>
      </c>
      <c r="Q1163" t="s">
        <v>37</v>
      </c>
      <c r="R1163" t="s">
        <v>38</v>
      </c>
      <c r="S1163" s="9">
        <v>3750</v>
      </c>
      <c r="T1163" s="9">
        <v>9930</v>
      </c>
      <c r="U1163" s="9">
        <v>37237500</v>
      </c>
      <c r="V1163" s="6" t="s">
        <v>1612</v>
      </c>
      <c r="W1163" t="s">
        <v>1613</v>
      </c>
      <c r="X1163">
        <v>9727026181</v>
      </c>
      <c r="Y1163">
        <v>770601001</v>
      </c>
      <c r="AA1163" s="6">
        <v>2025</v>
      </c>
      <c r="AB1163" s="1">
        <v>46022</v>
      </c>
    </row>
    <row r="1164" spans="1:28" s="6" customFormat="1" x14ac:dyDescent="0.3">
      <c r="A1164" t="s">
        <v>4166</v>
      </c>
      <c r="B1164" s="6" t="s">
        <v>1838</v>
      </c>
      <c r="C1164" s="6" t="s">
        <v>164</v>
      </c>
      <c r="D1164">
        <v>7729082090</v>
      </c>
      <c r="E1164">
        <v>772901001</v>
      </c>
      <c r="F1164" t="s">
        <v>94</v>
      </c>
      <c r="G1164" t="s">
        <v>4167</v>
      </c>
      <c r="H1164" s="1">
        <v>45804</v>
      </c>
      <c r="I1164" t="s">
        <v>4168</v>
      </c>
      <c r="J1164" s="8">
        <v>45807</v>
      </c>
      <c r="K1164" s="1" t="s">
        <v>2872</v>
      </c>
      <c r="L1164" t="s">
        <v>4169</v>
      </c>
      <c r="M1164" t="s">
        <v>4170</v>
      </c>
      <c r="N1164" s="12">
        <v>78400</v>
      </c>
      <c r="O1164" t="s">
        <v>3633</v>
      </c>
      <c r="P1164" s="6" t="s">
        <v>36</v>
      </c>
      <c r="Q1164"/>
      <c r="R1164" t="s">
        <v>38</v>
      </c>
      <c r="S1164" s="9">
        <v>4900</v>
      </c>
      <c r="T1164" s="9">
        <v>16</v>
      </c>
      <c r="U1164" s="9">
        <v>78400</v>
      </c>
      <c r="V1164" s="6" t="s">
        <v>111</v>
      </c>
      <c r="W1164" t="s">
        <v>59</v>
      </c>
      <c r="X1164">
        <v>5262258091</v>
      </c>
      <c r="Y1164">
        <v>526201001</v>
      </c>
      <c r="Z1164" s="3">
        <v>45807.652083333334</v>
      </c>
      <c r="AA1164" s="6">
        <v>2025</v>
      </c>
      <c r="AB1164" s="1">
        <v>46010</v>
      </c>
    </row>
    <row r="1165" spans="1:28" x14ac:dyDescent="0.3">
      <c r="A1165" s="4" t="s">
        <v>4171</v>
      </c>
      <c r="B1165" s="6" t="s">
        <v>1305</v>
      </c>
      <c r="C1165" s="6" t="s">
        <v>911</v>
      </c>
      <c r="D1165">
        <v>1215040598</v>
      </c>
      <c r="E1165">
        <v>121501001</v>
      </c>
      <c r="F1165" t="s">
        <v>149</v>
      </c>
      <c r="G1165" t="s">
        <v>4172</v>
      </c>
      <c r="H1165" s="1">
        <v>45804</v>
      </c>
      <c r="J1165" s="8">
        <v>45807</v>
      </c>
      <c r="K1165" s="1" t="s">
        <v>2872</v>
      </c>
      <c r="L1165" t="s">
        <v>4173</v>
      </c>
      <c r="M1165" t="s">
        <v>377</v>
      </c>
      <c r="N1165" s="12">
        <v>45000</v>
      </c>
      <c r="O1165" t="s">
        <v>3624</v>
      </c>
      <c r="P1165" s="6" t="s">
        <v>891</v>
      </c>
      <c r="Q1165" t="s">
        <v>37</v>
      </c>
      <c r="R1165" t="s">
        <v>38</v>
      </c>
      <c r="S1165" s="9">
        <v>4500</v>
      </c>
      <c r="T1165" s="9">
        <v>10</v>
      </c>
      <c r="U1165" s="9">
        <v>45000</v>
      </c>
      <c r="V1165" s="6" t="s">
        <v>90</v>
      </c>
      <c r="W1165" t="s">
        <v>59</v>
      </c>
      <c r="X1165">
        <v>5259153331</v>
      </c>
      <c r="Y1165">
        <v>525901001</v>
      </c>
      <c r="Z1165" s="3">
        <v>45807.426388888889</v>
      </c>
      <c r="AA1165" s="6">
        <v>2025</v>
      </c>
      <c r="AB1165" s="1">
        <v>46022</v>
      </c>
    </row>
    <row r="1166" spans="1:28" x14ac:dyDescent="0.3">
      <c r="A1166" s="6" t="s">
        <v>4174</v>
      </c>
      <c r="B1166" s="6" t="s">
        <v>361</v>
      </c>
      <c r="C1166" s="6" t="s">
        <v>164</v>
      </c>
      <c r="D1166" s="6">
        <v>6452006471</v>
      </c>
      <c r="E1166" s="6">
        <v>645201001</v>
      </c>
      <c r="F1166" s="6" t="s">
        <v>52</v>
      </c>
      <c r="G1166" s="6" t="s">
        <v>4175</v>
      </c>
      <c r="H1166" s="8">
        <v>45796</v>
      </c>
      <c r="I1166" s="6" t="s">
        <v>4176</v>
      </c>
      <c r="J1166" s="8">
        <v>45807</v>
      </c>
      <c r="K1166" s="8" t="s">
        <v>2872</v>
      </c>
      <c r="L1166" s="7" t="s">
        <v>4177</v>
      </c>
      <c r="M1166" s="6" t="s">
        <v>4178</v>
      </c>
      <c r="N1166" s="14">
        <v>19998800</v>
      </c>
      <c r="O1166" s="6" t="s">
        <v>4179</v>
      </c>
      <c r="P1166" s="6" t="s">
        <v>3758</v>
      </c>
      <c r="Q1166" s="6" t="s">
        <v>37</v>
      </c>
      <c r="R1166" s="6" t="s">
        <v>38</v>
      </c>
      <c r="S1166" s="9">
        <v>2390</v>
      </c>
      <c r="V1166" s="6" t="s">
        <v>1612</v>
      </c>
      <c r="W1166" s="6" t="s">
        <v>1613</v>
      </c>
      <c r="X1166" s="6">
        <v>9727026181</v>
      </c>
      <c r="Y1166" s="6">
        <v>770601001</v>
      </c>
      <c r="Z1166" s="11">
        <v>45807.354861111111</v>
      </c>
      <c r="AA1166" s="6">
        <v>2025</v>
      </c>
      <c r="AB1166" s="8">
        <v>46022</v>
      </c>
    </row>
    <row r="1167" spans="1:28" x14ac:dyDescent="0.3">
      <c r="A1167" t="s">
        <v>4180</v>
      </c>
      <c r="B1167" s="6" t="s">
        <v>639</v>
      </c>
      <c r="C1167" s="6" t="s">
        <v>640</v>
      </c>
      <c r="D1167" s="4">
        <v>6905044950</v>
      </c>
      <c r="E1167">
        <v>695001001</v>
      </c>
      <c r="F1167" t="s">
        <v>52</v>
      </c>
      <c r="G1167" t="s">
        <v>4181</v>
      </c>
      <c r="H1167" s="1">
        <v>45798</v>
      </c>
      <c r="J1167" s="8">
        <v>45810</v>
      </c>
      <c r="K1167" s="1" t="s">
        <v>2872</v>
      </c>
      <c r="L1167" t="s">
        <v>4182</v>
      </c>
      <c r="M1167" t="s">
        <v>3875</v>
      </c>
      <c r="N1167" s="12">
        <v>33568965</v>
      </c>
      <c r="O1167" t="s">
        <v>3613</v>
      </c>
      <c r="P1167" s="6" t="s">
        <v>3758</v>
      </c>
      <c r="Q1167" t="s">
        <v>3258</v>
      </c>
      <c r="R1167" t="s">
        <v>38</v>
      </c>
      <c r="S1167" s="9">
        <v>2295</v>
      </c>
      <c r="T1167" s="9">
        <v>10827</v>
      </c>
      <c r="U1167" s="9">
        <v>24847965</v>
      </c>
      <c r="V1167" s="6" t="s">
        <v>58</v>
      </c>
      <c r="W1167" t="s">
        <v>59</v>
      </c>
      <c r="X1167">
        <v>5262222144</v>
      </c>
      <c r="Y1167">
        <v>526201001</v>
      </c>
      <c r="Z1167" s="3">
        <v>45812.518750000003</v>
      </c>
      <c r="AA1167" s="6">
        <v>2025</v>
      </c>
      <c r="AB1167" s="1">
        <v>45931</v>
      </c>
    </row>
    <row r="1168" spans="1:28" x14ac:dyDescent="0.3">
      <c r="A1168" t="s">
        <v>4183</v>
      </c>
      <c r="B1168" s="6" t="s">
        <v>2655</v>
      </c>
      <c r="C1168" s="6" t="s">
        <v>346</v>
      </c>
      <c r="D1168">
        <v>1101487569</v>
      </c>
      <c r="E1168">
        <v>110101001</v>
      </c>
      <c r="F1168" t="s">
        <v>52</v>
      </c>
      <c r="G1168" t="s">
        <v>4184</v>
      </c>
      <c r="H1168" s="1">
        <v>45799</v>
      </c>
      <c r="I1168" t="s">
        <v>4185</v>
      </c>
      <c r="J1168" s="8">
        <v>45810</v>
      </c>
      <c r="K1168" s="1" t="s">
        <v>2872</v>
      </c>
      <c r="L1168" t="s">
        <v>4184</v>
      </c>
      <c r="M1168" t="s">
        <v>1519</v>
      </c>
      <c r="N1168" s="12">
        <v>30410600</v>
      </c>
      <c r="O1168" t="s">
        <v>3815</v>
      </c>
      <c r="P1168" s="6" t="s">
        <v>3758</v>
      </c>
      <c r="Q1168" t="s">
        <v>37</v>
      </c>
      <c r="R1168" t="s">
        <v>38</v>
      </c>
      <c r="S1168" s="9">
        <v>4600</v>
      </c>
      <c r="T1168" s="9">
        <v>2039</v>
      </c>
      <c r="U1168" s="9">
        <v>9379400</v>
      </c>
      <c r="V1168" s="6" t="s">
        <v>39</v>
      </c>
      <c r="W1168" t="s">
        <v>40</v>
      </c>
      <c r="X1168">
        <v>7810687137</v>
      </c>
      <c r="Y1168">
        <v>781401001</v>
      </c>
      <c r="Z1168" s="3">
        <v>45810.461805555555</v>
      </c>
      <c r="AA1168" s="6">
        <v>2025</v>
      </c>
      <c r="AB1168" s="1">
        <v>46022</v>
      </c>
    </row>
    <row r="1169" spans="1:28" x14ac:dyDescent="0.3">
      <c r="A1169" t="s">
        <v>4186</v>
      </c>
      <c r="B1169" s="6" t="s">
        <v>633</v>
      </c>
      <c r="C1169" s="6" t="s">
        <v>634</v>
      </c>
      <c r="D1169">
        <v>5321028960</v>
      </c>
      <c r="E1169">
        <v>532101001</v>
      </c>
      <c r="F1169" t="s">
        <v>52</v>
      </c>
      <c r="G1169" t="s">
        <v>4187</v>
      </c>
      <c r="H1169" s="1">
        <v>45798</v>
      </c>
      <c r="J1169" s="8">
        <v>45810</v>
      </c>
      <c r="K1169" s="1" t="s">
        <v>2872</v>
      </c>
      <c r="L1169" t="s">
        <v>4187</v>
      </c>
      <c r="M1169" t="s">
        <v>4188</v>
      </c>
      <c r="N1169" s="12">
        <v>2279760</v>
      </c>
      <c r="O1169" t="s">
        <v>4036</v>
      </c>
      <c r="P1169" s="6" t="s">
        <v>2941</v>
      </c>
      <c r="R1169" t="s">
        <v>38</v>
      </c>
      <c r="S1169" s="9">
        <v>3864</v>
      </c>
      <c r="T1169" s="9">
        <v>590</v>
      </c>
      <c r="U1169" s="9">
        <v>2279760</v>
      </c>
      <c r="V1169" s="6" t="s">
        <v>545</v>
      </c>
      <c r="W1169" t="s">
        <v>40</v>
      </c>
      <c r="X1169">
        <v>7713655588</v>
      </c>
      <c r="Y1169">
        <v>773001001</v>
      </c>
      <c r="Z1169" s="3">
        <v>45810.38958333333</v>
      </c>
      <c r="AA1169" s="6">
        <v>2025</v>
      </c>
      <c r="AB1169" s="1">
        <v>45982</v>
      </c>
    </row>
    <row r="1170" spans="1:28" x14ac:dyDescent="0.3">
      <c r="A1170" s="4" t="s">
        <v>4189</v>
      </c>
      <c r="B1170" s="6" t="s">
        <v>491</v>
      </c>
      <c r="C1170" s="6" t="s">
        <v>492</v>
      </c>
      <c r="D1170">
        <v>2724041260</v>
      </c>
      <c r="E1170">
        <v>272101001</v>
      </c>
      <c r="F1170" t="s">
        <v>149</v>
      </c>
      <c r="G1170" t="s">
        <v>4190</v>
      </c>
      <c r="H1170" s="1">
        <v>45805</v>
      </c>
      <c r="J1170" s="8">
        <v>45810</v>
      </c>
      <c r="K1170" s="1" t="s">
        <v>2872</v>
      </c>
      <c r="L1170" t="s">
        <v>4191</v>
      </c>
      <c r="M1170" t="s">
        <v>377</v>
      </c>
      <c r="N1170" s="12">
        <v>4390000</v>
      </c>
      <c r="O1170" t="s">
        <v>3633</v>
      </c>
      <c r="P1170" s="6" t="s">
        <v>36</v>
      </c>
      <c r="R1170" t="s">
        <v>38</v>
      </c>
      <c r="S1170" s="9">
        <v>4390</v>
      </c>
      <c r="T1170" s="9">
        <v>1000</v>
      </c>
      <c r="U1170" s="9">
        <v>4390000</v>
      </c>
      <c r="V1170" s="6" t="s">
        <v>39</v>
      </c>
      <c r="W1170" t="s">
        <v>40</v>
      </c>
      <c r="X1170">
        <v>7810687137</v>
      </c>
      <c r="Y1170">
        <v>781401001</v>
      </c>
      <c r="Z1170" s="3">
        <v>45810.345833333333</v>
      </c>
      <c r="AA1170" s="6">
        <v>2025</v>
      </c>
      <c r="AB1170" s="1">
        <v>46022</v>
      </c>
    </row>
    <row r="1171" spans="1:28" x14ac:dyDescent="0.3">
      <c r="A1171" s="4" t="s">
        <v>4192</v>
      </c>
      <c r="B1171" s="6" t="s">
        <v>3451</v>
      </c>
      <c r="C1171" s="6" t="s">
        <v>3452</v>
      </c>
      <c r="D1171">
        <v>9001024530</v>
      </c>
      <c r="E1171">
        <v>900101001</v>
      </c>
      <c r="F1171" t="s">
        <v>52</v>
      </c>
      <c r="G1171" t="s">
        <v>4193</v>
      </c>
      <c r="H1171" s="1">
        <v>45799</v>
      </c>
      <c r="I1171" t="s">
        <v>4185</v>
      </c>
      <c r="J1171" s="8">
        <v>45810</v>
      </c>
      <c r="K1171" s="1" t="s">
        <v>2872</v>
      </c>
      <c r="L1171" t="s">
        <v>4193</v>
      </c>
      <c r="M1171" t="s">
        <v>3455</v>
      </c>
      <c r="N1171" s="12">
        <v>62928.69</v>
      </c>
      <c r="O1171" t="s">
        <v>3613</v>
      </c>
      <c r="P1171" s="6" t="s">
        <v>2941</v>
      </c>
      <c r="R1171" t="s">
        <v>38</v>
      </c>
      <c r="S1171" s="9">
        <v>5720.79</v>
      </c>
      <c r="T1171" s="9">
        <v>11</v>
      </c>
      <c r="U1171" s="9">
        <v>62928.69</v>
      </c>
      <c r="V1171" s="6" t="s">
        <v>3456</v>
      </c>
      <c r="W1171" t="s">
        <v>3457</v>
      </c>
      <c r="X1171">
        <v>9102048375</v>
      </c>
      <c r="Y1171">
        <v>910201001</v>
      </c>
      <c r="Z1171" s="3">
        <v>45810.481249999997</v>
      </c>
      <c r="AA1171" s="6">
        <v>2025</v>
      </c>
      <c r="AB1171" s="1">
        <v>46022</v>
      </c>
    </row>
    <row r="1172" spans="1:28" x14ac:dyDescent="0.3">
      <c r="A1172" t="s">
        <v>4183</v>
      </c>
      <c r="B1172" s="6" t="s">
        <v>2655</v>
      </c>
      <c r="C1172" s="6" t="s">
        <v>346</v>
      </c>
      <c r="D1172">
        <v>1101487569</v>
      </c>
      <c r="E1172">
        <v>110101001</v>
      </c>
      <c r="F1172" t="s">
        <v>52</v>
      </c>
      <c r="G1172" t="s">
        <v>4184</v>
      </c>
      <c r="H1172" s="1">
        <v>45799</v>
      </c>
      <c r="I1172" t="s">
        <v>4185</v>
      </c>
      <c r="J1172" s="8">
        <v>45810</v>
      </c>
      <c r="K1172" s="1" t="s">
        <v>2872</v>
      </c>
      <c r="L1172" t="s">
        <v>4184</v>
      </c>
      <c r="M1172" t="s">
        <v>1519</v>
      </c>
      <c r="N1172" s="12">
        <v>30410600</v>
      </c>
      <c r="O1172" t="s">
        <v>3633</v>
      </c>
      <c r="P1172" s="6" t="s">
        <v>36</v>
      </c>
      <c r="Q1172" t="s">
        <v>37</v>
      </c>
      <c r="R1172" t="s">
        <v>38</v>
      </c>
      <c r="S1172" s="9">
        <v>4600</v>
      </c>
      <c r="T1172" s="9">
        <v>4500</v>
      </c>
      <c r="U1172" s="9">
        <v>20700000</v>
      </c>
      <c r="V1172" s="6" t="s">
        <v>39</v>
      </c>
      <c r="W1172" t="s">
        <v>40</v>
      </c>
      <c r="X1172">
        <v>7810687137</v>
      </c>
      <c r="Y1172">
        <v>781401001</v>
      </c>
      <c r="Z1172" s="3">
        <v>45810.461805555555</v>
      </c>
      <c r="AA1172" s="6">
        <v>2025</v>
      </c>
      <c r="AB1172" s="1">
        <v>46022</v>
      </c>
    </row>
    <row r="1173" spans="1:28" x14ac:dyDescent="0.3">
      <c r="A1173" t="s">
        <v>4194</v>
      </c>
      <c r="B1173" s="6" t="s">
        <v>2877</v>
      </c>
      <c r="C1173" s="6" t="s">
        <v>666</v>
      </c>
      <c r="D1173">
        <v>5753003306</v>
      </c>
      <c r="E1173">
        <v>575301001</v>
      </c>
      <c r="F1173" t="s">
        <v>52</v>
      </c>
      <c r="G1173" t="s">
        <v>4195</v>
      </c>
      <c r="H1173" s="1">
        <v>45798</v>
      </c>
      <c r="J1173" s="8">
        <v>45810</v>
      </c>
      <c r="K1173" s="1" t="s">
        <v>2872</v>
      </c>
      <c r="L1173" t="s">
        <v>4196</v>
      </c>
      <c r="M1173" t="s">
        <v>4197</v>
      </c>
      <c r="N1173" s="12">
        <v>40800</v>
      </c>
      <c r="O1173" t="s">
        <v>3633</v>
      </c>
      <c r="P1173" s="6" t="s">
        <v>36</v>
      </c>
      <c r="R1173" t="s">
        <v>38</v>
      </c>
      <c r="S1173" s="9">
        <v>5100</v>
      </c>
      <c r="T1173" s="9">
        <v>8</v>
      </c>
      <c r="U1173" s="9">
        <v>40800</v>
      </c>
      <c r="V1173" s="6" t="s">
        <v>111</v>
      </c>
      <c r="W1173" t="s">
        <v>59</v>
      </c>
      <c r="X1173">
        <v>5262258091</v>
      </c>
      <c r="Y1173">
        <v>526201001</v>
      </c>
      <c r="Z1173" s="3">
        <v>45810.457638888889</v>
      </c>
      <c r="AA1173" s="6">
        <v>2025</v>
      </c>
      <c r="AB1173" s="1">
        <v>45870</v>
      </c>
    </row>
    <row r="1174" spans="1:28" x14ac:dyDescent="0.3">
      <c r="A1174" t="s">
        <v>4198</v>
      </c>
      <c r="B1174" s="6" t="s">
        <v>1011</v>
      </c>
      <c r="C1174" s="6" t="s">
        <v>427</v>
      </c>
      <c r="D1174">
        <v>5190109972</v>
      </c>
      <c r="E1174">
        <v>519001001</v>
      </c>
      <c r="F1174" t="s">
        <v>52</v>
      </c>
      <c r="G1174" t="s">
        <v>4199</v>
      </c>
      <c r="H1174" s="1">
        <v>45797</v>
      </c>
      <c r="J1174" s="8">
        <v>45810</v>
      </c>
      <c r="K1174" s="1" t="s">
        <v>2872</v>
      </c>
      <c r="L1174" t="s">
        <v>4200</v>
      </c>
      <c r="M1174" t="s">
        <v>4201</v>
      </c>
      <c r="N1174" s="12">
        <v>12014450.560000001</v>
      </c>
      <c r="O1174" t="s">
        <v>3613</v>
      </c>
      <c r="P1174" s="6" t="s">
        <v>464</v>
      </c>
      <c r="R1174" t="s">
        <v>38</v>
      </c>
      <c r="S1174" s="9">
        <v>2899.24</v>
      </c>
      <c r="T1174" s="9">
        <v>4144</v>
      </c>
      <c r="U1174" s="9">
        <v>12014450.560000001</v>
      </c>
      <c r="V1174" s="6" t="s">
        <v>848</v>
      </c>
      <c r="W1174" t="s">
        <v>849</v>
      </c>
      <c r="X1174">
        <v>2634099850</v>
      </c>
      <c r="Y1174">
        <v>263501001</v>
      </c>
      <c r="Z1174" s="3">
        <v>45811.383333333331</v>
      </c>
      <c r="AA1174" s="6">
        <v>2025</v>
      </c>
      <c r="AB1174" s="1">
        <v>46022</v>
      </c>
    </row>
    <row r="1175" spans="1:28" x14ac:dyDescent="0.3">
      <c r="A1175" t="s">
        <v>4180</v>
      </c>
      <c r="B1175" s="6" t="s">
        <v>639</v>
      </c>
      <c r="C1175" s="6" t="s">
        <v>640</v>
      </c>
      <c r="D1175">
        <v>6905044950</v>
      </c>
      <c r="E1175">
        <v>695001001</v>
      </c>
      <c r="F1175" t="s">
        <v>52</v>
      </c>
      <c r="G1175" t="s">
        <v>4181</v>
      </c>
      <c r="H1175" s="1">
        <v>45798</v>
      </c>
      <c r="J1175" s="8">
        <v>45810</v>
      </c>
      <c r="K1175" s="1" t="s">
        <v>2872</v>
      </c>
      <c r="L1175" t="s">
        <v>4182</v>
      </c>
      <c r="M1175" t="s">
        <v>3875</v>
      </c>
      <c r="N1175" s="12">
        <v>33568965</v>
      </c>
      <c r="O1175" t="s">
        <v>3633</v>
      </c>
      <c r="P1175" s="6" t="s">
        <v>36</v>
      </c>
      <c r="Q1175" t="s">
        <v>3258</v>
      </c>
      <c r="R1175" t="s">
        <v>38</v>
      </c>
      <c r="S1175" s="9">
        <v>2295</v>
      </c>
      <c r="T1175" s="9">
        <v>3800</v>
      </c>
      <c r="U1175" s="9">
        <v>8721000</v>
      </c>
      <c r="V1175" s="6" t="s">
        <v>58</v>
      </c>
      <c r="W1175" t="s">
        <v>59</v>
      </c>
      <c r="X1175">
        <v>5262222144</v>
      </c>
      <c r="Y1175">
        <v>526201001</v>
      </c>
      <c r="Z1175" s="3">
        <v>45812.518750000003</v>
      </c>
      <c r="AA1175" s="6">
        <v>2025</v>
      </c>
      <c r="AB1175" s="1">
        <v>45931</v>
      </c>
    </row>
    <row r="1176" spans="1:28" x14ac:dyDescent="0.3">
      <c r="A1176" t="s">
        <v>4202</v>
      </c>
      <c r="B1176" s="6" t="s">
        <v>4203</v>
      </c>
      <c r="C1176" s="6" t="s">
        <v>1004</v>
      </c>
      <c r="D1176">
        <v>816031571</v>
      </c>
      <c r="E1176">
        <v>81601001</v>
      </c>
      <c r="F1176" t="s">
        <v>94</v>
      </c>
      <c r="G1176" t="s">
        <v>4204</v>
      </c>
      <c r="H1176" s="1">
        <v>45805</v>
      </c>
      <c r="I1176" t="s">
        <v>4205</v>
      </c>
      <c r="J1176" s="8">
        <v>45810</v>
      </c>
      <c r="K1176" s="1" t="s">
        <v>2872</v>
      </c>
      <c r="L1176" t="s">
        <v>4206</v>
      </c>
      <c r="M1176" t="s">
        <v>4207</v>
      </c>
      <c r="N1176" s="12">
        <v>810000</v>
      </c>
      <c r="O1176" t="s">
        <v>3633</v>
      </c>
      <c r="P1176" s="6" t="s">
        <v>36</v>
      </c>
      <c r="R1176" t="s">
        <v>38</v>
      </c>
      <c r="S1176" s="9">
        <v>4050</v>
      </c>
      <c r="T1176" s="9">
        <v>200</v>
      </c>
      <c r="U1176" s="9">
        <v>810000</v>
      </c>
      <c r="V1176" s="6" t="s">
        <v>1009</v>
      </c>
      <c r="W1176" t="s">
        <v>40</v>
      </c>
      <c r="X1176">
        <v>3443142095</v>
      </c>
      <c r="Y1176">
        <v>344301001</v>
      </c>
      <c r="Z1176" s="3">
        <v>45816.828472222223</v>
      </c>
      <c r="AA1176" s="6">
        <v>2025</v>
      </c>
      <c r="AB1176" s="1">
        <v>45855</v>
      </c>
    </row>
    <row r="1177" spans="1:28" x14ac:dyDescent="0.3">
      <c r="A1177" t="s">
        <v>4183</v>
      </c>
      <c r="B1177" s="6" t="s">
        <v>2655</v>
      </c>
      <c r="C1177" s="6" t="s">
        <v>346</v>
      </c>
      <c r="D1177">
        <v>1101487569</v>
      </c>
      <c r="E1177">
        <v>110101001</v>
      </c>
      <c r="F1177" t="s">
        <v>52</v>
      </c>
      <c r="G1177" t="s">
        <v>4184</v>
      </c>
      <c r="H1177" s="1">
        <v>45799</v>
      </c>
      <c r="I1177" t="s">
        <v>4185</v>
      </c>
      <c r="J1177" s="8">
        <v>45810</v>
      </c>
      <c r="K1177" s="1" t="s">
        <v>2872</v>
      </c>
      <c r="L1177" t="s">
        <v>4184</v>
      </c>
      <c r="M1177" t="s">
        <v>1519</v>
      </c>
      <c r="N1177" s="12">
        <v>30410600</v>
      </c>
      <c r="O1177" t="s">
        <v>3815</v>
      </c>
      <c r="P1177" s="6" t="s">
        <v>3758</v>
      </c>
      <c r="Q1177" t="s">
        <v>37</v>
      </c>
      <c r="R1177" t="s">
        <v>38</v>
      </c>
      <c r="S1177" s="9">
        <v>4600</v>
      </c>
      <c r="T1177" s="9">
        <v>72</v>
      </c>
      <c r="U1177" s="9">
        <v>331200</v>
      </c>
      <c r="V1177" s="6" t="s">
        <v>39</v>
      </c>
      <c r="W1177" t="s">
        <v>40</v>
      </c>
      <c r="X1177">
        <v>7810687137</v>
      </c>
      <c r="Y1177">
        <v>781401001</v>
      </c>
      <c r="Z1177" s="3">
        <v>45810.461805555555</v>
      </c>
      <c r="AA1177" s="6">
        <v>2025</v>
      </c>
      <c r="AB1177" s="1">
        <v>46022</v>
      </c>
    </row>
    <row r="1178" spans="1:28" x14ac:dyDescent="0.3">
      <c r="A1178" t="s">
        <v>4208</v>
      </c>
      <c r="B1178" s="6" t="s">
        <v>1047</v>
      </c>
      <c r="C1178" s="6" t="s">
        <v>1048</v>
      </c>
      <c r="D1178">
        <v>2901030477</v>
      </c>
      <c r="E1178">
        <v>290101001</v>
      </c>
      <c r="F1178" t="s">
        <v>149</v>
      </c>
      <c r="G1178" t="s">
        <v>4209</v>
      </c>
      <c r="H1178" s="1">
        <v>45806</v>
      </c>
      <c r="J1178" s="8">
        <v>45811</v>
      </c>
      <c r="K1178" s="1" t="s">
        <v>2872</v>
      </c>
      <c r="L1178" t="s">
        <v>4210</v>
      </c>
      <c r="M1178" t="s">
        <v>377</v>
      </c>
      <c r="N1178" s="12">
        <v>151900</v>
      </c>
      <c r="O1178" t="s">
        <v>3613</v>
      </c>
      <c r="P1178" s="6" t="s">
        <v>36</v>
      </c>
      <c r="R1178" t="s">
        <v>38</v>
      </c>
      <c r="S1178" s="9">
        <v>4900</v>
      </c>
      <c r="T1178" s="9">
        <v>31</v>
      </c>
      <c r="U1178" s="9">
        <v>151900</v>
      </c>
      <c r="V1178" s="6" t="s">
        <v>58</v>
      </c>
      <c r="W1178" t="s">
        <v>59</v>
      </c>
      <c r="X1178">
        <v>5262222144</v>
      </c>
      <c r="Y1178">
        <v>526201001</v>
      </c>
      <c r="Z1178" s="3">
        <v>45811.652083333334</v>
      </c>
      <c r="AA1178" s="6">
        <v>2025</v>
      </c>
      <c r="AB1178" s="1">
        <v>45947</v>
      </c>
    </row>
    <row r="1179" spans="1:28" x14ac:dyDescent="0.3">
      <c r="A1179" t="s">
        <v>4211</v>
      </c>
      <c r="B1179" s="6" t="s">
        <v>491</v>
      </c>
      <c r="C1179" s="6" t="s">
        <v>492</v>
      </c>
      <c r="D1179">
        <v>2724041260</v>
      </c>
      <c r="E1179">
        <v>272101001</v>
      </c>
      <c r="F1179" t="s">
        <v>149</v>
      </c>
      <c r="G1179" t="s">
        <v>4212</v>
      </c>
      <c r="H1179" s="1">
        <v>45806</v>
      </c>
      <c r="J1179" s="8">
        <v>45811</v>
      </c>
      <c r="K1179" s="1" t="s">
        <v>2872</v>
      </c>
      <c r="L1179" t="s">
        <v>4213</v>
      </c>
      <c r="M1179" t="s">
        <v>377</v>
      </c>
      <c r="N1179" s="12">
        <v>4390000</v>
      </c>
      <c r="O1179" t="s">
        <v>3633</v>
      </c>
      <c r="P1179" s="6" t="s">
        <v>36</v>
      </c>
      <c r="R1179" t="s">
        <v>38</v>
      </c>
      <c r="S1179" s="9">
        <v>4390</v>
      </c>
      <c r="T1179" s="9">
        <v>1000</v>
      </c>
      <c r="U1179" s="9">
        <v>4390000</v>
      </c>
      <c r="V1179" s="6" t="s">
        <v>39</v>
      </c>
      <c r="W1179" t="s">
        <v>40</v>
      </c>
      <c r="X1179">
        <v>7810687137</v>
      </c>
      <c r="Y1179">
        <v>781401001</v>
      </c>
      <c r="Z1179" s="3">
        <v>45825.112500000003</v>
      </c>
      <c r="AA1179" s="6">
        <v>2025</v>
      </c>
      <c r="AB1179" s="1">
        <v>46022</v>
      </c>
    </row>
    <row r="1180" spans="1:28" x14ac:dyDescent="0.3">
      <c r="A1180" t="s">
        <v>4214</v>
      </c>
      <c r="B1180" s="6" t="s">
        <v>876</v>
      </c>
      <c r="C1180" s="6" t="s">
        <v>877</v>
      </c>
      <c r="D1180">
        <v>2540018454</v>
      </c>
      <c r="E1180">
        <v>254001001</v>
      </c>
      <c r="F1180" t="s">
        <v>52</v>
      </c>
      <c r="G1180" t="s">
        <v>4215</v>
      </c>
      <c r="H1180" s="1">
        <v>45799</v>
      </c>
      <c r="J1180" s="8">
        <v>45812</v>
      </c>
      <c r="K1180" s="1" t="s">
        <v>2872</v>
      </c>
      <c r="L1180" t="s">
        <v>4215</v>
      </c>
      <c r="M1180" t="s">
        <v>4041</v>
      </c>
      <c r="N1180" s="12">
        <v>11128058.83</v>
      </c>
      <c r="O1180" t="s">
        <v>3815</v>
      </c>
      <c r="P1180" s="6" t="s">
        <v>3758</v>
      </c>
      <c r="Q1180" t="s">
        <v>37</v>
      </c>
      <c r="R1180" t="s">
        <v>38</v>
      </c>
      <c r="S1180" s="9">
        <v>4733.33</v>
      </c>
      <c r="T1180" s="9">
        <v>784</v>
      </c>
      <c r="U1180" s="9">
        <v>3710930.72</v>
      </c>
      <c r="V1180" s="6" t="s">
        <v>39</v>
      </c>
      <c r="W1180" t="s">
        <v>40</v>
      </c>
      <c r="X1180">
        <v>7810687137</v>
      </c>
      <c r="Y1180">
        <v>781401001</v>
      </c>
      <c r="Z1180" s="3">
        <v>45814.226388888892</v>
      </c>
      <c r="AA1180" s="6">
        <v>2025</v>
      </c>
      <c r="AB1180" s="1">
        <v>46022</v>
      </c>
    </row>
    <row r="1181" spans="1:28" x14ac:dyDescent="0.3">
      <c r="A1181" t="s">
        <v>4214</v>
      </c>
      <c r="B1181" s="6" t="s">
        <v>876</v>
      </c>
      <c r="C1181" s="6" t="s">
        <v>877</v>
      </c>
      <c r="D1181" s="4">
        <v>2540018454</v>
      </c>
      <c r="E1181">
        <v>254001001</v>
      </c>
      <c r="F1181" t="s">
        <v>52</v>
      </c>
      <c r="G1181" t="s">
        <v>4215</v>
      </c>
      <c r="H1181" s="1">
        <v>45799</v>
      </c>
      <c r="J1181" s="8">
        <v>45812</v>
      </c>
      <c r="K1181" s="1" t="s">
        <v>2872</v>
      </c>
      <c r="L1181" t="s">
        <v>4215</v>
      </c>
      <c r="M1181" t="s">
        <v>4041</v>
      </c>
      <c r="N1181" s="12">
        <v>11128058.83</v>
      </c>
      <c r="O1181" t="s">
        <v>3648</v>
      </c>
      <c r="P1181" s="6" t="s">
        <v>2277</v>
      </c>
      <c r="Q1181" t="s">
        <v>37</v>
      </c>
      <c r="R1181" t="s">
        <v>38</v>
      </c>
      <c r="S1181" s="9">
        <v>4733.33</v>
      </c>
      <c r="T1181" s="9">
        <v>783</v>
      </c>
      <c r="U1181" s="9">
        <v>3706197.39</v>
      </c>
      <c r="V1181" s="6" t="s">
        <v>39</v>
      </c>
      <c r="W1181" t="s">
        <v>40</v>
      </c>
      <c r="X1181">
        <v>7810687137</v>
      </c>
      <c r="Y1181">
        <v>781401001</v>
      </c>
      <c r="Z1181" s="3">
        <v>45814.226388888892</v>
      </c>
      <c r="AA1181" s="6">
        <v>2025</v>
      </c>
      <c r="AB1181" s="1">
        <v>46022</v>
      </c>
    </row>
    <row r="1182" spans="1:28" x14ac:dyDescent="0.3">
      <c r="A1182" t="s">
        <v>4214</v>
      </c>
      <c r="B1182" s="6" t="s">
        <v>876</v>
      </c>
      <c r="C1182" s="6" t="s">
        <v>877</v>
      </c>
      <c r="D1182">
        <v>2540018454</v>
      </c>
      <c r="E1182">
        <v>254001001</v>
      </c>
      <c r="F1182" t="s">
        <v>52</v>
      </c>
      <c r="G1182" t="s">
        <v>4215</v>
      </c>
      <c r="H1182" s="1">
        <v>45799</v>
      </c>
      <c r="J1182" s="8">
        <v>45812</v>
      </c>
      <c r="K1182" s="1" t="s">
        <v>2872</v>
      </c>
      <c r="L1182" t="s">
        <v>4215</v>
      </c>
      <c r="M1182" t="s">
        <v>4041</v>
      </c>
      <c r="N1182" s="12">
        <v>11128058.83</v>
      </c>
      <c r="O1182" t="s">
        <v>3633</v>
      </c>
      <c r="P1182" s="6" t="s">
        <v>36</v>
      </c>
      <c r="Q1182" t="s">
        <v>37</v>
      </c>
      <c r="R1182" t="s">
        <v>38</v>
      </c>
      <c r="S1182" s="9">
        <v>4733.33</v>
      </c>
      <c r="T1182" s="9">
        <v>784</v>
      </c>
      <c r="U1182" s="9">
        <v>3710930.72</v>
      </c>
      <c r="V1182" s="6" t="s">
        <v>39</v>
      </c>
      <c r="W1182" t="s">
        <v>40</v>
      </c>
      <c r="X1182">
        <v>7810687137</v>
      </c>
      <c r="Y1182">
        <v>781401001</v>
      </c>
      <c r="Z1182" s="3">
        <v>45814.226388888892</v>
      </c>
      <c r="AA1182" s="6">
        <v>2025</v>
      </c>
      <c r="AB1182" s="1">
        <v>46022</v>
      </c>
    </row>
    <row r="1183" spans="1:28" x14ac:dyDescent="0.3">
      <c r="A1183" t="s">
        <v>4216</v>
      </c>
      <c r="B1183" s="6" t="s">
        <v>1399</v>
      </c>
      <c r="C1183" s="6" t="s">
        <v>93</v>
      </c>
      <c r="D1183">
        <v>4501025099</v>
      </c>
      <c r="E1183">
        <v>450101001</v>
      </c>
      <c r="F1183" t="s">
        <v>149</v>
      </c>
      <c r="G1183" t="s">
        <v>4217</v>
      </c>
      <c r="H1183" s="1">
        <v>45807</v>
      </c>
      <c r="J1183" s="8">
        <v>45812</v>
      </c>
      <c r="K1183" s="1" t="s">
        <v>2872</v>
      </c>
      <c r="L1183" t="s">
        <v>4218</v>
      </c>
      <c r="M1183" t="s">
        <v>377</v>
      </c>
      <c r="N1183" s="12">
        <v>2637600</v>
      </c>
      <c r="O1183" t="s">
        <v>3613</v>
      </c>
      <c r="P1183" s="6" t="s">
        <v>36</v>
      </c>
      <c r="R1183" t="s">
        <v>38</v>
      </c>
      <c r="S1183" s="9">
        <v>4200</v>
      </c>
      <c r="T1183" s="9">
        <v>628</v>
      </c>
      <c r="U1183" s="9">
        <v>2637600</v>
      </c>
      <c r="V1183" s="6" t="s">
        <v>39</v>
      </c>
      <c r="W1183" t="s">
        <v>40</v>
      </c>
      <c r="X1183">
        <v>7810687137</v>
      </c>
      <c r="Y1183">
        <v>781401001</v>
      </c>
      <c r="Z1183" s="3">
        <v>45817.67083333333</v>
      </c>
      <c r="AA1183" s="6">
        <v>2025</v>
      </c>
      <c r="AB1183" s="1">
        <v>45900</v>
      </c>
    </row>
    <row r="1184" spans="1:28" x14ac:dyDescent="0.3">
      <c r="A1184" t="s">
        <v>4219</v>
      </c>
      <c r="B1184" s="6" t="s">
        <v>491</v>
      </c>
      <c r="C1184" s="6" t="s">
        <v>492</v>
      </c>
      <c r="D1184">
        <v>2724041260</v>
      </c>
      <c r="E1184">
        <v>272101001</v>
      </c>
      <c r="F1184" t="s">
        <v>94</v>
      </c>
      <c r="G1184" t="s">
        <v>4220</v>
      </c>
      <c r="H1184" s="1">
        <v>45807</v>
      </c>
      <c r="J1184" s="8">
        <v>45812</v>
      </c>
      <c r="K1184" s="1" t="s">
        <v>2872</v>
      </c>
      <c r="L1184" t="s">
        <v>4220</v>
      </c>
      <c r="M1184" t="s">
        <v>4221</v>
      </c>
      <c r="N1184" s="12">
        <v>622500</v>
      </c>
      <c r="O1184" t="s">
        <v>4222</v>
      </c>
      <c r="P1184" s="6" t="s">
        <v>2277</v>
      </c>
      <c r="Q1184" t="s">
        <v>37</v>
      </c>
      <c r="R1184" t="s">
        <v>48</v>
      </c>
      <c r="S1184" s="9">
        <v>4150</v>
      </c>
      <c r="T1184" s="9">
        <v>100</v>
      </c>
      <c r="U1184" s="9">
        <v>415000</v>
      </c>
      <c r="V1184" s="6" t="s">
        <v>352</v>
      </c>
      <c r="W1184" t="s">
        <v>40</v>
      </c>
      <c r="X1184">
        <v>7843014747</v>
      </c>
      <c r="Y1184">
        <v>781401001</v>
      </c>
      <c r="Z1184" s="3">
        <v>45825.124305555553</v>
      </c>
      <c r="AA1184" s="6">
        <v>2025</v>
      </c>
      <c r="AB1184" s="1">
        <v>46022</v>
      </c>
    </row>
    <row r="1185" spans="1:28" x14ac:dyDescent="0.3">
      <c r="A1185" t="s">
        <v>4219</v>
      </c>
      <c r="B1185" s="6" t="s">
        <v>491</v>
      </c>
      <c r="C1185" s="6" t="s">
        <v>492</v>
      </c>
      <c r="D1185">
        <v>2724041260</v>
      </c>
      <c r="E1185">
        <v>272101001</v>
      </c>
      <c r="F1185" t="s">
        <v>94</v>
      </c>
      <c r="G1185" t="s">
        <v>4220</v>
      </c>
      <c r="H1185" s="1">
        <v>45807</v>
      </c>
      <c r="J1185" s="8">
        <v>45812</v>
      </c>
      <c r="K1185" s="1" t="s">
        <v>2872</v>
      </c>
      <c r="L1185" t="s">
        <v>4220</v>
      </c>
      <c r="M1185" t="s">
        <v>4221</v>
      </c>
      <c r="N1185" s="12">
        <v>622500</v>
      </c>
      <c r="O1185" t="s">
        <v>4223</v>
      </c>
      <c r="P1185" s="6" t="s">
        <v>3758</v>
      </c>
      <c r="Q1185" t="s">
        <v>37</v>
      </c>
      <c r="R1185" t="s">
        <v>48</v>
      </c>
      <c r="S1185" s="9">
        <v>4150</v>
      </c>
      <c r="T1185" s="9">
        <v>50</v>
      </c>
      <c r="U1185" s="9">
        <v>207500</v>
      </c>
      <c r="V1185" s="6" t="s">
        <v>352</v>
      </c>
      <c r="W1185" t="s">
        <v>40</v>
      </c>
      <c r="X1185">
        <v>7843014747</v>
      </c>
      <c r="Y1185">
        <v>781401001</v>
      </c>
      <c r="Z1185" s="3">
        <v>45825.124305555553</v>
      </c>
      <c r="AA1185" s="6">
        <v>2025</v>
      </c>
      <c r="AB1185" s="1">
        <v>46022</v>
      </c>
    </row>
    <row r="1186" spans="1:28" x14ac:dyDescent="0.3">
      <c r="A1186" t="s">
        <v>4224</v>
      </c>
      <c r="B1186" s="6" t="s">
        <v>4225</v>
      </c>
      <c r="C1186" s="6" t="s">
        <v>164</v>
      </c>
      <c r="D1186">
        <v>7725262013</v>
      </c>
      <c r="E1186">
        <v>772501001</v>
      </c>
      <c r="F1186" t="s">
        <v>4226</v>
      </c>
      <c r="G1186" t="s">
        <v>4227</v>
      </c>
      <c r="J1186" s="8">
        <v>45813</v>
      </c>
      <c r="K1186" s="1" t="s">
        <v>2872</v>
      </c>
      <c r="L1186" t="s">
        <v>4228</v>
      </c>
      <c r="M1186" t="s">
        <v>4229</v>
      </c>
      <c r="N1186" s="12">
        <v>352174265.85000002</v>
      </c>
      <c r="O1186" t="s">
        <v>4230</v>
      </c>
      <c r="P1186" s="6" t="s">
        <v>3758</v>
      </c>
      <c r="Q1186" t="s">
        <v>37</v>
      </c>
      <c r="R1186" t="s">
        <v>38</v>
      </c>
      <c r="S1186" s="9">
        <v>2253.21</v>
      </c>
      <c r="T1186" s="9">
        <v>78150</v>
      </c>
      <c r="U1186" s="9">
        <v>176087132.93000001</v>
      </c>
      <c r="V1186" s="6" t="s">
        <v>1612</v>
      </c>
      <c r="W1186" t="s">
        <v>1613</v>
      </c>
      <c r="X1186">
        <v>9727026181</v>
      </c>
      <c r="Y1186">
        <v>770601001</v>
      </c>
      <c r="Z1186" s="3"/>
      <c r="AA1186" s="6">
        <v>2026</v>
      </c>
      <c r="AB1186" s="1">
        <v>46387</v>
      </c>
    </row>
    <row r="1187" spans="1:28" x14ac:dyDescent="0.3">
      <c r="A1187" t="s">
        <v>4224</v>
      </c>
      <c r="B1187" s="6" t="s">
        <v>4225</v>
      </c>
      <c r="C1187" s="6" t="s">
        <v>164</v>
      </c>
      <c r="D1187">
        <v>7725262013</v>
      </c>
      <c r="E1187">
        <v>772501001</v>
      </c>
      <c r="F1187" t="s">
        <v>4226</v>
      </c>
      <c r="G1187" t="s">
        <v>4227</v>
      </c>
      <c r="J1187" s="8">
        <v>45813</v>
      </c>
      <c r="K1187" s="1" t="s">
        <v>2872</v>
      </c>
      <c r="L1187" t="s">
        <v>4228</v>
      </c>
      <c r="M1187" t="s">
        <v>4229</v>
      </c>
      <c r="N1187" s="12">
        <v>352174265.85000002</v>
      </c>
      <c r="O1187" t="s">
        <v>4230</v>
      </c>
      <c r="P1187" s="6" t="s">
        <v>3758</v>
      </c>
      <c r="Q1187" t="s">
        <v>37</v>
      </c>
      <c r="R1187" t="s">
        <v>38</v>
      </c>
      <c r="S1187" s="9">
        <v>2236.79</v>
      </c>
      <c r="T1187" s="9">
        <v>78723</v>
      </c>
      <c r="U1187" s="9">
        <v>176087132.91999999</v>
      </c>
      <c r="V1187" s="6" t="s">
        <v>1612</v>
      </c>
      <c r="W1187" t="s">
        <v>1613</v>
      </c>
      <c r="X1187">
        <v>9727026181</v>
      </c>
      <c r="Y1187">
        <v>770601001</v>
      </c>
      <c r="Z1187" s="3"/>
      <c r="AA1187" s="6">
        <v>2025</v>
      </c>
      <c r="AB1187" s="1">
        <v>46387</v>
      </c>
    </row>
    <row r="1188" spans="1:28" x14ac:dyDescent="0.3">
      <c r="A1188" t="s">
        <v>4231</v>
      </c>
      <c r="B1188" s="17" t="s">
        <v>274</v>
      </c>
      <c r="C1188" s="6" t="s">
        <v>270</v>
      </c>
      <c r="D1188">
        <v>1833000350</v>
      </c>
      <c r="E1188">
        <v>184001001</v>
      </c>
      <c r="F1188" t="s">
        <v>44</v>
      </c>
      <c r="G1188" t="s">
        <v>4232</v>
      </c>
      <c r="H1188" s="1">
        <v>45812</v>
      </c>
      <c r="I1188" t="s">
        <v>3019</v>
      </c>
      <c r="J1188" s="8">
        <v>45813</v>
      </c>
      <c r="K1188" s="1" t="s">
        <v>2872</v>
      </c>
      <c r="L1188" t="s">
        <v>4233</v>
      </c>
      <c r="M1188" t="s">
        <v>4165</v>
      </c>
      <c r="N1188" s="12">
        <v>25348700</v>
      </c>
      <c r="O1188" t="s">
        <v>4165</v>
      </c>
      <c r="P1188" s="6" t="s">
        <v>36</v>
      </c>
      <c r="Q1188" t="s">
        <v>3258</v>
      </c>
      <c r="R1188" t="s">
        <v>38</v>
      </c>
      <c r="S1188" s="9">
        <v>3700</v>
      </c>
      <c r="T1188" s="9">
        <v>6851</v>
      </c>
      <c r="U1188" s="9">
        <v>25348700</v>
      </c>
      <c r="V1188" s="6" t="s">
        <v>39</v>
      </c>
      <c r="W1188" t="s">
        <v>40</v>
      </c>
      <c r="X1188">
        <v>7810687137</v>
      </c>
      <c r="Y1188">
        <v>781401001</v>
      </c>
      <c r="AA1188" s="6">
        <v>2025</v>
      </c>
    </row>
    <row r="1189" spans="1:28" x14ac:dyDescent="0.3">
      <c r="A1189" t="s">
        <v>4234</v>
      </c>
      <c r="B1189" s="6" t="s">
        <v>2655</v>
      </c>
      <c r="C1189" s="6" t="s">
        <v>346</v>
      </c>
      <c r="D1189" s="4">
        <v>1101487569</v>
      </c>
      <c r="E1189">
        <v>110101001</v>
      </c>
      <c r="F1189" t="s">
        <v>52</v>
      </c>
      <c r="G1189" t="s">
        <v>4235</v>
      </c>
      <c r="H1189" s="1">
        <v>45799</v>
      </c>
      <c r="I1189" t="s">
        <v>4185</v>
      </c>
      <c r="J1189" s="8">
        <v>45813</v>
      </c>
      <c r="K1189" s="1" t="s">
        <v>2872</v>
      </c>
      <c r="L1189" t="s">
        <v>4235</v>
      </c>
      <c r="M1189" t="s">
        <v>1519</v>
      </c>
      <c r="N1189" s="12">
        <v>38811396</v>
      </c>
      <c r="O1189" t="s">
        <v>4036</v>
      </c>
      <c r="P1189" s="6" t="s">
        <v>2941</v>
      </c>
      <c r="Q1189" t="s">
        <v>3258</v>
      </c>
      <c r="R1189" t="s">
        <v>38</v>
      </c>
      <c r="S1189" s="9">
        <v>4002</v>
      </c>
      <c r="T1189" s="9">
        <v>9698</v>
      </c>
      <c r="U1189" s="9">
        <v>38811396</v>
      </c>
      <c r="V1189" s="6" t="s">
        <v>545</v>
      </c>
      <c r="W1189" t="s">
        <v>40</v>
      </c>
      <c r="X1189">
        <v>7713655588</v>
      </c>
      <c r="Y1189">
        <v>773001001</v>
      </c>
      <c r="Z1189" s="3">
        <v>45813.495833333334</v>
      </c>
      <c r="AA1189" s="6">
        <v>2025</v>
      </c>
      <c r="AB1189" s="1">
        <v>46022</v>
      </c>
    </row>
    <row r="1190" spans="1:28" x14ac:dyDescent="0.3">
      <c r="A1190" t="s">
        <v>4236</v>
      </c>
      <c r="B1190" s="6" t="s">
        <v>857</v>
      </c>
      <c r="C1190" s="6" t="s">
        <v>388</v>
      </c>
      <c r="D1190">
        <v>3808172327</v>
      </c>
      <c r="E1190">
        <v>380801001</v>
      </c>
      <c r="F1190" t="s">
        <v>52</v>
      </c>
      <c r="G1190" t="s">
        <v>4237</v>
      </c>
      <c r="H1190" s="1">
        <v>45803</v>
      </c>
      <c r="I1190" t="s">
        <v>4238</v>
      </c>
      <c r="J1190" s="8">
        <v>45814</v>
      </c>
      <c r="K1190" s="1" t="s">
        <v>2872</v>
      </c>
      <c r="L1190" t="s">
        <v>4239</v>
      </c>
      <c r="M1190" t="s">
        <v>3865</v>
      </c>
      <c r="N1190" s="12">
        <v>860000</v>
      </c>
      <c r="O1190" t="s">
        <v>3613</v>
      </c>
      <c r="P1190" s="6" t="s">
        <v>3758</v>
      </c>
      <c r="Q1190" t="s">
        <v>37</v>
      </c>
      <c r="R1190" t="s">
        <v>38</v>
      </c>
      <c r="S1190" s="9">
        <v>4300</v>
      </c>
      <c r="T1190" s="9">
        <v>200</v>
      </c>
      <c r="U1190" s="9">
        <v>860000</v>
      </c>
      <c r="V1190" s="6" t="s">
        <v>90</v>
      </c>
      <c r="W1190" t="s">
        <v>59</v>
      </c>
      <c r="X1190">
        <v>5259153331</v>
      </c>
      <c r="Y1190">
        <v>525901001</v>
      </c>
      <c r="Z1190" s="3">
        <v>45817.228472222225</v>
      </c>
      <c r="AA1190" s="6">
        <v>2025</v>
      </c>
      <c r="AB1190" s="1">
        <v>46022</v>
      </c>
    </row>
    <row r="1191" spans="1:28" x14ac:dyDescent="0.3">
      <c r="A1191" t="s">
        <v>4240</v>
      </c>
      <c r="B1191" s="6" t="s">
        <v>573</v>
      </c>
      <c r="C1191" s="6" t="s">
        <v>405</v>
      </c>
      <c r="D1191">
        <v>562044550</v>
      </c>
      <c r="E1191">
        <v>57201001</v>
      </c>
      <c r="F1191" t="s">
        <v>52</v>
      </c>
      <c r="G1191" t="s">
        <v>4241</v>
      </c>
      <c r="H1191" s="1">
        <v>45799</v>
      </c>
      <c r="I1191" t="s">
        <v>4185</v>
      </c>
      <c r="J1191" s="8">
        <v>45817</v>
      </c>
      <c r="K1191" s="1" t="s">
        <v>2872</v>
      </c>
      <c r="L1191" t="s">
        <v>4241</v>
      </c>
      <c r="M1191" t="s">
        <v>4242</v>
      </c>
      <c r="N1191" s="12">
        <v>35746368.75</v>
      </c>
      <c r="O1191" t="s">
        <v>3745</v>
      </c>
      <c r="P1191" s="6" t="s">
        <v>3758</v>
      </c>
      <c r="Q1191" t="s">
        <v>37</v>
      </c>
      <c r="R1191" t="s">
        <v>38</v>
      </c>
      <c r="S1191" s="9">
        <v>2633.25</v>
      </c>
      <c r="T1191" s="9">
        <v>13575</v>
      </c>
      <c r="U1191" s="9">
        <v>35746368.75</v>
      </c>
      <c r="V1191" s="6" t="s">
        <v>4243</v>
      </c>
      <c r="W1191" t="s">
        <v>4244</v>
      </c>
      <c r="X1191">
        <v>2623027727</v>
      </c>
      <c r="Y1191">
        <v>262301001</v>
      </c>
      <c r="Z1191" s="3">
        <v>45818.506249999999</v>
      </c>
      <c r="AA1191" s="6">
        <v>2025</v>
      </c>
      <c r="AB1191" s="1">
        <v>46022</v>
      </c>
    </row>
    <row r="1192" spans="1:28" x14ac:dyDescent="0.3">
      <c r="A1192" t="s">
        <v>4245</v>
      </c>
      <c r="B1192" s="6" t="s">
        <v>842</v>
      </c>
      <c r="C1192" s="6" t="s">
        <v>843</v>
      </c>
      <c r="D1192">
        <v>2128015420</v>
      </c>
      <c r="E1192">
        <v>213001001</v>
      </c>
      <c r="F1192" t="s">
        <v>52</v>
      </c>
      <c r="G1192" t="s">
        <v>4246</v>
      </c>
      <c r="H1192" s="1">
        <v>45806</v>
      </c>
      <c r="J1192" s="8">
        <v>45817</v>
      </c>
      <c r="K1192" s="1" t="s">
        <v>2872</v>
      </c>
      <c r="L1192" t="s">
        <v>4247</v>
      </c>
      <c r="M1192" t="s">
        <v>4248</v>
      </c>
      <c r="N1192" s="12">
        <v>28682400</v>
      </c>
      <c r="O1192" t="s">
        <v>3613</v>
      </c>
      <c r="P1192" s="6" t="s">
        <v>3758</v>
      </c>
      <c r="Q1192" t="s">
        <v>37</v>
      </c>
      <c r="R1192" t="s">
        <v>38</v>
      </c>
      <c r="S1192" s="9">
        <v>3700</v>
      </c>
      <c r="T1192" s="9">
        <v>2752</v>
      </c>
      <c r="U1192" s="9">
        <v>10182400</v>
      </c>
      <c r="V1192" s="6" t="s">
        <v>58</v>
      </c>
      <c r="W1192" t="s">
        <v>59</v>
      </c>
      <c r="X1192">
        <v>5262222144</v>
      </c>
      <c r="Y1192">
        <v>526001001</v>
      </c>
      <c r="Z1192" s="3">
        <v>45818.495833333334</v>
      </c>
      <c r="AA1192" s="6">
        <v>2025</v>
      </c>
      <c r="AB1192" s="1">
        <v>45847</v>
      </c>
    </row>
    <row r="1193" spans="1:28" x14ac:dyDescent="0.3">
      <c r="A1193" t="s">
        <v>4249</v>
      </c>
      <c r="B1193" s="6" t="s">
        <v>910</v>
      </c>
      <c r="C1193" s="6" t="s">
        <v>911</v>
      </c>
      <c r="D1193">
        <v>1200000881</v>
      </c>
      <c r="E1193">
        <v>121501001</v>
      </c>
      <c r="F1193" t="s">
        <v>94</v>
      </c>
      <c r="G1193" t="s">
        <v>4250</v>
      </c>
      <c r="H1193" s="1">
        <v>45812</v>
      </c>
      <c r="J1193" s="8">
        <v>45817</v>
      </c>
      <c r="K1193" s="1" t="s">
        <v>2872</v>
      </c>
      <c r="L1193" t="s">
        <v>4251</v>
      </c>
      <c r="M1193" t="s">
        <v>3572</v>
      </c>
      <c r="N1193" s="12">
        <v>19000000</v>
      </c>
      <c r="O1193" t="s">
        <v>3613</v>
      </c>
      <c r="P1193" s="6" t="s">
        <v>3758</v>
      </c>
      <c r="Q1193" t="s">
        <v>3258</v>
      </c>
      <c r="R1193" t="s">
        <v>38</v>
      </c>
      <c r="S1193" s="9">
        <v>3800</v>
      </c>
      <c r="T1193" s="9">
        <v>2500</v>
      </c>
      <c r="U1193" s="9">
        <v>9500000</v>
      </c>
      <c r="V1193" s="6" t="s">
        <v>90</v>
      </c>
      <c r="W1193" t="s">
        <v>59</v>
      </c>
      <c r="X1193">
        <v>5259153331</v>
      </c>
      <c r="Y1193">
        <v>525901001</v>
      </c>
      <c r="Z1193" s="3">
        <v>45817.357638888891</v>
      </c>
      <c r="AA1193" s="6">
        <v>2025</v>
      </c>
      <c r="AB1193" s="1">
        <v>46022</v>
      </c>
    </row>
    <row r="1194" spans="1:28" x14ac:dyDescent="0.3">
      <c r="A1194" s="4" t="s">
        <v>4252</v>
      </c>
      <c r="B1194" s="6" t="s">
        <v>910</v>
      </c>
      <c r="C1194" s="6" t="s">
        <v>911</v>
      </c>
      <c r="D1194">
        <v>1200000881</v>
      </c>
      <c r="E1194">
        <v>121501001</v>
      </c>
      <c r="F1194" t="s">
        <v>94</v>
      </c>
      <c r="G1194" t="s">
        <v>4250</v>
      </c>
      <c r="H1194" s="1">
        <v>45812</v>
      </c>
      <c r="J1194" s="8">
        <v>45817</v>
      </c>
      <c r="K1194" s="1" t="s">
        <v>2872</v>
      </c>
      <c r="L1194" t="s">
        <v>4251</v>
      </c>
      <c r="M1194" t="s">
        <v>3572</v>
      </c>
      <c r="N1194" s="12">
        <v>19000000</v>
      </c>
      <c r="O1194" t="s">
        <v>3613</v>
      </c>
      <c r="P1194" s="6" t="s">
        <v>4253</v>
      </c>
      <c r="Q1194" t="s">
        <v>3258</v>
      </c>
      <c r="R1194" t="s">
        <v>38</v>
      </c>
      <c r="S1194" s="9">
        <v>3800</v>
      </c>
      <c r="T1194" s="9">
        <v>2500</v>
      </c>
      <c r="U1194" s="9">
        <v>9500000</v>
      </c>
      <c r="V1194" s="6" t="s">
        <v>90</v>
      </c>
      <c r="W1194" t="s">
        <v>59</v>
      </c>
      <c r="X1194">
        <v>5259153331</v>
      </c>
      <c r="Y1194">
        <v>525901001</v>
      </c>
      <c r="Z1194" s="3">
        <v>45817.357638888891</v>
      </c>
      <c r="AA1194" s="6">
        <v>2025</v>
      </c>
      <c r="AB1194" s="1">
        <v>46022</v>
      </c>
    </row>
    <row r="1195" spans="1:28" x14ac:dyDescent="0.3">
      <c r="A1195" t="s">
        <v>4254</v>
      </c>
      <c r="B1195" s="6" t="s">
        <v>4255</v>
      </c>
      <c r="C1195" s="6" t="s">
        <v>405</v>
      </c>
      <c r="D1195">
        <v>561042535</v>
      </c>
      <c r="E1195">
        <v>57101001</v>
      </c>
      <c r="F1195" t="s">
        <v>52</v>
      </c>
      <c r="G1195" t="s">
        <v>4256</v>
      </c>
      <c r="H1195" s="1">
        <v>45805</v>
      </c>
      <c r="I1195" t="s">
        <v>4257</v>
      </c>
      <c r="J1195" s="8">
        <v>45817</v>
      </c>
      <c r="K1195" s="1" t="s">
        <v>2872</v>
      </c>
      <c r="L1195" t="s">
        <v>4258</v>
      </c>
      <c r="M1195" t="s">
        <v>4259</v>
      </c>
      <c r="N1195" s="12">
        <v>1215000</v>
      </c>
      <c r="O1195" t="s">
        <v>3633</v>
      </c>
      <c r="P1195" s="6" t="s">
        <v>36</v>
      </c>
      <c r="R1195" t="s">
        <v>38</v>
      </c>
      <c r="S1195" s="9">
        <v>3981.69</v>
      </c>
      <c r="T1195" s="9">
        <v>305</v>
      </c>
      <c r="U1195" s="9">
        <v>1215000</v>
      </c>
      <c r="V1195" s="6" t="s">
        <v>111</v>
      </c>
      <c r="W1195" t="s">
        <v>59</v>
      </c>
      <c r="X1195">
        <v>5262258091</v>
      </c>
      <c r="Y1195">
        <v>526001001</v>
      </c>
      <c r="Z1195" s="3">
        <v>45817.42083333333</v>
      </c>
      <c r="AA1195" s="6">
        <v>2025</v>
      </c>
      <c r="AB1195" s="1">
        <v>46022</v>
      </c>
    </row>
    <row r="1196" spans="1:28" x14ac:dyDescent="0.3">
      <c r="A1196" t="s">
        <v>4260</v>
      </c>
      <c r="B1196" s="6" t="s">
        <v>910</v>
      </c>
      <c r="C1196" s="6" t="s">
        <v>911</v>
      </c>
      <c r="D1196">
        <v>1200000881</v>
      </c>
      <c r="E1196">
        <v>121501001</v>
      </c>
      <c r="F1196" t="s">
        <v>94</v>
      </c>
      <c r="G1196" t="s">
        <v>4261</v>
      </c>
      <c r="H1196" s="1">
        <v>45812</v>
      </c>
      <c r="J1196" s="8">
        <v>45817</v>
      </c>
      <c r="K1196" s="1" t="s">
        <v>2872</v>
      </c>
      <c r="L1196" t="s">
        <v>4262</v>
      </c>
      <c r="M1196" t="s">
        <v>3572</v>
      </c>
      <c r="N1196" s="12">
        <v>15666300</v>
      </c>
      <c r="O1196" t="s">
        <v>3613</v>
      </c>
      <c r="P1196" s="6" t="s">
        <v>464</v>
      </c>
      <c r="R1196" t="s">
        <v>38</v>
      </c>
      <c r="S1196" s="9">
        <v>3090</v>
      </c>
      <c r="T1196" s="9">
        <v>5070</v>
      </c>
      <c r="U1196" s="9">
        <v>15666300</v>
      </c>
      <c r="V1196" s="6" t="s">
        <v>848</v>
      </c>
      <c r="W1196" t="s">
        <v>849</v>
      </c>
      <c r="X1196">
        <v>2634099850</v>
      </c>
      <c r="Y1196">
        <v>263501001</v>
      </c>
      <c r="Z1196" s="3">
        <v>45817.362500000003</v>
      </c>
      <c r="AA1196" s="6">
        <v>2025</v>
      </c>
      <c r="AB1196" s="1">
        <v>46022</v>
      </c>
    </row>
    <row r="1197" spans="1:28" x14ac:dyDescent="0.3">
      <c r="A1197" t="s">
        <v>4245</v>
      </c>
      <c r="B1197" s="6" t="s">
        <v>842</v>
      </c>
      <c r="C1197" s="6" t="s">
        <v>843</v>
      </c>
      <c r="D1197" s="4">
        <v>2128015420</v>
      </c>
      <c r="E1197">
        <v>213001001</v>
      </c>
      <c r="F1197" t="s">
        <v>52</v>
      </c>
      <c r="G1197" t="s">
        <v>4246</v>
      </c>
      <c r="H1197" s="1">
        <v>45806</v>
      </c>
      <c r="J1197" s="8">
        <v>45817</v>
      </c>
      <c r="K1197" s="1" t="s">
        <v>2872</v>
      </c>
      <c r="L1197" t="s">
        <v>4247</v>
      </c>
      <c r="M1197" t="s">
        <v>4248</v>
      </c>
      <c r="N1197" s="12">
        <v>28682400</v>
      </c>
      <c r="O1197" t="s">
        <v>3633</v>
      </c>
      <c r="P1197" s="6" t="s">
        <v>36</v>
      </c>
      <c r="Q1197" t="s">
        <v>37</v>
      </c>
      <c r="R1197" t="s">
        <v>38</v>
      </c>
      <c r="S1197" s="9">
        <v>3700</v>
      </c>
      <c r="T1197" s="9">
        <v>5000</v>
      </c>
      <c r="U1197" s="9">
        <v>18500000</v>
      </c>
      <c r="V1197" s="6" t="s">
        <v>58</v>
      </c>
      <c r="W1197" t="s">
        <v>59</v>
      </c>
      <c r="X1197">
        <v>5262222144</v>
      </c>
      <c r="Y1197">
        <v>526001001</v>
      </c>
      <c r="Z1197" s="3">
        <v>45818.495833333334</v>
      </c>
      <c r="AA1197" s="6">
        <v>2025</v>
      </c>
      <c r="AB1197" s="1">
        <v>45847</v>
      </c>
    </row>
    <row r="1198" spans="1:28" x14ac:dyDescent="0.3">
      <c r="A1198" s="4" t="s">
        <v>4263</v>
      </c>
      <c r="B1198" s="6" t="s">
        <v>1244</v>
      </c>
      <c r="C1198" s="6" t="s">
        <v>640</v>
      </c>
      <c r="D1198">
        <v>6904008639</v>
      </c>
      <c r="E1198">
        <v>695001001</v>
      </c>
      <c r="F1198" t="s">
        <v>52</v>
      </c>
      <c r="G1198" t="s">
        <v>4264</v>
      </c>
      <c r="H1198" s="1">
        <v>45803</v>
      </c>
      <c r="J1198" s="8">
        <v>45817</v>
      </c>
      <c r="K1198" s="1" t="s">
        <v>2872</v>
      </c>
      <c r="L1198" t="s">
        <v>4265</v>
      </c>
      <c r="M1198" t="s">
        <v>1553</v>
      </c>
      <c r="N1198" s="12">
        <v>726960</v>
      </c>
      <c r="O1198" t="s">
        <v>3613</v>
      </c>
      <c r="P1198" s="6" t="s">
        <v>1814</v>
      </c>
      <c r="R1198" t="s">
        <v>38</v>
      </c>
      <c r="S1198" s="9">
        <v>6990</v>
      </c>
      <c r="T1198" s="9">
        <v>104</v>
      </c>
      <c r="U1198" s="9">
        <v>726960</v>
      </c>
      <c r="V1198" s="6" t="s">
        <v>90</v>
      </c>
      <c r="W1198" t="s">
        <v>59</v>
      </c>
      <c r="X1198">
        <v>5259153331</v>
      </c>
      <c r="Y1198">
        <v>525901001</v>
      </c>
      <c r="Z1198" s="3">
        <v>45825.447916666664</v>
      </c>
      <c r="AA1198" s="6">
        <v>2025</v>
      </c>
      <c r="AB1198" s="1">
        <v>46017</v>
      </c>
    </row>
    <row r="1199" spans="1:28" x14ac:dyDescent="0.3">
      <c r="A1199" t="s">
        <v>4266</v>
      </c>
      <c r="B1199" s="6" t="s">
        <v>4267</v>
      </c>
      <c r="C1199" s="6" t="s">
        <v>965</v>
      </c>
      <c r="D1199">
        <v>7024038542</v>
      </c>
      <c r="E1199">
        <v>702401001</v>
      </c>
      <c r="F1199" t="s">
        <v>52</v>
      </c>
      <c r="G1199" t="s">
        <v>4268</v>
      </c>
      <c r="H1199" s="1">
        <v>45805</v>
      </c>
      <c r="J1199" s="8">
        <v>45817</v>
      </c>
      <c r="K1199" s="1" t="s">
        <v>2872</v>
      </c>
      <c r="L1199" t="s">
        <v>4269</v>
      </c>
      <c r="M1199" t="s">
        <v>4270</v>
      </c>
      <c r="N1199" s="12">
        <v>765500</v>
      </c>
      <c r="O1199" t="s">
        <v>4271</v>
      </c>
      <c r="P1199" s="6" t="s">
        <v>891</v>
      </c>
      <c r="Q1199" t="s">
        <v>37</v>
      </c>
      <c r="R1199" t="s">
        <v>38</v>
      </c>
      <c r="S1199" s="9">
        <v>4500</v>
      </c>
      <c r="T1199" s="9">
        <v>55</v>
      </c>
      <c r="U1199" s="9">
        <v>247500</v>
      </c>
      <c r="V1199" s="6" t="s">
        <v>723</v>
      </c>
      <c r="W1199" t="s">
        <v>402</v>
      </c>
      <c r="X1199">
        <v>890507752198</v>
      </c>
      <c r="Z1199" s="3">
        <v>45825.520138888889</v>
      </c>
      <c r="AA1199" s="6">
        <v>2025</v>
      </c>
      <c r="AB1199" s="1">
        <v>46022</v>
      </c>
    </row>
    <row r="1200" spans="1:28" x14ac:dyDescent="0.3">
      <c r="A1200" t="s">
        <v>4272</v>
      </c>
      <c r="B1200" s="6" t="s">
        <v>1358</v>
      </c>
      <c r="C1200" s="6" t="s">
        <v>270</v>
      </c>
      <c r="D1200">
        <v>1831044979</v>
      </c>
      <c r="E1200">
        <v>184101001</v>
      </c>
      <c r="F1200" t="s">
        <v>44</v>
      </c>
      <c r="H1200"/>
      <c r="J1200" s="8">
        <v>45818</v>
      </c>
      <c r="K1200" s="1" t="s">
        <v>2872</v>
      </c>
      <c r="L1200" t="s">
        <v>4273</v>
      </c>
      <c r="M1200" t="s">
        <v>4274</v>
      </c>
      <c r="N1200" s="12">
        <v>47020238.100000001</v>
      </c>
      <c r="O1200" t="s">
        <v>3613</v>
      </c>
      <c r="P1200" s="6" t="s">
        <v>891</v>
      </c>
      <c r="Q1200" t="s">
        <v>37</v>
      </c>
      <c r="R1200" t="s">
        <v>38</v>
      </c>
      <c r="S1200" s="9">
        <v>4735.17</v>
      </c>
      <c r="T1200" s="9">
        <v>9930</v>
      </c>
      <c r="U1200" s="9">
        <v>47020238.100000001</v>
      </c>
      <c r="V1200" s="6" t="s">
        <v>274</v>
      </c>
      <c r="W1200" t="s">
        <v>40</v>
      </c>
      <c r="X1200">
        <v>1833000350</v>
      </c>
      <c r="Y1200">
        <v>184001001</v>
      </c>
      <c r="Z1200" s="3">
        <v>45818.406944444447</v>
      </c>
      <c r="AA1200" s="6">
        <v>2025</v>
      </c>
      <c r="AB1200" s="1">
        <v>46010</v>
      </c>
    </row>
    <row r="1201" spans="1:28" x14ac:dyDescent="0.3">
      <c r="A1201" s="4" t="s">
        <v>4275</v>
      </c>
      <c r="B1201" s="6" t="s">
        <v>459</v>
      </c>
      <c r="C1201" s="6" t="s">
        <v>460</v>
      </c>
      <c r="D1201">
        <v>4629019420</v>
      </c>
      <c r="E1201">
        <v>463201001</v>
      </c>
      <c r="F1201" t="s">
        <v>52</v>
      </c>
      <c r="G1201" t="s">
        <v>4276</v>
      </c>
      <c r="H1201" s="1">
        <v>45807</v>
      </c>
      <c r="I1201" t="s">
        <v>4277</v>
      </c>
      <c r="J1201" s="8">
        <v>45818</v>
      </c>
      <c r="K1201" s="1" t="s">
        <v>2872</v>
      </c>
      <c r="L1201" t="s">
        <v>4276</v>
      </c>
      <c r="M1201" t="s">
        <v>463</v>
      </c>
      <c r="N1201" s="12">
        <v>9672760.1099999994</v>
      </c>
      <c r="O1201" t="s">
        <v>3613</v>
      </c>
      <c r="P1201" s="6" t="s">
        <v>3758</v>
      </c>
      <c r="Q1201" t="s">
        <v>37</v>
      </c>
      <c r="R1201" t="s">
        <v>38</v>
      </c>
      <c r="S1201" s="9">
        <v>5095</v>
      </c>
      <c r="T1201" s="9">
        <v>196</v>
      </c>
      <c r="U1201" s="9">
        <v>998620</v>
      </c>
      <c r="V1201" s="6" t="s">
        <v>58</v>
      </c>
      <c r="W1201" t="s">
        <v>59</v>
      </c>
      <c r="X1201">
        <v>5262222144</v>
      </c>
      <c r="Y1201">
        <v>526001001</v>
      </c>
      <c r="Z1201" s="3">
        <v>45818.46597222222</v>
      </c>
      <c r="AA1201" s="6">
        <v>2025</v>
      </c>
      <c r="AB1201" s="1">
        <v>46014</v>
      </c>
    </row>
    <row r="1202" spans="1:28" x14ac:dyDescent="0.3">
      <c r="A1202" t="s">
        <v>4278</v>
      </c>
      <c r="B1202" s="6" t="s">
        <v>459</v>
      </c>
      <c r="C1202" s="6" t="s">
        <v>460</v>
      </c>
      <c r="D1202">
        <v>4629019420</v>
      </c>
      <c r="E1202">
        <v>463201001</v>
      </c>
      <c r="F1202" t="s">
        <v>52</v>
      </c>
      <c r="G1202" t="s">
        <v>4276</v>
      </c>
      <c r="H1202" s="1">
        <v>45807</v>
      </c>
      <c r="I1202" t="s">
        <v>4277</v>
      </c>
      <c r="J1202" s="8">
        <v>45818</v>
      </c>
      <c r="K1202" s="1" t="s">
        <v>2872</v>
      </c>
      <c r="L1202" t="s">
        <v>4276</v>
      </c>
      <c r="M1202" t="s">
        <v>463</v>
      </c>
      <c r="N1202" s="12">
        <v>9672760.1099999994</v>
      </c>
      <c r="O1202" t="s">
        <v>3633</v>
      </c>
      <c r="P1202" s="6" t="s">
        <v>36</v>
      </c>
      <c r="R1202" t="s">
        <v>38</v>
      </c>
      <c r="S1202" s="9">
        <v>4266.67</v>
      </c>
      <c r="T1202" s="9">
        <v>2033</v>
      </c>
      <c r="U1202" s="9">
        <v>8674140.1099999994</v>
      </c>
      <c r="V1202" s="6" t="s">
        <v>58</v>
      </c>
      <c r="W1202" t="s">
        <v>59</v>
      </c>
      <c r="X1202">
        <v>5262222144</v>
      </c>
      <c r="Y1202">
        <v>526001001</v>
      </c>
      <c r="Z1202" s="3">
        <v>45818.46597222222</v>
      </c>
      <c r="AA1202" s="6">
        <v>2025</v>
      </c>
      <c r="AB1202" s="1">
        <v>46014</v>
      </c>
    </row>
    <row r="1203" spans="1:28" x14ac:dyDescent="0.3">
      <c r="A1203" t="s">
        <v>4279</v>
      </c>
      <c r="B1203" s="6" t="s">
        <v>1358</v>
      </c>
      <c r="C1203" s="6" t="s">
        <v>270</v>
      </c>
      <c r="D1203">
        <v>1831044979</v>
      </c>
      <c r="E1203">
        <v>184101001</v>
      </c>
      <c r="F1203" t="s">
        <v>44</v>
      </c>
      <c r="H1203"/>
      <c r="J1203" s="8">
        <v>45818</v>
      </c>
      <c r="K1203" s="1" t="s">
        <v>2872</v>
      </c>
      <c r="L1203" t="s">
        <v>4280</v>
      </c>
      <c r="M1203" t="s">
        <v>4281</v>
      </c>
      <c r="N1203" s="12">
        <v>32199700</v>
      </c>
      <c r="O1203" t="s">
        <v>3613</v>
      </c>
      <c r="P1203" s="6" t="s">
        <v>36</v>
      </c>
      <c r="R1203" t="s">
        <v>38</v>
      </c>
      <c r="S1203" s="9">
        <v>4700</v>
      </c>
      <c r="T1203" s="9">
        <v>6851</v>
      </c>
      <c r="U1203" s="9">
        <v>32199700</v>
      </c>
      <c r="V1203" s="6" t="s">
        <v>274</v>
      </c>
      <c r="W1203" t="s">
        <v>40</v>
      </c>
      <c r="X1203">
        <v>1833000350</v>
      </c>
      <c r="Y1203">
        <v>184001001</v>
      </c>
      <c r="Z1203" s="3">
        <v>45818.409722222219</v>
      </c>
      <c r="AA1203" s="6">
        <v>2025</v>
      </c>
      <c r="AB1203" s="1">
        <v>46010</v>
      </c>
    </row>
    <row r="1204" spans="1:28" x14ac:dyDescent="0.3">
      <c r="A1204" t="s">
        <v>4282</v>
      </c>
      <c r="B1204" s="6" t="s">
        <v>121</v>
      </c>
      <c r="C1204" s="6" t="s">
        <v>122</v>
      </c>
      <c r="D1204">
        <v>5402155123</v>
      </c>
      <c r="E1204">
        <v>540201001</v>
      </c>
      <c r="F1204" t="s">
        <v>52</v>
      </c>
      <c r="G1204" t="s">
        <v>4283</v>
      </c>
      <c r="H1204" s="1">
        <v>45807</v>
      </c>
      <c r="I1204" t="s">
        <v>4277</v>
      </c>
      <c r="J1204" s="8">
        <v>45818</v>
      </c>
      <c r="K1204" s="1" t="s">
        <v>2872</v>
      </c>
      <c r="L1204" t="s">
        <v>4284</v>
      </c>
      <c r="M1204" t="s">
        <v>4285</v>
      </c>
      <c r="N1204" s="12">
        <v>1008800</v>
      </c>
      <c r="O1204" t="s">
        <v>3633</v>
      </c>
      <c r="P1204" s="6" t="s">
        <v>36</v>
      </c>
      <c r="R1204" t="s">
        <v>48</v>
      </c>
      <c r="S1204" s="9">
        <v>5044</v>
      </c>
      <c r="T1204" s="9">
        <v>200</v>
      </c>
      <c r="U1204" s="9">
        <v>1008800</v>
      </c>
      <c r="V1204" s="6" t="s">
        <v>750</v>
      </c>
      <c r="W1204" t="s">
        <v>59</v>
      </c>
      <c r="X1204">
        <v>540123954976</v>
      </c>
      <c r="Z1204" s="3">
        <v>45818.408333333333</v>
      </c>
      <c r="AA1204" s="6">
        <v>2025</v>
      </c>
      <c r="AB1204" s="1">
        <v>45991</v>
      </c>
    </row>
    <row r="1205" spans="1:28" x14ac:dyDescent="0.3">
      <c r="A1205" t="s">
        <v>4286</v>
      </c>
      <c r="B1205" s="6" t="s">
        <v>1776</v>
      </c>
      <c r="C1205" s="6" t="s">
        <v>460</v>
      </c>
      <c r="D1205">
        <v>4632286337</v>
      </c>
      <c r="E1205">
        <v>463201001</v>
      </c>
      <c r="F1205" t="s">
        <v>52</v>
      </c>
      <c r="G1205" t="s">
        <v>4287</v>
      </c>
      <c r="H1205" s="1">
        <v>45807</v>
      </c>
      <c r="I1205" t="s">
        <v>4277</v>
      </c>
      <c r="J1205" s="8">
        <v>45818</v>
      </c>
      <c r="K1205" s="1" t="s">
        <v>2872</v>
      </c>
      <c r="L1205" t="s">
        <v>4288</v>
      </c>
      <c r="M1205" t="s">
        <v>3939</v>
      </c>
      <c r="N1205" s="12">
        <v>7484929.8600000003</v>
      </c>
      <c r="O1205" t="s">
        <v>4022</v>
      </c>
      <c r="P1205" s="6" t="s">
        <v>2941</v>
      </c>
      <c r="R1205" t="s">
        <v>38</v>
      </c>
      <c r="S1205" s="9">
        <v>3130.46</v>
      </c>
      <c r="T1205" s="9">
        <v>2391</v>
      </c>
      <c r="U1205" s="9">
        <v>7484929.8600000003</v>
      </c>
      <c r="V1205" s="6" t="s">
        <v>39</v>
      </c>
      <c r="W1205" t="s">
        <v>40</v>
      </c>
      <c r="X1205">
        <v>7810687137</v>
      </c>
      <c r="Y1205">
        <v>781401001</v>
      </c>
      <c r="Z1205" s="3">
        <v>45819.351388888892</v>
      </c>
      <c r="AA1205" s="6">
        <v>2025</v>
      </c>
      <c r="AB1205" s="1">
        <v>46174</v>
      </c>
    </row>
    <row r="1206" spans="1:28" x14ac:dyDescent="0.3">
      <c r="A1206" t="s">
        <v>4289</v>
      </c>
      <c r="B1206" s="6" t="s">
        <v>418</v>
      </c>
      <c r="C1206" s="6" t="s">
        <v>148</v>
      </c>
      <c r="D1206">
        <v>274157821</v>
      </c>
      <c r="E1206">
        <v>27401001</v>
      </c>
      <c r="F1206" t="s">
        <v>52</v>
      </c>
      <c r="G1206" t="s">
        <v>4290</v>
      </c>
      <c r="H1206" s="1">
        <v>45804</v>
      </c>
      <c r="J1206" s="8">
        <v>45819</v>
      </c>
      <c r="K1206" s="1" t="s">
        <v>2872</v>
      </c>
      <c r="L1206" t="s">
        <v>4291</v>
      </c>
      <c r="M1206" t="s">
        <v>3787</v>
      </c>
      <c r="N1206" s="12">
        <v>28259729</v>
      </c>
      <c r="O1206" t="s">
        <v>3613</v>
      </c>
      <c r="P1206" s="6" t="s">
        <v>3758</v>
      </c>
      <c r="Q1206" t="s">
        <v>37</v>
      </c>
      <c r="R1206" t="s">
        <v>38</v>
      </c>
      <c r="S1206" s="9">
        <v>2881</v>
      </c>
      <c r="T1206" s="9">
        <v>3270</v>
      </c>
      <c r="U1206" s="9">
        <v>9420870</v>
      </c>
      <c r="V1206" s="6" t="s">
        <v>1815</v>
      </c>
      <c r="W1206" t="s">
        <v>1816</v>
      </c>
      <c r="X1206">
        <v>7708813060</v>
      </c>
      <c r="Y1206">
        <v>770801001</v>
      </c>
      <c r="Z1206" s="3">
        <v>45824.374305555553</v>
      </c>
      <c r="AA1206" s="6">
        <v>2025</v>
      </c>
      <c r="AB1206" s="1">
        <v>46022</v>
      </c>
    </row>
    <row r="1207" spans="1:28" x14ac:dyDescent="0.3">
      <c r="A1207" t="s">
        <v>4289</v>
      </c>
      <c r="B1207" s="6" t="s">
        <v>418</v>
      </c>
      <c r="C1207" s="6" t="s">
        <v>148</v>
      </c>
      <c r="D1207">
        <v>274157821</v>
      </c>
      <c r="E1207">
        <v>27401001</v>
      </c>
      <c r="F1207" t="s">
        <v>52</v>
      </c>
      <c r="G1207" t="s">
        <v>4290</v>
      </c>
      <c r="H1207" s="1">
        <v>45804</v>
      </c>
      <c r="J1207" s="8">
        <v>45819</v>
      </c>
      <c r="K1207" s="1" t="s">
        <v>2872</v>
      </c>
      <c r="L1207" t="s">
        <v>4291</v>
      </c>
      <c r="M1207" t="s">
        <v>3787</v>
      </c>
      <c r="N1207" s="12">
        <v>28259729</v>
      </c>
      <c r="O1207" t="s">
        <v>3643</v>
      </c>
      <c r="P1207" s="6" t="s">
        <v>1814</v>
      </c>
      <c r="Q1207" t="s">
        <v>37</v>
      </c>
      <c r="R1207" t="s">
        <v>38</v>
      </c>
      <c r="S1207" s="9">
        <v>2881</v>
      </c>
      <c r="T1207" s="9">
        <v>3270</v>
      </c>
      <c r="U1207" s="9">
        <v>9420870</v>
      </c>
      <c r="V1207" s="6" t="s">
        <v>1815</v>
      </c>
      <c r="W1207" t="s">
        <v>1816</v>
      </c>
      <c r="X1207">
        <v>7708813060</v>
      </c>
      <c r="Y1207">
        <v>770801001</v>
      </c>
      <c r="Z1207" s="3">
        <v>45824.374305555553</v>
      </c>
      <c r="AA1207" s="6">
        <v>2025</v>
      </c>
      <c r="AB1207" s="1">
        <v>46022</v>
      </c>
    </row>
    <row r="1208" spans="1:28" x14ac:dyDescent="0.3">
      <c r="A1208" t="s">
        <v>4289</v>
      </c>
      <c r="B1208" s="6" t="s">
        <v>418</v>
      </c>
      <c r="C1208" s="6" t="s">
        <v>148</v>
      </c>
      <c r="D1208">
        <v>274157821</v>
      </c>
      <c r="E1208">
        <v>27401001</v>
      </c>
      <c r="F1208" t="s">
        <v>52</v>
      </c>
      <c r="G1208" t="s">
        <v>4290</v>
      </c>
      <c r="H1208" s="1">
        <v>45804</v>
      </c>
      <c r="J1208" s="8">
        <v>45819</v>
      </c>
      <c r="K1208" s="1" t="s">
        <v>2872</v>
      </c>
      <c r="L1208" t="s">
        <v>4291</v>
      </c>
      <c r="M1208" t="s">
        <v>3787</v>
      </c>
      <c r="N1208" s="12">
        <v>28259729</v>
      </c>
      <c r="O1208" t="s">
        <v>4292</v>
      </c>
      <c r="P1208" s="6" t="s">
        <v>2277</v>
      </c>
      <c r="Q1208" t="s">
        <v>37</v>
      </c>
      <c r="R1208" t="s">
        <v>38</v>
      </c>
      <c r="S1208" s="9">
        <v>2881</v>
      </c>
      <c r="T1208" s="9">
        <v>3269</v>
      </c>
      <c r="U1208" s="9">
        <v>9417989</v>
      </c>
      <c r="V1208" s="6" t="s">
        <v>1815</v>
      </c>
      <c r="W1208" t="s">
        <v>1816</v>
      </c>
      <c r="X1208">
        <v>7708813060</v>
      </c>
      <c r="Y1208">
        <v>770801001</v>
      </c>
      <c r="Z1208" s="3">
        <v>45824.374305555553</v>
      </c>
      <c r="AA1208" s="6">
        <v>2025</v>
      </c>
      <c r="AB1208" s="1">
        <v>46022</v>
      </c>
    </row>
    <row r="1209" spans="1:28" x14ac:dyDescent="0.3">
      <c r="A1209" t="s">
        <v>4293</v>
      </c>
      <c r="B1209" s="6" t="s">
        <v>4294</v>
      </c>
      <c r="C1209" s="6" t="s">
        <v>473</v>
      </c>
      <c r="D1209">
        <v>3731011571</v>
      </c>
      <c r="E1209">
        <v>370201001</v>
      </c>
      <c r="F1209" t="s">
        <v>94</v>
      </c>
      <c r="G1209" t="s">
        <v>4295</v>
      </c>
      <c r="H1209" s="1">
        <v>45814</v>
      </c>
      <c r="J1209" s="8">
        <v>45819</v>
      </c>
      <c r="K1209" s="1" t="s">
        <v>2872</v>
      </c>
      <c r="L1209" t="s">
        <v>4296</v>
      </c>
      <c r="M1209" t="s">
        <v>4297</v>
      </c>
      <c r="N1209" s="12">
        <v>140400</v>
      </c>
      <c r="O1209" t="s">
        <v>4298</v>
      </c>
      <c r="P1209" s="6" t="s">
        <v>36</v>
      </c>
      <c r="R1209" t="s">
        <v>66</v>
      </c>
      <c r="S1209" s="9">
        <v>5200</v>
      </c>
      <c r="T1209" s="9">
        <v>27</v>
      </c>
      <c r="U1209" s="9">
        <v>140400</v>
      </c>
      <c r="V1209" s="6" t="s">
        <v>58</v>
      </c>
      <c r="W1209" t="s">
        <v>59</v>
      </c>
      <c r="X1209">
        <v>5262222144</v>
      </c>
      <c r="Y1209">
        <v>526001001</v>
      </c>
      <c r="Z1209" s="3">
        <v>45819.620833333334</v>
      </c>
      <c r="AA1209" s="6">
        <v>2025</v>
      </c>
      <c r="AB1209" s="1">
        <v>46022</v>
      </c>
    </row>
    <row r="1210" spans="1:28" x14ac:dyDescent="0.3">
      <c r="A1210" t="s">
        <v>4299</v>
      </c>
      <c r="B1210" s="6" t="s">
        <v>842</v>
      </c>
      <c r="C1210" s="6" t="s">
        <v>843</v>
      </c>
      <c r="D1210" s="4">
        <v>2128015420</v>
      </c>
      <c r="E1210">
        <v>213001001</v>
      </c>
      <c r="F1210" t="s">
        <v>52</v>
      </c>
      <c r="G1210" t="s">
        <v>4300</v>
      </c>
      <c r="H1210" s="1">
        <v>45812</v>
      </c>
      <c r="J1210" s="8">
        <v>45824</v>
      </c>
      <c r="K1210" s="1" t="s">
        <v>2872</v>
      </c>
      <c r="L1210" t="s">
        <v>4301</v>
      </c>
      <c r="M1210" t="s">
        <v>4302</v>
      </c>
      <c r="N1210" s="12">
        <v>21678300</v>
      </c>
      <c r="O1210" t="s">
        <v>4036</v>
      </c>
      <c r="P1210" s="6" t="s">
        <v>2941</v>
      </c>
      <c r="R1210" t="s">
        <v>38</v>
      </c>
      <c r="S1210" s="9">
        <v>3700</v>
      </c>
      <c r="T1210" s="9">
        <v>5859</v>
      </c>
      <c r="U1210" s="9">
        <v>21678300</v>
      </c>
      <c r="V1210" s="6" t="s">
        <v>90</v>
      </c>
      <c r="W1210" t="s">
        <v>59</v>
      </c>
      <c r="X1210">
        <v>5259153331</v>
      </c>
      <c r="Y1210">
        <v>525901001</v>
      </c>
      <c r="Z1210" s="3">
        <v>45824.591666666667</v>
      </c>
      <c r="AA1210" s="6">
        <v>2025</v>
      </c>
      <c r="AB1210" s="1">
        <v>45856</v>
      </c>
    </row>
    <row r="1211" spans="1:28" x14ac:dyDescent="0.3">
      <c r="A1211" s="4" t="s">
        <v>4303</v>
      </c>
      <c r="B1211" s="6" t="s">
        <v>1596</v>
      </c>
      <c r="C1211" s="6" t="s">
        <v>285</v>
      </c>
      <c r="D1211">
        <v>3325008103</v>
      </c>
      <c r="E1211">
        <v>332501001</v>
      </c>
      <c r="F1211" t="s">
        <v>52</v>
      </c>
      <c r="G1211" t="s">
        <v>4304</v>
      </c>
      <c r="H1211" s="1">
        <v>45814</v>
      </c>
      <c r="I1211" t="s">
        <v>4305</v>
      </c>
      <c r="J1211" s="8">
        <v>45825</v>
      </c>
      <c r="K1211" s="1" t="s">
        <v>2872</v>
      </c>
      <c r="L1211" t="s">
        <v>4304</v>
      </c>
      <c r="M1211" t="s">
        <v>3930</v>
      </c>
      <c r="N1211" s="12">
        <v>35485550</v>
      </c>
      <c r="O1211" t="s">
        <v>3613</v>
      </c>
      <c r="P1211" s="6" t="s">
        <v>3758</v>
      </c>
      <c r="Q1211" t="s">
        <v>37</v>
      </c>
      <c r="R1211" t="s">
        <v>38</v>
      </c>
      <c r="S1211" s="9">
        <v>5230</v>
      </c>
      <c r="T1211" s="9">
        <v>3985</v>
      </c>
      <c r="U1211" s="9">
        <v>20841550</v>
      </c>
      <c r="V1211" s="6" t="s">
        <v>58</v>
      </c>
      <c r="W1211" t="s">
        <v>59</v>
      </c>
      <c r="X1211">
        <v>5262222144</v>
      </c>
      <c r="Y1211">
        <v>526001001</v>
      </c>
      <c r="Z1211" s="3">
        <v>45825.631944444445</v>
      </c>
      <c r="AA1211" s="6">
        <v>2025</v>
      </c>
      <c r="AB1211" s="1">
        <v>46021</v>
      </c>
    </row>
    <row r="1212" spans="1:28" x14ac:dyDescent="0.3">
      <c r="A1212" s="4" t="s">
        <v>4306</v>
      </c>
      <c r="B1212" s="6" t="s">
        <v>4307</v>
      </c>
      <c r="C1212" s="6" t="s">
        <v>453</v>
      </c>
      <c r="D1212">
        <v>2223023559</v>
      </c>
      <c r="E1212">
        <v>222301001</v>
      </c>
      <c r="F1212" t="s">
        <v>149</v>
      </c>
      <c r="G1212" t="s">
        <v>4308</v>
      </c>
      <c r="H1212" s="1">
        <v>45818</v>
      </c>
      <c r="I1212" t="s">
        <v>4309</v>
      </c>
      <c r="J1212" s="8">
        <v>45825</v>
      </c>
      <c r="K1212" s="1" t="s">
        <v>2872</v>
      </c>
      <c r="L1212" t="s">
        <v>4310</v>
      </c>
      <c r="M1212" t="s">
        <v>377</v>
      </c>
      <c r="N1212" s="12">
        <v>315000</v>
      </c>
      <c r="O1212" t="s">
        <v>3613</v>
      </c>
      <c r="P1212" s="6" t="s">
        <v>36</v>
      </c>
      <c r="R1212" t="s">
        <v>38</v>
      </c>
      <c r="S1212" s="9">
        <v>4500</v>
      </c>
      <c r="T1212" s="9">
        <v>70</v>
      </c>
      <c r="U1212" s="9">
        <v>315000</v>
      </c>
      <c r="V1212" s="6" t="s">
        <v>58</v>
      </c>
      <c r="W1212" t="s">
        <v>59</v>
      </c>
      <c r="X1212">
        <v>5262222144</v>
      </c>
      <c r="Y1212">
        <v>526001001</v>
      </c>
      <c r="Z1212" s="3">
        <v>45825.378472222219</v>
      </c>
      <c r="AA1212" s="6">
        <v>2025</v>
      </c>
      <c r="AB1212" s="1">
        <v>45868</v>
      </c>
    </row>
    <row r="1213" spans="1:28" x14ac:dyDescent="0.3">
      <c r="A1213" t="s">
        <v>4311</v>
      </c>
      <c r="B1213" s="6" t="s">
        <v>1596</v>
      </c>
      <c r="C1213" s="6" t="s">
        <v>285</v>
      </c>
      <c r="D1213">
        <v>3325008103</v>
      </c>
      <c r="E1213">
        <v>332501001</v>
      </c>
      <c r="F1213" t="s">
        <v>52</v>
      </c>
      <c r="G1213" t="s">
        <v>4304</v>
      </c>
      <c r="H1213" s="1">
        <v>45814</v>
      </c>
      <c r="I1213" t="s">
        <v>4305</v>
      </c>
      <c r="J1213" s="8">
        <v>45825</v>
      </c>
      <c r="K1213" s="1" t="s">
        <v>2872</v>
      </c>
      <c r="L1213" t="s">
        <v>4304</v>
      </c>
      <c r="M1213" t="s">
        <v>3930</v>
      </c>
      <c r="N1213" s="12">
        <v>35485550</v>
      </c>
      <c r="O1213" t="s">
        <v>3633</v>
      </c>
      <c r="P1213" s="6" t="s">
        <v>36</v>
      </c>
      <c r="Q1213" t="s">
        <v>37</v>
      </c>
      <c r="R1213" t="s">
        <v>38</v>
      </c>
      <c r="S1213" s="9">
        <v>5230</v>
      </c>
      <c r="T1213" s="9">
        <v>2800</v>
      </c>
      <c r="U1213" s="9">
        <v>14644000</v>
      </c>
      <c r="V1213" s="6" t="s">
        <v>58</v>
      </c>
      <c r="W1213" t="s">
        <v>59</v>
      </c>
      <c r="X1213">
        <v>5262222144</v>
      </c>
      <c r="Y1213">
        <v>526001001</v>
      </c>
      <c r="Z1213" s="3">
        <v>45825.631944444445</v>
      </c>
      <c r="AA1213" s="6">
        <v>2025</v>
      </c>
      <c r="AB1213" s="1">
        <v>46021</v>
      </c>
    </row>
    <row r="1214" spans="1:28" x14ac:dyDescent="0.3">
      <c r="A1214" t="s">
        <v>4312</v>
      </c>
      <c r="B1214" s="6" t="s">
        <v>1596</v>
      </c>
      <c r="C1214" s="6" t="s">
        <v>285</v>
      </c>
      <c r="D1214">
        <v>3325008103</v>
      </c>
      <c r="E1214">
        <v>332501001</v>
      </c>
      <c r="F1214" t="s">
        <v>52</v>
      </c>
      <c r="G1214" t="s">
        <v>4313</v>
      </c>
      <c r="H1214" s="1">
        <v>45814</v>
      </c>
      <c r="I1214" t="s">
        <v>4305</v>
      </c>
      <c r="J1214" s="8">
        <v>45826</v>
      </c>
      <c r="K1214" s="1" t="s">
        <v>2872</v>
      </c>
      <c r="L1214" t="s">
        <v>4313</v>
      </c>
      <c r="M1214" t="s">
        <v>4314</v>
      </c>
      <c r="N1214" s="12">
        <v>16657550</v>
      </c>
      <c r="O1214" t="s">
        <v>3613</v>
      </c>
      <c r="P1214" s="6" t="s">
        <v>3758</v>
      </c>
      <c r="Q1214" t="s">
        <v>3258</v>
      </c>
      <c r="R1214" t="s">
        <v>38</v>
      </c>
      <c r="S1214" s="9">
        <v>5230</v>
      </c>
      <c r="T1214" s="9">
        <v>1185</v>
      </c>
      <c r="U1214" s="9">
        <v>6197550</v>
      </c>
      <c r="V1214" s="6" t="s">
        <v>290</v>
      </c>
      <c r="W1214" t="s">
        <v>59</v>
      </c>
      <c r="X1214">
        <v>3302013594</v>
      </c>
      <c r="Y1214">
        <v>332801001</v>
      </c>
      <c r="Z1214" s="3">
        <v>45827.368055555555</v>
      </c>
      <c r="AA1214" s="6">
        <v>2025</v>
      </c>
      <c r="AB1214" s="1">
        <v>46021</v>
      </c>
    </row>
    <row r="1215" spans="1:28" x14ac:dyDescent="0.3">
      <c r="A1215" t="s">
        <v>4315</v>
      </c>
      <c r="B1215" s="6" t="s">
        <v>121</v>
      </c>
      <c r="C1215" s="6" t="s">
        <v>122</v>
      </c>
      <c r="D1215">
        <v>5402155123</v>
      </c>
      <c r="E1215">
        <v>540201001</v>
      </c>
      <c r="F1215" t="s">
        <v>52</v>
      </c>
      <c r="G1215" t="s">
        <v>4316</v>
      </c>
      <c r="H1215" s="1">
        <v>45814</v>
      </c>
      <c r="I1215" t="s">
        <v>4305</v>
      </c>
      <c r="J1215" s="8">
        <v>45826</v>
      </c>
      <c r="K1215" s="1" t="s">
        <v>2872</v>
      </c>
      <c r="L1215" t="s">
        <v>4317</v>
      </c>
      <c r="M1215" t="s">
        <v>4318</v>
      </c>
      <c r="N1215" s="12">
        <v>13436800</v>
      </c>
      <c r="O1215" t="s">
        <v>3613</v>
      </c>
      <c r="P1215" s="6" t="s">
        <v>3758</v>
      </c>
      <c r="Q1215" t="s">
        <v>37</v>
      </c>
      <c r="R1215" t="s">
        <v>38</v>
      </c>
      <c r="S1215" s="9">
        <v>5200</v>
      </c>
      <c r="T1215" s="9">
        <v>861</v>
      </c>
      <c r="U1215" s="9">
        <v>4477200</v>
      </c>
      <c r="V1215" s="6" t="s">
        <v>3392</v>
      </c>
      <c r="W1215" t="s">
        <v>3393</v>
      </c>
      <c r="X1215">
        <v>6658423648</v>
      </c>
      <c r="Y1215">
        <v>665801001</v>
      </c>
      <c r="Z1215" s="3">
        <v>45827.325694444444</v>
      </c>
      <c r="AA1215" s="6">
        <v>2025</v>
      </c>
      <c r="AB1215" s="1">
        <v>45991</v>
      </c>
    </row>
    <row r="1216" spans="1:28" x14ac:dyDescent="0.3">
      <c r="A1216" s="4" t="s">
        <v>4319</v>
      </c>
      <c r="B1216" s="6" t="s">
        <v>573</v>
      </c>
      <c r="C1216" s="6" t="s">
        <v>405</v>
      </c>
      <c r="D1216">
        <v>562044550</v>
      </c>
      <c r="E1216">
        <v>57201001</v>
      </c>
      <c r="F1216" t="s">
        <v>52</v>
      </c>
      <c r="G1216" t="s">
        <v>4320</v>
      </c>
      <c r="H1216" s="1">
        <v>45810</v>
      </c>
      <c r="I1216" t="s">
        <v>4321</v>
      </c>
      <c r="J1216" s="8">
        <v>45826</v>
      </c>
      <c r="K1216" s="1" t="s">
        <v>2872</v>
      </c>
      <c r="L1216" t="s">
        <v>4320</v>
      </c>
      <c r="M1216" t="s">
        <v>4322</v>
      </c>
      <c r="N1216" s="12">
        <v>4316500</v>
      </c>
      <c r="O1216" t="s">
        <v>4022</v>
      </c>
      <c r="P1216" s="6" t="s">
        <v>2941</v>
      </c>
      <c r="R1216" t="s">
        <v>38</v>
      </c>
      <c r="S1216" s="9">
        <v>4850</v>
      </c>
      <c r="T1216" s="9">
        <v>440</v>
      </c>
      <c r="U1216" s="9">
        <v>2134000</v>
      </c>
      <c r="V1216" s="6" t="s">
        <v>352</v>
      </c>
      <c r="W1216" t="s">
        <v>40</v>
      </c>
      <c r="X1216">
        <v>7843014747</v>
      </c>
      <c r="Y1216">
        <v>781401001</v>
      </c>
      <c r="Z1216" s="3">
        <v>45827.392361111109</v>
      </c>
      <c r="AA1216" s="6">
        <v>2025</v>
      </c>
      <c r="AB1216" s="1">
        <v>46022</v>
      </c>
    </row>
    <row r="1217" spans="1:28" x14ac:dyDescent="0.3">
      <c r="A1217" t="s">
        <v>4323</v>
      </c>
      <c r="B1217" s="6" t="s">
        <v>573</v>
      </c>
      <c r="C1217" s="6" t="s">
        <v>405</v>
      </c>
      <c r="D1217">
        <v>562044550</v>
      </c>
      <c r="E1217">
        <v>57201001</v>
      </c>
      <c r="F1217" t="s">
        <v>52</v>
      </c>
      <c r="G1217" t="s">
        <v>4320</v>
      </c>
      <c r="H1217" s="1">
        <v>45810</v>
      </c>
      <c r="I1217" t="s">
        <v>4321</v>
      </c>
      <c r="J1217" s="8">
        <v>45826</v>
      </c>
      <c r="K1217" s="1" t="s">
        <v>2872</v>
      </c>
      <c r="L1217" t="s">
        <v>4320</v>
      </c>
      <c r="M1217" t="s">
        <v>4322</v>
      </c>
      <c r="N1217" s="12">
        <v>4316500</v>
      </c>
      <c r="O1217" t="s">
        <v>3633</v>
      </c>
      <c r="P1217" s="6" t="s">
        <v>36</v>
      </c>
      <c r="R1217" t="s">
        <v>38</v>
      </c>
      <c r="S1217" s="9">
        <v>4850</v>
      </c>
      <c r="T1217" s="9">
        <v>450</v>
      </c>
      <c r="U1217" s="9">
        <v>2182500</v>
      </c>
      <c r="V1217" s="6" t="s">
        <v>352</v>
      </c>
      <c r="W1217" t="s">
        <v>40</v>
      </c>
      <c r="X1217">
        <v>7843014747</v>
      </c>
      <c r="Y1217">
        <v>781401001</v>
      </c>
      <c r="Z1217" s="3">
        <v>45827.392361111109</v>
      </c>
      <c r="AA1217" s="6">
        <v>2025</v>
      </c>
      <c r="AB1217" s="1">
        <v>46022</v>
      </c>
    </row>
    <row r="1218" spans="1:28" x14ac:dyDescent="0.3">
      <c r="A1218" t="s">
        <v>4312</v>
      </c>
      <c r="B1218" s="6" t="s">
        <v>1596</v>
      </c>
      <c r="C1218" s="6" t="s">
        <v>285</v>
      </c>
      <c r="D1218">
        <v>3325008103</v>
      </c>
      <c r="E1218">
        <v>332501001</v>
      </c>
      <c r="F1218" t="s">
        <v>52</v>
      </c>
      <c r="G1218" t="s">
        <v>4313</v>
      </c>
      <c r="H1218" s="1">
        <v>45814</v>
      </c>
      <c r="I1218" t="s">
        <v>4305</v>
      </c>
      <c r="J1218" s="8">
        <v>45826</v>
      </c>
      <c r="K1218" s="1" t="s">
        <v>2872</v>
      </c>
      <c r="L1218" t="s">
        <v>4313</v>
      </c>
      <c r="M1218" t="s">
        <v>4314</v>
      </c>
      <c r="N1218" s="12">
        <v>16657550</v>
      </c>
      <c r="O1218" t="s">
        <v>4036</v>
      </c>
      <c r="P1218" s="6" t="s">
        <v>2941</v>
      </c>
      <c r="R1218" t="s">
        <v>38</v>
      </c>
      <c r="S1218" s="9">
        <v>5230</v>
      </c>
      <c r="T1218" s="9">
        <v>2000</v>
      </c>
      <c r="U1218" s="9">
        <v>10460000</v>
      </c>
      <c r="V1218" s="6" t="s">
        <v>290</v>
      </c>
      <c r="W1218" t="s">
        <v>59</v>
      </c>
      <c r="X1218">
        <v>3302013594</v>
      </c>
      <c r="Y1218">
        <v>332801001</v>
      </c>
      <c r="Z1218" s="3">
        <v>45827.368055555555</v>
      </c>
      <c r="AA1218" s="6">
        <v>2025</v>
      </c>
      <c r="AB1218" s="1">
        <v>46021</v>
      </c>
    </row>
    <row r="1219" spans="1:28" x14ac:dyDescent="0.3">
      <c r="A1219" t="s">
        <v>4315</v>
      </c>
      <c r="B1219" s="6" t="s">
        <v>121</v>
      </c>
      <c r="C1219" s="6" t="s">
        <v>122</v>
      </c>
      <c r="D1219">
        <v>5402155123</v>
      </c>
      <c r="E1219">
        <v>540201001</v>
      </c>
      <c r="F1219" t="s">
        <v>52</v>
      </c>
      <c r="G1219" t="s">
        <v>4316</v>
      </c>
      <c r="H1219" s="1">
        <v>45814</v>
      </c>
      <c r="I1219" t="s">
        <v>4305</v>
      </c>
      <c r="J1219" s="8">
        <v>45826</v>
      </c>
      <c r="K1219" s="1" t="s">
        <v>2872</v>
      </c>
      <c r="L1219" t="s">
        <v>4317</v>
      </c>
      <c r="M1219" t="s">
        <v>4318</v>
      </c>
      <c r="N1219" s="12">
        <v>13436800</v>
      </c>
      <c r="O1219" t="s">
        <v>3745</v>
      </c>
      <c r="P1219" s="6" t="s">
        <v>2277</v>
      </c>
      <c r="R1219" t="s">
        <v>38</v>
      </c>
      <c r="S1219" s="9">
        <v>5200</v>
      </c>
      <c r="T1219" s="9">
        <v>861</v>
      </c>
      <c r="U1219" s="9">
        <v>4477200</v>
      </c>
      <c r="V1219" s="6" t="s">
        <v>3392</v>
      </c>
      <c r="W1219" t="s">
        <v>3393</v>
      </c>
      <c r="X1219">
        <v>6658423648</v>
      </c>
      <c r="Y1219">
        <v>665801001</v>
      </c>
      <c r="Z1219" s="3">
        <v>45827.325694444444</v>
      </c>
      <c r="AA1219" s="6">
        <v>2025</v>
      </c>
      <c r="AB1219" s="1">
        <v>45991</v>
      </c>
    </row>
    <row r="1220" spans="1:28" x14ac:dyDescent="0.3">
      <c r="A1220" t="s">
        <v>4315</v>
      </c>
      <c r="B1220" s="6" t="s">
        <v>121</v>
      </c>
      <c r="C1220" s="6" t="s">
        <v>122</v>
      </c>
      <c r="D1220">
        <v>5402155123</v>
      </c>
      <c r="E1220">
        <v>540201001</v>
      </c>
      <c r="F1220" t="s">
        <v>52</v>
      </c>
      <c r="G1220" t="s">
        <v>4316</v>
      </c>
      <c r="H1220" s="1">
        <v>45814</v>
      </c>
      <c r="I1220" t="s">
        <v>4305</v>
      </c>
      <c r="J1220" s="8">
        <v>45826</v>
      </c>
      <c r="K1220" s="1" t="s">
        <v>2872</v>
      </c>
      <c r="L1220" t="s">
        <v>4317</v>
      </c>
      <c r="M1220" t="s">
        <v>4318</v>
      </c>
      <c r="N1220" s="12">
        <v>13436800</v>
      </c>
      <c r="O1220" t="s">
        <v>4022</v>
      </c>
      <c r="P1220" s="6" t="s">
        <v>2941</v>
      </c>
      <c r="R1220" t="s">
        <v>38</v>
      </c>
      <c r="S1220" s="9">
        <v>5200</v>
      </c>
      <c r="T1220" s="9">
        <v>862</v>
      </c>
      <c r="U1220" s="9">
        <v>4482400</v>
      </c>
      <c r="V1220" s="6" t="s">
        <v>3392</v>
      </c>
      <c r="W1220" t="s">
        <v>3393</v>
      </c>
      <c r="X1220">
        <v>6658423648</v>
      </c>
      <c r="Y1220">
        <v>665801001</v>
      </c>
      <c r="Z1220" s="3">
        <v>45827.325694444444</v>
      </c>
      <c r="AA1220" s="6">
        <v>2025</v>
      </c>
      <c r="AB1220" s="1">
        <v>45991</v>
      </c>
    </row>
    <row r="1221" spans="1:28" x14ac:dyDescent="0.3">
      <c r="A1221" t="s">
        <v>4324</v>
      </c>
      <c r="B1221" s="6" t="s">
        <v>2467</v>
      </c>
      <c r="C1221" s="6" t="s">
        <v>904</v>
      </c>
      <c r="D1221">
        <v>3525010519</v>
      </c>
      <c r="E1221">
        <v>352501001</v>
      </c>
      <c r="F1221" t="s">
        <v>94</v>
      </c>
      <c r="G1221" t="s">
        <v>4325</v>
      </c>
      <c r="H1221" s="1">
        <v>45819</v>
      </c>
      <c r="J1221" s="8">
        <v>45826</v>
      </c>
      <c r="K1221" s="1" t="s">
        <v>2872</v>
      </c>
      <c r="L1221" t="s">
        <v>4326</v>
      </c>
      <c r="M1221" t="s">
        <v>2718</v>
      </c>
      <c r="N1221" s="12">
        <v>5360000</v>
      </c>
      <c r="O1221" t="s">
        <v>3745</v>
      </c>
      <c r="P1221" s="6" t="s">
        <v>2277</v>
      </c>
      <c r="R1221" t="s">
        <v>38</v>
      </c>
      <c r="S1221" s="9">
        <v>2680</v>
      </c>
      <c r="T1221" s="9">
        <v>2000</v>
      </c>
      <c r="U1221" s="9">
        <v>5360000</v>
      </c>
      <c r="V1221" s="6" t="s">
        <v>251</v>
      </c>
      <c r="W1221" t="s">
        <v>252</v>
      </c>
      <c r="X1221">
        <v>5027262517</v>
      </c>
      <c r="Y1221">
        <v>502701001</v>
      </c>
      <c r="Z1221" s="3">
        <v>45826.68472222222</v>
      </c>
      <c r="AA1221" s="6">
        <v>2025</v>
      </c>
      <c r="AB1221" s="1">
        <v>45858</v>
      </c>
    </row>
    <row r="1222" spans="1:28" x14ac:dyDescent="0.3">
      <c r="A1222" t="s">
        <v>4327</v>
      </c>
      <c r="B1222" s="6" t="s">
        <v>2467</v>
      </c>
      <c r="C1222" s="6" t="s">
        <v>904</v>
      </c>
      <c r="D1222">
        <v>3525010519</v>
      </c>
      <c r="E1222">
        <v>352501001</v>
      </c>
      <c r="F1222" t="s">
        <v>94</v>
      </c>
      <c r="G1222" t="s">
        <v>4328</v>
      </c>
      <c r="H1222" s="1">
        <v>45819</v>
      </c>
      <c r="J1222" s="8">
        <v>45826</v>
      </c>
      <c r="K1222" s="1" t="s">
        <v>2872</v>
      </c>
      <c r="L1222" t="s">
        <v>4329</v>
      </c>
      <c r="M1222" t="s">
        <v>4330</v>
      </c>
      <c r="N1222" s="12">
        <v>5320000</v>
      </c>
      <c r="O1222" t="s">
        <v>3745</v>
      </c>
      <c r="P1222" s="6" t="s">
        <v>2277</v>
      </c>
      <c r="R1222" t="s">
        <v>38</v>
      </c>
      <c r="S1222" s="9">
        <v>2660</v>
      </c>
      <c r="T1222" s="9">
        <v>2000</v>
      </c>
      <c r="U1222" s="9">
        <v>5320000</v>
      </c>
      <c r="V1222" s="6" t="s">
        <v>2278</v>
      </c>
      <c r="W1222" t="s">
        <v>2279</v>
      </c>
      <c r="X1222">
        <v>5027080676</v>
      </c>
      <c r="Y1222">
        <v>502701001</v>
      </c>
      <c r="Z1222" s="3">
        <v>45826.680555555555</v>
      </c>
      <c r="AA1222" s="6">
        <v>2025</v>
      </c>
      <c r="AB1222" s="1">
        <v>45858</v>
      </c>
    </row>
    <row r="1223" spans="1:28" x14ac:dyDescent="0.3">
      <c r="A1223" t="s">
        <v>4331</v>
      </c>
      <c r="B1223" s="6" t="s">
        <v>2467</v>
      </c>
      <c r="C1223" s="6" t="s">
        <v>904</v>
      </c>
      <c r="D1223">
        <v>3525010519</v>
      </c>
      <c r="E1223">
        <v>352501001</v>
      </c>
      <c r="F1223" t="s">
        <v>94</v>
      </c>
      <c r="G1223" t="s">
        <v>4332</v>
      </c>
      <c r="H1223" s="1">
        <v>45819</v>
      </c>
      <c r="J1223" s="8">
        <v>45826</v>
      </c>
      <c r="K1223" s="1" t="s">
        <v>2872</v>
      </c>
      <c r="L1223" t="s">
        <v>4333</v>
      </c>
      <c r="M1223" t="s">
        <v>4334</v>
      </c>
      <c r="N1223" s="12">
        <v>5320000</v>
      </c>
      <c r="O1223" t="s">
        <v>3745</v>
      </c>
      <c r="P1223" s="6" t="s">
        <v>2277</v>
      </c>
      <c r="R1223" t="s">
        <v>38</v>
      </c>
      <c r="S1223" s="9">
        <v>2660</v>
      </c>
      <c r="T1223" s="9">
        <v>2000</v>
      </c>
      <c r="U1223" s="9">
        <v>5320000</v>
      </c>
      <c r="V1223" s="6" t="s">
        <v>2278</v>
      </c>
      <c r="W1223" t="s">
        <v>2279</v>
      </c>
      <c r="X1223">
        <v>5027080676</v>
      </c>
      <c r="Y1223">
        <v>502701001</v>
      </c>
      <c r="Z1223" s="3">
        <v>45826.67083333333</v>
      </c>
      <c r="AA1223" s="6">
        <v>2025</v>
      </c>
      <c r="AB1223" s="1">
        <v>45858</v>
      </c>
    </row>
    <row r="1224" spans="1:28" x14ac:dyDescent="0.3">
      <c r="A1224" t="s">
        <v>4335</v>
      </c>
      <c r="B1224" s="6" t="s">
        <v>4336</v>
      </c>
      <c r="C1224" s="6" t="s">
        <v>831</v>
      </c>
      <c r="D1224">
        <v>6163032850</v>
      </c>
      <c r="E1224">
        <v>616301001</v>
      </c>
      <c r="F1224" t="s">
        <v>52</v>
      </c>
      <c r="G1224" t="s">
        <v>4337</v>
      </c>
      <c r="H1224" s="1">
        <v>45814</v>
      </c>
      <c r="I1224" t="s">
        <v>4305</v>
      </c>
      <c r="J1224" s="8">
        <v>45826</v>
      </c>
      <c r="K1224" s="1" t="s">
        <v>2872</v>
      </c>
      <c r="L1224" t="s">
        <v>4338</v>
      </c>
      <c r="M1224" t="s">
        <v>4339</v>
      </c>
      <c r="N1224" s="12">
        <v>82009.95</v>
      </c>
      <c r="O1224" t="s">
        <v>4340</v>
      </c>
      <c r="P1224" s="6" t="s">
        <v>36</v>
      </c>
      <c r="R1224" t="s">
        <v>66</v>
      </c>
      <c r="S1224" s="9">
        <v>5467.33</v>
      </c>
      <c r="T1224" s="9">
        <v>15</v>
      </c>
      <c r="U1224" s="9">
        <v>82009.95</v>
      </c>
      <c r="V1224" s="6" t="s">
        <v>58</v>
      </c>
      <c r="W1224" t="s">
        <v>59</v>
      </c>
      <c r="X1224">
        <v>5262222144</v>
      </c>
      <c r="Y1224">
        <v>526001001</v>
      </c>
      <c r="Z1224" s="3">
        <v>45827.493750000001</v>
      </c>
      <c r="AA1224" s="6">
        <v>2025</v>
      </c>
      <c r="AB1224" s="1">
        <v>46001</v>
      </c>
    </row>
    <row r="1225" spans="1:28" x14ac:dyDescent="0.3">
      <c r="A1225" t="s">
        <v>4341</v>
      </c>
      <c r="B1225" s="6" t="s">
        <v>1145</v>
      </c>
      <c r="C1225" s="6" t="s">
        <v>1146</v>
      </c>
      <c r="D1225">
        <v>6501024966</v>
      </c>
      <c r="E1225">
        <v>650101001</v>
      </c>
      <c r="F1225" t="s">
        <v>52</v>
      </c>
      <c r="G1225" t="s">
        <v>4342</v>
      </c>
      <c r="H1225" s="1">
        <v>45814</v>
      </c>
      <c r="J1225" s="8">
        <v>45826</v>
      </c>
      <c r="K1225" s="1" t="s">
        <v>2872</v>
      </c>
      <c r="L1225" t="s">
        <v>4342</v>
      </c>
      <c r="M1225" t="s">
        <v>4343</v>
      </c>
      <c r="N1225" s="12">
        <v>759520</v>
      </c>
      <c r="O1225" t="s">
        <v>3633</v>
      </c>
      <c r="P1225" s="6" t="s">
        <v>36</v>
      </c>
      <c r="R1225" t="s">
        <v>38</v>
      </c>
      <c r="S1225" s="9">
        <v>4040</v>
      </c>
      <c r="T1225" s="9">
        <v>188</v>
      </c>
      <c r="U1225" s="9">
        <v>759520</v>
      </c>
      <c r="V1225" s="6" t="s">
        <v>111</v>
      </c>
      <c r="W1225" t="s">
        <v>59</v>
      </c>
      <c r="X1225">
        <v>5262258091</v>
      </c>
      <c r="Y1225">
        <v>526001001</v>
      </c>
      <c r="Z1225" s="3">
        <v>45831.497916666667</v>
      </c>
      <c r="AA1225" s="6">
        <v>2025</v>
      </c>
      <c r="AB1225" s="1">
        <v>45900</v>
      </c>
    </row>
    <row r="1226" spans="1:28" x14ac:dyDescent="0.3">
      <c r="A1226" t="s">
        <v>4344</v>
      </c>
      <c r="B1226" s="6" t="s">
        <v>245</v>
      </c>
      <c r="C1226" s="6" t="s">
        <v>246</v>
      </c>
      <c r="D1226">
        <v>7107006311</v>
      </c>
      <c r="E1226">
        <v>710701001</v>
      </c>
      <c r="F1226" t="s">
        <v>94</v>
      </c>
      <c r="G1226" t="s">
        <v>4345</v>
      </c>
      <c r="H1226" s="1">
        <v>45824</v>
      </c>
      <c r="J1226" s="8">
        <v>45827</v>
      </c>
      <c r="K1226" s="1" t="s">
        <v>2872</v>
      </c>
      <c r="L1226" t="s">
        <v>4346</v>
      </c>
      <c r="M1226" t="s">
        <v>4347</v>
      </c>
      <c r="N1226" s="12">
        <v>1275000</v>
      </c>
      <c r="O1226" t="s">
        <v>4348</v>
      </c>
      <c r="P1226" s="6" t="s">
        <v>2277</v>
      </c>
      <c r="R1226" t="s">
        <v>38</v>
      </c>
      <c r="S1226" s="9">
        <v>3400</v>
      </c>
      <c r="T1226" s="9">
        <v>375</v>
      </c>
      <c r="U1226" s="9">
        <v>1275000</v>
      </c>
      <c r="V1226" s="6" t="s">
        <v>251</v>
      </c>
      <c r="W1226" t="s">
        <v>252</v>
      </c>
      <c r="X1226">
        <v>5027262517</v>
      </c>
      <c r="Y1226">
        <v>502701001</v>
      </c>
      <c r="Z1226" s="3">
        <v>45827.73333333333</v>
      </c>
      <c r="AA1226" s="6">
        <v>2025</v>
      </c>
      <c r="AB1226" s="1">
        <v>45872</v>
      </c>
    </row>
    <row r="1227" spans="1:28" x14ac:dyDescent="0.3">
      <c r="A1227" t="s">
        <v>4349</v>
      </c>
      <c r="B1227" s="6" t="s">
        <v>2467</v>
      </c>
      <c r="C1227" s="6" t="s">
        <v>904</v>
      </c>
      <c r="D1227">
        <v>3525010519</v>
      </c>
      <c r="E1227">
        <v>352501001</v>
      </c>
      <c r="F1227" t="s">
        <v>94</v>
      </c>
      <c r="G1227" t="s">
        <v>4350</v>
      </c>
      <c r="H1227" s="1">
        <v>45824</v>
      </c>
      <c r="J1227" s="8">
        <v>45827</v>
      </c>
      <c r="K1227" s="1" t="s">
        <v>2872</v>
      </c>
      <c r="L1227" t="s">
        <v>4351</v>
      </c>
      <c r="M1227" t="s">
        <v>4352</v>
      </c>
      <c r="N1227" s="12">
        <v>960000</v>
      </c>
      <c r="O1227" t="s">
        <v>3745</v>
      </c>
      <c r="P1227" s="6" t="s">
        <v>2277</v>
      </c>
      <c r="R1227" t="s">
        <v>38</v>
      </c>
      <c r="S1227" s="9">
        <v>3200</v>
      </c>
      <c r="T1227" s="9">
        <v>300</v>
      </c>
      <c r="U1227" s="9">
        <v>960000</v>
      </c>
      <c r="V1227" s="6" t="s">
        <v>251</v>
      </c>
      <c r="W1227" t="s">
        <v>252</v>
      </c>
      <c r="X1227">
        <v>5027262517</v>
      </c>
      <c r="Y1227">
        <v>502701001</v>
      </c>
      <c r="Z1227" s="3">
        <v>45827.677777777775</v>
      </c>
      <c r="AA1227" s="6">
        <v>2025</v>
      </c>
      <c r="AB1227" s="1">
        <v>45859</v>
      </c>
    </row>
    <row r="1228" spans="1:28" x14ac:dyDescent="0.3">
      <c r="A1228" t="s">
        <v>4353</v>
      </c>
      <c r="B1228" s="6" t="s">
        <v>2467</v>
      </c>
      <c r="C1228" s="6" t="s">
        <v>904</v>
      </c>
      <c r="D1228">
        <v>3525010519</v>
      </c>
      <c r="E1228">
        <v>352501001</v>
      </c>
      <c r="F1228" t="s">
        <v>94</v>
      </c>
      <c r="G1228" t="s">
        <v>4354</v>
      </c>
      <c r="H1228" s="1">
        <v>45824</v>
      </c>
      <c r="J1228" s="8">
        <v>45827</v>
      </c>
      <c r="K1228" s="1" t="s">
        <v>2872</v>
      </c>
      <c r="L1228" t="s">
        <v>4355</v>
      </c>
      <c r="M1228" t="s">
        <v>4356</v>
      </c>
      <c r="N1228" s="12">
        <v>320000</v>
      </c>
      <c r="O1228" t="s">
        <v>3745</v>
      </c>
      <c r="P1228" s="6" t="s">
        <v>2277</v>
      </c>
      <c r="R1228" t="s">
        <v>38</v>
      </c>
      <c r="S1228" s="9">
        <v>3200</v>
      </c>
      <c r="T1228" s="9">
        <v>100</v>
      </c>
      <c r="U1228" s="9">
        <v>320000</v>
      </c>
      <c r="V1228" s="6" t="s">
        <v>2278</v>
      </c>
      <c r="W1228" t="s">
        <v>2279</v>
      </c>
      <c r="X1228">
        <v>5027080676</v>
      </c>
      <c r="Y1228">
        <v>502701001</v>
      </c>
      <c r="Z1228" s="3">
        <v>45827.637499999997</v>
      </c>
      <c r="AA1228" s="6">
        <v>2025</v>
      </c>
      <c r="AB1228" s="1">
        <v>45859</v>
      </c>
    </row>
    <row r="1229" spans="1:28" x14ac:dyDescent="0.3">
      <c r="A1229" t="s">
        <v>4357</v>
      </c>
      <c r="B1229" s="6" t="s">
        <v>42</v>
      </c>
      <c r="C1229" s="6" t="s">
        <v>43</v>
      </c>
      <c r="D1229">
        <v>5609027223</v>
      </c>
      <c r="E1229">
        <v>560901001</v>
      </c>
      <c r="F1229" t="s">
        <v>44</v>
      </c>
      <c r="G1229">
        <v>32514946106</v>
      </c>
      <c r="H1229" s="1">
        <v>45827</v>
      </c>
      <c r="I1229" t="s">
        <v>4358</v>
      </c>
      <c r="J1229" s="8">
        <v>45827</v>
      </c>
      <c r="K1229" s="1" t="s">
        <v>2872</v>
      </c>
      <c r="L1229" t="s">
        <v>4359</v>
      </c>
      <c r="M1229" t="s">
        <v>4360</v>
      </c>
      <c r="N1229" s="12">
        <v>1478100</v>
      </c>
      <c r="O1229" t="s">
        <v>4358</v>
      </c>
      <c r="P1229" s="6" t="s">
        <v>36</v>
      </c>
      <c r="R1229" t="s">
        <v>48</v>
      </c>
      <c r="S1229" s="9">
        <v>3900</v>
      </c>
      <c r="T1229" s="9">
        <v>379</v>
      </c>
      <c r="U1229" s="9">
        <v>1478100</v>
      </c>
      <c r="W1229" t="s">
        <v>40</v>
      </c>
      <c r="AA1229" s="6">
        <v>2025</v>
      </c>
    </row>
    <row r="1230" spans="1:28" x14ac:dyDescent="0.3">
      <c r="A1230" t="s">
        <v>4361</v>
      </c>
      <c r="B1230" s="6" t="s">
        <v>42</v>
      </c>
      <c r="C1230" s="6" t="s">
        <v>43</v>
      </c>
      <c r="D1230">
        <v>5609027223</v>
      </c>
      <c r="E1230">
        <v>560901001</v>
      </c>
      <c r="F1230" t="s">
        <v>44</v>
      </c>
      <c r="G1230">
        <v>32514949693</v>
      </c>
      <c r="H1230" s="1">
        <v>45827</v>
      </c>
      <c r="I1230" t="s">
        <v>4358</v>
      </c>
      <c r="J1230" s="8">
        <v>45827</v>
      </c>
      <c r="K1230" s="1" t="s">
        <v>2872</v>
      </c>
      <c r="L1230" t="s">
        <v>4362</v>
      </c>
      <c r="M1230" t="s">
        <v>4360</v>
      </c>
      <c r="N1230" s="12">
        <v>1478100</v>
      </c>
      <c r="O1230" t="s">
        <v>4358</v>
      </c>
      <c r="P1230" s="6" t="s">
        <v>36</v>
      </c>
      <c r="R1230" t="s">
        <v>48</v>
      </c>
      <c r="S1230" s="9">
        <v>3900</v>
      </c>
      <c r="T1230" s="9">
        <v>379</v>
      </c>
      <c r="U1230" s="9">
        <v>1478100</v>
      </c>
      <c r="W1230" t="s">
        <v>40</v>
      </c>
      <c r="AA1230" s="6">
        <v>2025</v>
      </c>
    </row>
    <row r="1231" spans="1:28" x14ac:dyDescent="0.3">
      <c r="A1231" t="s">
        <v>4363</v>
      </c>
      <c r="B1231" s="6" t="s">
        <v>42</v>
      </c>
      <c r="C1231" s="6" t="s">
        <v>43</v>
      </c>
      <c r="D1231">
        <v>5609027223</v>
      </c>
      <c r="E1231">
        <v>560901001</v>
      </c>
      <c r="F1231" t="s">
        <v>44</v>
      </c>
      <c r="G1231">
        <v>32514949901</v>
      </c>
      <c r="H1231" s="1">
        <v>45827</v>
      </c>
      <c r="I1231" t="s">
        <v>4358</v>
      </c>
      <c r="J1231" s="8">
        <v>45827</v>
      </c>
      <c r="K1231" s="1" t="s">
        <v>2872</v>
      </c>
      <c r="L1231" t="s">
        <v>4364</v>
      </c>
      <c r="M1231" t="s">
        <v>4360</v>
      </c>
      <c r="N1231" s="12">
        <v>1478100</v>
      </c>
      <c r="O1231" t="s">
        <v>4358</v>
      </c>
      <c r="P1231" s="6" t="s">
        <v>36</v>
      </c>
      <c r="R1231" t="s">
        <v>48</v>
      </c>
      <c r="S1231" s="9">
        <v>3900</v>
      </c>
      <c r="T1231" s="9">
        <v>379</v>
      </c>
      <c r="U1231" s="9">
        <v>1478100</v>
      </c>
      <c r="W1231" t="s">
        <v>40</v>
      </c>
      <c r="AA1231" s="6">
        <v>2025</v>
      </c>
    </row>
    <row r="1232" spans="1:28" x14ac:dyDescent="0.3">
      <c r="A1232" t="s">
        <v>4365</v>
      </c>
      <c r="B1232" s="6" t="s">
        <v>42</v>
      </c>
      <c r="C1232" s="6" t="s">
        <v>43</v>
      </c>
      <c r="D1232">
        <v>5609027223</v>
      </c>
      <c r="E1232">
        <v>560901001</v>
      </c>
      <c r="F1232" t="s">
        <v>44</v>
      </c>
      <c r="G1232">
        <v>32514955284</v>
      </c>
      <c r="H1232" s="1">
        <v>45827</v>
      </c>
      <c r="I1232" t="s">
        <v>4358</v>
      </c>
      <c r="J1232" s="8">
        <v>45827</v>
      </c>
      <c r="K1232" s="1" t="s">
        <v>2872</v>
      </c>
      <c r="L1232" t="s">
        <v>4366</v>
      </c>
      <c r="M1232" t="s">
        <v>4360</v>
      </c>
      <c r="N1232" s="12">
        <v>1478100</v>
      </c>
      <c r="O1232" t="s">
        <v>4358</v>
      </c>
      <c r="P1232" s="6" t="s">
        <v>36</v>
      </c>
      <c r="R1232" t="s">
        <v>48</v>
      </c>
      <c r="S1232" s="9">
        <v>3900</v>
      </c>
      <c r="T1232" s="9">
        <v>379</v>
      </c>
      <c r="U1232" s="9">
        <v>1478100</v>
      </c>
      <c r="W1232" t="s">
        <v>40</v>
      </c>
      <c r="AA1232" s="6">
        <v>2025</v>
      </c>
    </row>
    <row r="1233" spans="1:28" x14ac:dyDescent="0.3">
      <c r="A1233" t="s">
        <v>4367</v>
      </c>
      <c r="B1233" s="6" t="s">
        <v>42</v>
      </c>
      <c r="C1233" s="6" t="s">
        <v>43</v>
      </c>
      <c r="D1233">
        <v>5609027223</v>
      </c>
      <c r="E1233">
        <v>560901001</v>
      </c>
      <c r="F1233" t="s">
        <v>44</v>
      </c>
      <c r="G1233">
        <v>32514955538</v>
      </c>
      <c r="H1233" s="1">
        <v>45827</v>
      </c>
      <c r="I1233" t="s">
        <v>4358</v>
      </c>
      <c r="J1233" s="8">
        <v>45827</v>
      </c>
      <c r="K1233" s="1" t="s">
        <v>2872</v>
      </c>
      <c r="L1233" t="s">
        <v>4368</v>
      </c>
      <c r="M1233" t="s">
        <v>4360</v>
      </c>
      <c r="N1233" s="12">
        <v>1025700</v>
      </c>
      <c r="O1233" t="s">
        <v>4358</v>
      </c>
      <c r="P1233" s="6" t="s">
        <v>36</v>
      </c>
      <c r="R1233" t="s">
        <v>48</v>
      </c>
      <c r="S1233" s="9">
        <v>3900</v>
      </c>
      <c r="T1233" s="9">
        <v>263</v>
      </c>
      <c r="U1233" s="9">
        <v>1025700</v>
      </c>
      <c r="W1233" t="s">
        <v>40</v>
      </c>
      <c r="AA1233" s="6">
        <v>2025</v>
      </c>
    </row>
    <row r="1234" spans="1:28" x14ac:dyDescent="0.3">
      <c r="A1234" s="4" t="s">
        <v>4369</v>
      </c>
      <c r="B1234" s="6" t="s">
        <v>121</v>
      </c>
      <c r="C1234" s="6" t="s">
        <v>122</v>
      </c>
      <c r="D1234">
        <v>5402155123</v>
      </c>
      <c r="E1234">
        <v>540201001</v>
      </c>
      <c r="F1234" t="s">
        <v>52</v>
      </c>
      <c r="G1234" t="s">
        <v>4370</v>
      </c>
      <c r="H1234" s="1">
        <v>45814</v>
      </c>
      <c r="I1234" t="s">
        <v>4305</v>
      </c>
      <c r="J1234" s="8">
        <v>45827</v>
      </c>
      <c r="K1234" s="1" t="s">
        <v>2872</v>
      </c>
      <c r="L1234" t="s">
        <v>4371</v>
      </c>
      <c r="M1234" t="s">
        <v>4372</v>
      </c>
      <c r="N1234" s="12">
        <v>4960800</v>
      </c>
      <c r="O1234" t="s">
        <v>3672</v>
      </c>
      <c r="P1234" s="6" t="s">
        <v>36</v>
      </c>
      <c r="R1234" t="s">
        <v>48</v>
      </c>
      <c r="S1234" s="9">
        <v>5200</v>
      </c>
      <c r="T1234" s="9">
        <v>954</v>
      </c>
      <c r="U1234" s="9">
        <v>4960800</v>
      </c>
      <c r="V1234" s="6" t="s">
        <v>1594</v>
      </c>
      <c r="W1234" t="s">
        <v>59</v>
      </c>
      <c r="X1234">
        <v>7716871971</v>
      </c>
      <c r="Y1234">
        <v>450001001</v>
      </c>
      <c r="Z1234" s="3">
        <v>45828.452777777777</v>
      </c>
      <c r="AA1234" s="6">
        <v>2025</v>
      </c>
      <c r="AB1234" s="1">
        <v>45991</v>
      </c>
    </row>
    <row r="1235" spans="1:28" x14ac:dyDescent="0.3">
      <c r="A1235" t="s">
        <v>4373</v>
      </c>
      <c r="B1235" s="6" t="s">
        <v>842</v>
      </c>
      <c r="C1235" s="6" t="s">
        <v>843</v>
      </c>
      <c r="D1235">
        <v>2128015420</v>
      </c>
      <c r="E1235">
        <v>213001001</v>
      </c>
      <c r="F1235" t="s">
        <v>52</v>
      </c>
      <c r="G1235" t="s">
        <v>4374</v>
      </c>
      <c r="H1235" s="1">
        <v>45817</v>
      </c>
      <c r="J1235" s="8">
        <v>45828</v>
      </c>
      <c r="K1235" s="1" t="s">
        <v>2872</v>
      </c>
      <c r="L1235" t="s">
        <v>4375</v>
      </c>
      <c r="M1235" t="s">
        <v>4376</v>
      </c>
      <c r="N1235" s="12">
        <v>976800</v>
      </c>
      <c r="O1235" t="s">
        <v>3613</v>
      </c>
      <c r="P1235" s="6" t="s">
        <v>3758</v>
      </c>
      <c r="Q1235" t="s">
        <v>37</v>
      </c>
      <c r="R1235" t="s">
        <v>38</v>
      </c>
      <c r="S1235" s="9">
        <v>3700</v>
      </c>
      <c r="T1235" s="9">
        <v>264</v>
      </c>
      <c r="U1235" s="9">
        <v>976800</v>
      </c>
      <c r="V1235" s="6" t="s">
        <v>90</v>
      </c>
      <c r="W1235" t="s">
        <v>59</v>
      </c>
      <c r="X1235">
        <v>5259153331</v>
      </c>
      <c r="Y1235">
        <v>525901001</v>
      </c>
      <c r="Z1235" s="3">
        <v>45831.5625</v>
      </c>
      <c r="AA1235" s="6">
        <v>2025</v>
      </c>
      <c r="AB1235" s="1">
        <v>45862</v>
      </c>
    </row>
    <row r="1236" spans="1:28" x14ac:dyDescent="0.3">
      <c r="A1236" s="4" t="s">
        <v>4377</v>
      </c>
      <c r="B1236" s="6" t="s">
        <v>2227</v>
      </c>
      <c r="C1236" s="6" t="s">
        <v>395</v>
      </c>
      <c r="D1236">
        <v>7202070194</v>
      </c>
      <c r="E1236">
        <v>720301001</v>
      </c>
      <c r="F1236" t="s">
        <v>52</v>
      </c>
      <c r="G1236" t="s">
        <v>4378</v>
      </c>
      <c r="H1236" s="1">
        <v>45817</v>
      </c>
      <c r="I1236" t="s">
        <v>4379</v>
      </c>
      <c r="J1236" s="8">
        <v>45828</v>
      </c>
      <c r="K1236" s="1" t="s">
        <v>2872</v>
      </c>
      <c r="L1236" t="s">
        <v>4380</v>
      </c>
      <c r="M1236" t="s">
        <v>3714</v>
      </c>
      <c r="N1236" s="12">
        <v>58788082.5</v>
      </c>
      <c r="O1236" t="s">
        <v>4036</v>
      </c>
      <c r="P1236" s="6" t="s">
        <v>2941</v>
      </c>
      <c r="R1236" t="s">
        <v>38</v>
      </c>
      <c r="S1236" s="9">
        <v>5074.5</v>
      </c>
      <c r="T1236" s="9">
        <v>11585</v>
      </c>
      <c r="U1236" s="9">
        <v>58788082.5</v>
      </c>
      <c r="V1236" s="6" t="s">
        <v>90</v>
      </c>
      <c r="W1236" t="s">
        <v>59</v>
      </c>
      <c r="X1236">
        <v>5259153331</v>
      </c>
      <c r="Y1236">
        <v>525901001</v>
      </c>
      <c r="Z1236" s="3">
        <v>45828.29791666667</v>
      </c>
      <c r="AA1236" s="6">
        <v>2025</v>
      </c>
      <c r="AB1236" s="1">
        <v>46022</v>
      </c>
    </row>
    <row r="1237" spans="1:28" x14ac:dyDescent="0.3">
      <c r="A1237" t="s">
        <v>4381</v>
      </c>
      <c r="B1237" s="6" t="s">
        <v>245</v>
      </c>
      <c r="C1237" s="6" t="s">
        <v>246</v>
      </c>
      <c r="D1237">
        <v>7107006311</v>
      </c>
      <c r="E1237">
        <v>710701001</v>
      </c>
      <c r="F1237" t="s">
        <v>94</v>
      </c>
      <c r="G1237" t="s">
        <v>4382</v>
      </c>
      <c r="H1237" s="1">
        <v>45825</v>
      </c>
      <c r="J1237" s="8">
        <v>45828</v>
      </c>
      <c r="K1237" s="1" t="s">
        <v>2872</v>
      </c>
      <c r="L1237" t="s">
        <v>4383</v>
      </c>
      <c r="M1237" t="s">
        <v>4347</v>
      </c>
      <c r="N1237" s="12">
        <v>4160000</v>
      </c>
      <c r="O1237" t="s">
        <v>3745</v>
      </c>
      <c r="P1237" s="6" t="s">
        <v>2277</v>
      </c>
      <c r="R1237" t="s">
        <v>38</v>
      </c>
      <c r="S1237" s="9">
        <v>3200</v>
      </c>
      <c r="T1237" s="9">
        <v>1300</v>
      </c>
      <c r="U1237" s="9">
        <v>4160000</v>
      </c>
      <c r="V1237" s="6" t="s">
        <v>251</v>
      </c>
      <c r="W1237" t="s">
        <v>252</v>
      </c>
      <c r="X1237">
        <v>5027262517</v>
      </c>
      <c r="Y1237">
        <v>502701001</v>
      </c>
      <c r="Z1237" s="3">
        <v>45828.601388888892</v>
      </c>
      <c r="AA1237" s="6">
        <v>2025</v>
      </c>
      <c r="AB1237" s="1">
        <v>45873</v>
      </c>
    </row>
    <row r="1238" spans="1:28" x14ac:dyDescent="0.3">
      <c r="A1238" t="s">
        <v>4384</v>
      </c>
      <c r="B1238" s="6" t="s">
        <v>830</v>
      </c>
      <c r="C1238" s="6" t="s">
        <v>831</v>
      </c>
      <c r="D1238">
        <v>6163049814</v>
      </c>
      <c r="E1238">
        <v>616601001</v>
      </c>
      <c r="F1238" t="s">
        <v>52</v>
      </c>
      <c r="G1238" t="s">
        <v>4385</v>
      </c>
      <c r="H1238" s="1">
        <v>45819</v>
      </c>
      <c r="J1238" s="8">
        <v>45831</v>
      </c>
      <c r="K1238" s="1" t="s">
        <v>2872</v>
      </c>
      <c r="L1238" t="s">
        <v>4386</v>
      </c>
      <c r="M1238" t="s">
        <v>4387</v>
      </c>
      <c r="N1238" s="12">
        <v>69863126.200000003</v>
      </c>
      <c r="O1238" t="s">
        <v>3613</v>
      </c>
      <c r="P1238" s="6" t="s">
        <v>3758</v>
      </c>
      <c r="Q1238" t="s">
        <v>3258</v>
      </c>
      <c r="R1238" t="s">
        <v>38</v>
      </c>
      <c r="S1238" s="9">
        <v>3851.33</v>
      </c>
      <c r="T1238" s="9">
        <v>3460</v>
      </c>
      <c r="U1238" s="9">
        <v>13325601.800000001</v>
      </c>
      <c r="V1238" s="6" t="s">
        <v>90</v>
      </c>
      <c r="W1238" t="s">
        <v>59</v>
      </c>
      <c r="X1238">
        <v>5259153331</v>
      </c>
      <c r="Y1238">
        <v>525901001</v>
      </c>
      <c r="Z1238" s="3">
        <v>45834.405555555553</v>
      </c>
      <c r="AA1238" s="6">
        <v>2025</v>
      </c>
      <c r="AB1238" s="1">
        <v>45924</v>
      </c>
    </row>
    <row r="1239" spans="1:28" x14ac:dyDescent="0.3">
      <c r="A1239" t="s">
        <v>4388</v>
      </c>
      <c r="B1239" s="6" t="s">
        <v>981</v>
      </c>
      <c r="C1239" s="6" t="s">
        <v>164</v>
      </c>
      <c r="D1239">
        <v>7704014010</v>
      </c>
      <c r="E1239">
        <v>770401001</v>
      </c>
      <c r="F1239" t="s">
        <v>149</v>
      </c>
      <c r="G1239" t="s">
        <v>4389</v>
      </c>
      <c r="H1239" s="1">
        <v>45826</v>
      </c>
      <c r="I1239" t="s">
        <v>4390</v>
      </c>
      <c r="J1239" s="8">
        <v>45831</v>
      </c>
      <c r="K1239" s="1" t="s">
        <v>2872</v>
      </c>
      <c r="L1239" t="s">
        <v>4391</v>
      </c>
      <c r="M1239" t="s">
        <v>377</v>
      </c>
      <c r="N1239" s="12">
        <v>171500</v>
      </c>
      <c r="O1239" t="s">
        <v>4392</v>
      </c>
      <c r="P1239" s="6" t="s">
        <v>36</v>
      </c>
      <c r="R1239" t="s">
        <v>38</v>
      </c>
      <c r="S1239" s="9">
        <v>4900</v>
      </c>
      <c r="T1239" s="9">
        <v>35</v>
      </c>
      <c r="U1239" s="9">
        <v>171500</v>
      </c>
      <c r="V1239" s="6" t="s">
        <v>58</v>
      </c>
      <c r="W1239" t="s">
        <v>59</v>
      </c>
      <c r="X1239">
        <v>5262222144</v>
      </c>
      <c r="Y1239">
        <v>526001001</v>
      </c>
      <c r="Z1239" s="3">
        <v>45831.466666666667</v>
      </c>
      <c r="AA1239" s="6">
        <v>2025</v>
      </c>
      <c r="AB1239" s="1">
        <v>46053</v>
      </c>
    </row>
    <row r="1240" spans="1:28" x14ac:dyDescent="0.3">
      <c r="A1240" t="s">
        <v>4384</v>
      </c>
      <c r="B1240" s="6" t="s">
        <v>830</v>
      </c>
      <c r="C1240" s="6" t="s">
        <v>831</v>
      </c>
      <c r="D1240">
        <v>6163049814</v>
      </c>
      <c r="E1240">
        <v>616601001</v>
      </c>
      <c r="F1240" t="s">
        <v>52</v>
      </c>
      <c r="G1240" t="s">
        <v>4385</v>
      </c>
      <c r="H1240" s="1">
        <v>45819</v>
      </c>
      <c r="J1240" s="8">
        <v>45831</v>
      </c>
      <c r="K1240" s="1" t="s">
        <v>2872</v>
      </c>
      <c r="L1240" t="s">
        <v>4386</v>
      </c>
      <c r="M1240" t="s">
        <v>4387</v>
      </c>
      <c r="N1240" s="12">
        <v>69863126.200000003</v>
      </c>
      <c r="O1240" t="s">
        <v>4036</v>
      </c>
      <c r="P1240" s="6" t="s">
        <v>2941</v>
      </c>
      <c r="Q1240" t="s">
        <v>3258</v>
      </c>
      <c r="R1240" t="s">
        <v>38</v>
      </c>
      <c r="S1240" s="9">
        <v>3851.33</v>
      </c>
      <c r="T1240" s="9">
        <v>12680</v>
      </c>
      <c r="U1240" s="9">
        <v>48834864.399999999</v>
      </c>
      <c r="V1240" s="6" t="s">
        <v>90</v>
      </c>
      <c r="W1240" t="s">
        <v>59</v>
      </c>
      <c r="X1240">
        <v>5259153331</v>
      </c>
      <c r="Y1240">
        <v>525901001</v>
      </c>
      <c r="Z1240" s="3">
        <v>45834.405555555553</v>
      </c>
      <c r="AA1240" s="6">
        <v>2025</v>
      </c>
      <c r="AB1240" s="1">
        <v>45924</v>
      </c>
    </row>
    <row r="1241" spans="1:28" x14ac:dyDescent="0.3">
      <c r="A1241" t="s">
        <v>4384</v>
      </c>
      <c r="B1241" s="6" t="s">
        <v>830</v>
      </c>
      <c r="C1241" s="6" t="s">
        <v>831</v>
      </c>
      <c r="D1241">
        <v>6163049814</v>
      </c>
      <c r="E1241">
        <v>616601001</v>
      </c>
      <c r="F1241" t="s">
        <v>52</v>
      </c>
      <c r="G1241" t="s">
        <v>4385</v>
      </c>
      <c r="H1241" s="1">
        <v>45819</v>
      </c>
      <c r="J1241" s="8">
        <v>45831</v>
      </c>
      <c r="K1241" s="1" t="s">
        <v>2872</v>
      </c>
      <c r="L1241" t="s">
        <v>4386</v>
      </c>
      <c r="M1241" t="s">
        <v>4387</v>
      </c>
      <c r="N1241" s="12">
        <v>69863126.200000003</v>
      </c>
      <c r="O1241" t="s">
        <v>3648</v>
      </c>
      <c r="P1241" s="6" t="s">
        <v>2277</v>
      </c>
      <c r="Q1241" t="s">
        <v>3258</v>
      </c>
      <c r="R1241" t="s">
        <v>38</v>
      </c>
      <c r="S1241" s="9">
        <v>3851.33</v>
      </c>
      <c r="T1241" s="9">
        <v>2000</v>
      </c>
      <c r="U1241" s="9">
        <v>7702660</v>
      </c>
      <c r="V1241" s="6" t="s">
        <v>90</v>
      </c>
      <c r="W1241" t="s">
        <v>59</v>
      </c>
      <c r="X1241">
        <v>5259153331</v>
      </c>
      <c r="Y1241">
        <v>525901001</v>
      </c>
      <c r="Z1241" s="3">
        <v>45834.405555555553</v>
      </c>
      <c r="AA1241" s="6">
        <v>2025</v>
      </c>
      <c r="AB1241" s="1">
        <v>45924</v>
      </c>
    </row>
    <row r="1242" spans="1:28" x14ac:dyDescent="0.3">
      <c r="A1242" t="s">
        <v>4393</v>
      </c>
      <c r="B1242" s="6" t="s">
        <v>830</v>
      </c>
      <c r="C1242" s="6" t="s">
        <v>831</v>
      </c>
      <c r="D1242">
        <v>6163049814</v>
      </c>
      <c r="E1242">
        <v>616601001</v>
      </c>
      <c r="F1242" t="s">
        <v>52</v>
      </c>
      <c r="G1242" t="s">
        <v>4394</v>
      </c>
      <c r="H1242" s="1">
        <v>45819</v>
      </c>
      <c r="J1242" s="8">
        <v>45831</v>
      </c>
      <c r="K1242" s="1" t="s">
        <v>2872</v>
      </c>
      <c r="L1242" t="s">
        <v>4395</v>
      </c>
      <c r="M1242" t="s">
        <v>4387</v>
      </c>
      <c r="N1242" s="12">
        <v>31885161.07</v>
      </c>
      <c r="O1242" t="s">
        <v>3633</v>
      </c>
      <c r="P1242" s="6" t="s">
        <v>36</v>
      </c>
      <c r="R1242" t="s">
        <v>38</v>
      </c>
      <c r="S1242" s="9">
        <v>3851.33</v>
      </c>
      <c r="T1242" s="9">
        <v>8279</v>
      </c>
      <c r="U1242" s="9">
        <v>31885161.07</v>
      </c>
      <c r="V1242" s="6" t="s">
        <v>58</v>
      </c>
      <c r="W1242" t="s">
        <v>59</v>
      </c>
      <c r="X1242">
        <v>5262222144</v>
      </c>
      <c r="Y1242">
        <v>526001001</v>
      </c>
      <c r="Z1242" s="3">
        <v>45834.404166666667</v>
      </c>
      <c r="AA1242" s="6">
        <v>2025</v>
      </c>
      <c r="AB1242" s="1">
        <v>45924</v>
      </c>
    </row>
    <row r="1243" spans="1:28" x14ac:dyDescent="0.3">
      <c r="A1243" t="s">
        <v>4396</v>
      </c>
      <c r="B1243" s="6" t="s">
        <v>4397</v>
      </c>
      <c r="C1243" s="6" t="s">
        <v>2548</v>
      </c>
      <c r="D1243">
        <v>4443021350</v>
      </c>
      <c r="E1243">
        <v>440101001</v>
      </c>
      <c r="F1243" t="s">
        <v>149</v>
      </c>
      <c r="G1243" t="s">
        <v>4398</v>
      </c>
      <c r="H1243" s="1">
        <v>45827</v>
      </c>
      <c r="J1243" s="8">
        <v>45832</v>
      </c>
      <c r="K1243" s="1" t="s">
        <v>2872</v>
      </c>
      <c r="L1243" t="s">
        <v>4399</v>
      </c>
      <c r="M1243" t="s">
        <v>377</v>
      </c>
      <c r="N1243" s="12">
        <v>4557000</v>
      </c>
      <c r="O1243" t="s">
        <v>3613</v>
      </c>
      <c r="P1243" s="6" t="s">
        <v>36</v>
      </c>
      <c r="R1243" t="s">
        <v>38</v>
      </c>
      <c r="S1243" s="9">
        <v>4200</v>
      </c>
      <c r="T1243" s="9">
        <v>1085</v>
      </c>
      <c r="U1243" s="9">
        <v>4557000</v>
      </c>
      <c r="V1243" s="6" t="s">
        <v>39</v>
      </c>
      <c r="W1243" t="s">
        <v>40</v>
      </c>
      <c r="X1243">
        <v>7810687137</v>
      </c>
      <c r="Y1243">
        <v>781401001</v>
      </c>
      <c r="Z1243" s="3">
        <v>45832.40347222222</v>
      </c>
      <c r="AA1243" s="6">
        <v>2025</v>
      </c>
      <c r="AB1243" s="1">
        <v>46022</v>
      </c>
    </row>
    <row r="1244" spans="1:28" x14ac:dyDescent="0.3">
      <c r="A1244" t="s">
        <v>4400</v>
      </c>
      <c r="B1244" s="6" t="s">
        <v>4397</v>
      </c>
      <c r="C1244" s="6" t="s">
        <v>2548</v>
      </c>
      <c r="D1244">
        <v>4443021350</v>
      </c>
      <c r="E1244">
        <v>440101001</v>
      </c>
      <c r="F1244" t="s">
        <v>149</v>
      </c>
      <c r="G1244" t="s">
        <v>4401</v>
      </c>
      <c r="H1244" s="1">
        <v>45827</v>
      </c>
      <c r="J1244" s="8">
        <v>45832</v>
      </c>
      <c r="K1244" s="1" t="s">
        <v>2872</v>
      </c>
      <c r="L1244" t="s">
        <v>4402</v>
      </c>
      <c r="M1244" t="s">
        <v>377</v>
      </c>
      <c r="N1244" s="12">
        <v>4998000</v>
      </c>
      <c r="O1244" t="s">
        <v>3613</v>
      </c>
      <c r="P1244" s="6" t="s">
        <v>36</v>
      </c>
      <c r="R1244" t="s">
        <v>38</v>
      </c>
      <c r="S1244" s="9">
        <v>4200</v>
      </c>
      <c r="T1244" s="9">
        <v>1190</v>
      </c>
      <c r="U1244" s="9">
        <v>4998000</v>
      </c>
      <c r="V1244" s="6" t="s">
        <v>39</v>
      </c>
      <c r="W1244" t="s">
        <v>40</v>
      </c>
      <c r="X1244">
        <v>7810687137</v>
      </c>
      <c r="Y1244">
        <v>781401001</v>
      </c>
      <c r="Z1244" s="3">
        <v>45832.402083333334</v>
      </c>
      <c r="AA1244" s="6">
        <v>2025</v>
      </c>
      <c r="AB1244" s="1">
        <v>46022</v>
      </c>
    </row>
    <row r="1245" spans="1:28" x14ac:dyDescent="0.3">
      <c r="A1245" t="s">
        <v>4403</v>
      </c>
      <c r="B1245" s="6" t="s">
        <v>4397</v>
      </c>
      <c r="C1245" s="6" t="s">
        <v>2548</v>
      </c>
      <c r="D1245">
        <v>4443021350</v>
      </c>
      <c r="E1245">
        <v>440101001</v>
      </c>
      <c r="F1245" t="s">
        <v>149</v>
      </c>
      <c r="G1245" t="s">
        <v>4404</v>
      </c>
      <c r="H1245" s="1">
        <v>45827</v>
      </c>
      <c r="J1245" s="8">
        <v>45832</v>
      </c>
      <c r="K1245" s="1" t="s">
        <v>2872</v>
      </c>
      <c r="L1245" t="s">
        <v>4405</v>
      </c>
      <c r="M1245" t="s">
        <v>377</v>
      </c>
      <c r="N1245" s="12">
        <v>4998000</v>
      </c>
      <c r="O1245" t="s">
        <v>3613</v>
      </c>
      <c r="P1245" s="6" t="s">
        <v>36</v>
      </c>
      <c r="R1245" t="s">
        <v>38</v>
      </c>
      <c r="S1245" s="9">
        <v>4200</v>
      </c>
      <c r="T1245" s="9">
        <v>1190</v>
      </c>
      <c r="U1245" s="9">
        <v>4998000</v>
      </c>
      <c r="V1245" s="6" t="s">
        <v>39</v>
      </c>
      <c r="W1245" t="s">
        <v>40</v>
      </c>
      <c r="X1245">
        <v>7810687137</v>
      </c>
      <c r="Y1245">
        <v>781401001</v>
      </c>
      <c r="Z1245" s="3">
        <v>45832.399305555555</v>
      </c>
      <c r="AA1245" s="6">
        <v>2025</v>
      </c>
      <c r="AB1245" s="1">
        <v>46022</v>
      </c>
    </row>
    <row r="1246" spans="1:28" x14ac:dyDescent="0.3">
      <c r="A1246" t="s">
        <v>4406</v>
      </c>
      <c r="B1246" s="6" t="s">
        <v>4397</v>
      </c>
      <c r="C1246" s="6" t="s">
        <v>2548</v>
      </c>
      <c r="D1246">
        <v>4443021350</v>
      </c>
      <c r="E1246">
        <v>440101001</v>
      </c>
      <c r="F1246" t="s">
        <v>149</v>
      </c>
      <c r="G1246" t="s">
        <v>4407</v>
      </c>
      <c r="H1246" s="1">
        <v>45827</v>
      </c>
      <c r="J1246" s="8">
        <v>45832</v>
      </c>
      <c r="K1246" s="1" t="s">
        <v>2872</v>
      </c>
      <c r="L1246" t="s">
        <v>4408</v>
      </c>
      <c r="M1246" t="s">
        <v>377</v>
      </c>
      <c r="N1246" s="12">
        <v>4998000</v>
      </c>
      <c r="O1246" t="s">
        <v>3613</v>
      </c>
      <c r="P1246" s="6" t="s">
        <v>36</v>
      </c>
      <c r="R1246" t="s">
        <v>38</v>
      </c>
      <c r="S1246" s="9">
        <v>4200</v>
      </c>
      <c r="T1246" s="9">
        <v>1190</v>
      </c>
      <c r="U1246" s="9">
        <v>4998000</v>
      </c>
      <c r="V1246" s="6" t="s">
        <v>39</v>
      </c>
      <c r="W1246" t="s">
        <v>40</v>
      </c>
      <c r="X1246">
        <v>7810687137</v>
      </c>
      <c r="Y1246">
        <v>781401001</v>
      </c>
      <c r="Z1246" s="3">
        <v>45832.397222222222</v>
      </c>
      <c r="AA1246" s="6">
        <v>2025</v>
      </c>
      <c r="AB1246" s="1">
        <v>46022</v>
      </c>
    </row>
    <row r="1247" spans="1:28" x14ac:dyDescent="0.3">
      <c r="A1247" s="4" t="s">
        <v>4409</v>
      </c>
      <c r="B1247" s="6" t="s">
        <v>4397</v>
      </c>
      <c r="C1247" s="6" t="s">
        <v>2548</v>
      </c>
      <c r="D1247">
        <v>4443021350</v>
      </c>
      <c r="E1247">
        <v>440101001</v>
      </c>
      <c r="F1247" t="s">
        <v>149</v>
      </c>
      <c r="G1247" t="s">
        <v>4410</v>
      </c>
      <c r="H1247" s="1">
        <v>45827</v>
      </c>
      <c r="J1247" s="8">
        <v>45832</v>
      </c>
      <c r="K1247" s="1" t="s">
        <v>2872</v>
      </c>
      <c r="L1247" t="s">
        <v>4411</v>
      </c>
      <c r="M1247" t="s">
        <v>377</v>
      </c>
      <c r="N1247" s="12">
        <v>4998000</v>
      </c>
      <c r="O1247" t="s">
        <v>3613</v>
      </c>
      <c r="P1247" s="6" t="s">
        <v>36</v>
      </c>
      <c r="R1247" t="s">
        <v>38</v>
      </c>
      <c r="S1247" s="9">
        <v>4200</v>
      </c>
      <c r="T1247" s="9">
        <v>1190</v>
      </c>
      <c r="U1247" s="9">
        <v>4998000</v>
      </c>
      <c r="V1247" s="6" t="s">
        <v>39</v>
      </c>
      <c r="W1247" t="s">
        <v>40</v>
      </c>
      <c r="X1247">
        <v>7810687137</v>
      </c>
      <c r="Y1247">
        <v>781401001</v>
      </c>
      <c r="Z1247" s="3">
        <v>45832.393750000003</v>
      </c>
      <c r="AA1247" s="6">
        <v>2025</v>
      </c>
      <c r="AB1247" s="1">
        <v>46022</v>
      </c>
    </row>
    <row r="1248" spans="1:28" x14ac:dyDescent="0.3">
      <c r="A1248" t="s">
        <v>4412</v>
      </c>
      <c r="B1248" s="6" t="s">
        <v>4397</v>
      </c>
      <c r="C1248" s="6" t="s">
        <v>2548</v>
      </c>
      <c r="D1248">
        <v>4443021350</v>
      </c>
      <c r="E1248">
        <v>440101001</v>
      </c>
      <c r="F1248" t="s">
        <v>149</v>
      </c>
      <c r="G1248" t="s">
        <v>4413</v>
      </c>
      <c r="H1248" s="1">
        <v>45827</v>
      </c>
      <c r="J1248" s="8">
        <v>45832</v>
      </c>
      <c r="K1248" s="1" t="s">
        <v>2872</v>
      </c>
      <c r="L1248" t="s">
        <v>4414</v>
      </c>
      <c r="M1248" t="s">
        <v>377</v>
      </c>
      <c r="N1248" s="12">
        <v>4998000</v>
      </c>
      <c r="O1248" t="s">
        <v>3613</v>
      </c>
      <c r="P1248" s="6" t="s">
        <v>36</v>
      </c>
      <c r="R1248" t="s">
        <v>38</v>
      </c>
      <c r="S1248" s="9">
        <v>4200</v>
      </c>
      <c r="T1248" s="9">
        <v>1190</v>
      </c>
      <c r="U1248" s="9">
        <v>4998000</v>
      </c>
      <c r="V1248" s="6" t="s">
        <v>39</v>
      </c>
      <c r="W1248" t="s">
        <v>40</v>
      </c>
      <c r="X1248">
        <v>7810687137</v>
      </c>
      <c r="Y1248">
        <v>781401001</v>
      </c>
      <c r="Z1248" s="3">
        <v>45832.392361111109</v>
      </c>
      <c r="AA1248" s="6">
        <v>2025</v>
      </c>
      <c r="AB1248" s="1">
        <v>46022</v>
      </c>
    </row>
    <row r="1249" spans="1:28" x14ac:dyDescent="0.3">
      <c r="A1249" t="s">
        <v>4415</v>
      </c>
      <c r="B1249" s="6" t="s">
        <v>4397</v>
      </c>
      <c r="C1249" s="6" t="s">
        <v>2548</v>
      </c>
      <c r="D1249">
        <v>4443021350</v>
      </c>
      <c r="E1249">
        <v>440101001</v>
      </c>
      <c r="F1249" t="s">
        <v>149</v>
      </c>
      <c r="G1249" t="s">
        <v>4416</v>
      </c>
      <c r="H1249" s="1">
        <v>45827</v>
      </c>
      <c r="J1249" s="8">
        <v>45832</v>
      </c>
      <c r="K1249" s="1" t="s">
        <v>2872</v>
      </c>
      <c r="L1249" t="s">
        <v>4417</v>
      </c>
      <c r="M1249" t="s">
        <v>377</v>
      </c>
      <c r="N1249" s="12">
        <v>4998000</v>
      </c>
      <c r="O1249" t="s">
        <v>3613</v>
      </c>
      <c r="P1249" s="6" t="s">
        <v>36</v>
      </c>
      <c r="R1249" t="s">
        <v>38</v>
      </c>
      <c r="S1249" s="9">
        <v>4200</v>
      </c>
      <c r="T1249" s="9">
        <v>1190</v>
      </c>
      <c r="U1249" s="9">
        <v>4998000</v>
      </c>
      <c r="V1249" s="6" t="s">
        <v>39</v>
      </c>
      <c r="W1249" t="s">
        <v>40</v>
      </c>
      <c r="X1249">
        <v>7810687137</v>
      </c>
      <c r="Y1249">
        <v>781401001</v>
      </c>
      <c r="Z1249" s="3">
        <v>45832.390972222223</v>
      </c>
      <c r="AA1249" s="6">
        <v>2025</v>
      </c>
      <c r="AB1249" s="1">
        <v>46022</v>
      </c>
    </row>
    <row r="1250" spans="1:28" x14ac:dyDescent="0.3">
      <c r="A1250" t="s">
        <v>4418</v>
      </c>
      <c r="B1250" s="6" t="s">
        <v>4397</v>
      </c>
      <c r="C1250" s="6" t="s">
        <v>2548</v>
      </c>
      <c r="D1250">
        <v>4443021350</v>
      </c>
      <c r="E1250">
        <v>440101001</v>
      </c>
      <c r="F1250" t="s">
        <v>149</v>
      </c>
      <c r="G1250" t="s">
        <v>4419</v>
      </c>
      <c r="H1250" s="1">
        <v>45827</v>
      </c>
      <c r="J1250" s="8">
        <v>45832</v>
      </c>
      <c r="K1250" s="1" t="s">
        <v>2872</v>
      </c>
      <c r="L1250" t="s">
        <v>4420</v>
      </c>
      <c r="M1250" t="s">
        <v>377</v>
      </c>
      <c r="N1250" s="12">
        <v>4998000</v>
      </c>
      <c r="O1250" t="s">
        <v>3613</v>
      </c>
      <c r="P1250" s="6" t="s">
        <v>36</v>
      </c>
      <c r="R1250" t="s">
        <v>38</v>
      </c>
      <c r="S1250" s="9">
        <v>4200</v>
      </c>
      <c r="T1250" s="9">
        <v>1190</v>
      </c>
      <c r="U1250" s="9">
        <v>4998000</v>
      </c>
      <c r="V1250" s="6" t="s">
        <v>39</v>
      </c>
      <c r="W1250" t="s">
        <v>40</v>
      </c>
      <c r="X1250">
        <v>7810687137</v>
      </c>
      <c r="Y1250">
        <v>781401001</v>
      </c>
      <c r="Z1250" s="3">
        <v>45832.388888888891</v>
      </c>
      <c r="AA1250" s="6">
        <v>2025</v>
      </c>
      <c r="AB1250" s="1">
        <v>46022</v>
      </c>
    </row>
    <row r="1251" spans="1:28" x14ac:dyDescent="0.3">
      <c r="A1251" s="4" t="s">
        <v>4421</v>
      </c>
      <c r="B1251" s="6" t="s">
        <v>4422</v>
      </c>
      <c r="C1251" s="6" t="s">
        <v>502</v>
      </c>
      <c r="D1251">
        <v>6320007126</v>
      </c>
      <c r="E1251">
        <v>632401001</v>
      </c>
      <c r="F1251" t="s">
        <v>94</v>
      </c>
      <c r="G1251" t="s">
        <v>4423</v>
      </c>
      <c r="H1251" s="1">
        <v>45827</v>
      </c>
      <c r="J1251" s="8">
        <v>45832</v>
      </c>
      <c r="K1251" s="1" t="s">
        <v>2872</v>
      </c>
      <c r="L1251" t="s">
        <v>4424</v>
      </c>
      <c r="M1251" t="s">
        <v>4425</v>
      </c>
      <c r="N1251" s="12">
        <v>136400</v>
      </c>
      <c r="O1251" t="s">
        <v>3633</v>
      </c>
      <c r="P1251" s="6" t="s">
        <v>36</v>
      </c>
      <c r="R1251" t="s">
        <v>38</v>
      </c>
      <c r="S1251" s="9">
        <v>6200</v>
      </c>
      <c r="T1251" s="9">
        <v>22</v>
      </c>
      <c r="U1251" s="9">
        <v>136400</v>
      </c>
      <c r="V1251" s="6" t="s">
        <v>4426</v>
      </c>
      <c r="W1251" t="s">
        <v>4427</v>
      </c>
      <c r="X1251">
        <v>6318025720</v>
      </c>
      <c r="Y1251">
        <v>631801001</v>
      </c>
      <c r="Z1251" s="3">
        <v>45832.568055555559</v>
      </c>
      <c r="AA1251" s="6">
        <v>2025</v>
      </c>
      <c r="AB1251" s="1">
        <v>45898</v>
      </c>
    </row>
    <row r="1252" spans="1:28" x14ac:dyDescent="0.3">
      <c r="A1252" t="s">
        <v>4428</v>
      </c>
      <c r="B1252" s="6" t="s">
        <v>4429</v>
      </c>
      <c r="C1252" s="6" t="s">
        <v>4430</v>
      </c>
      <c r="D1252">
        <v>9901000267</v>
      </c>
      <c r="E1252">
        <v>990101001</v>
      </c>
      <c r="F1252" t="s">
        <v>52</v>
      </c>
      <c r="G1252" t="s">
        <v>4431</v>
      </c>
      <c r="H1252" s="1">
        <v>45819</v>
      </c>
      <c r="J1252" s="8">
        <v>45832</v>
      </c>
      <c r="K1252" s="1" t="s">
        <v>2872</v>
      </c>
      <c r="L1252" t="s">
        <v>4432</v>
      </c>
      <c r="M1252" t="s">
        <v>4433</v>
      </c>
      <c r="N1252" s="12">
        <v>133922.88</v>
      </c>
      <c r="O1252" t="s">
        <v>3981</v>
      </c>
      <c r="P1252" s="6" t="s">
        <v>36</v>
      </c>
      <c r="R1252" t="s">
        <v>38</v>
      </c>
      <c r="S1252" s="9">
        <v>7440.16</v>
      </c>
      <c r="T1252" s="9">
        <v>18</v>
      </c>
      <c r="U1252" s="9">
        <v>133922.88</v>
      </c>
      <c r="V1252" s="6" t="s">
        <v>352</v>
      </c>
      <c r="W1252" t="s">
        <v>40</v>
      </c>
      <c r="X1252">
        <v>7843014747</v>
      </c>
      <c r="Y1252">
        <v>781401001</v>
      </c>
      <c r="Z1252" s="3">
        <v>45832.482638888891</v>
      </c>
      <c r="AA1252" s="6">
        <v>2025</v>
      </c>
      <c r="AB1252" s="1">
        <v>46022</v>
      </c>
    </row>
    <row r="1253" spans="1:28" x14ac:dyDescent="0.3">
      <c r="A1253" s="4" t="s">
        <v>4434</v>
      </c>
      <c r="B1253" s="6" t="s">
        <v>2467</v>
      </c>
      <c r="C1253" s="6" t="s">
        <v>904</v>
      </c>
      <c r="D1253">
        <v>3525010519</v>
      </c>
      <c r="E1253">
        <v>352501001</v>
      </c>
      <c r="F1253" t="s">
        <v>94</v>
      </c>
      <c r="G1253" t="s">
        <v>4435</v>
      </c>
      <c r="H1253" s="1">
        <v>45828</v>
      </c>
      <c r="J1253" s="8">
        <v>45833</v>
      </c>
      <c r="K1253" s="1" t="s">
        <v>2872</v>
      </c>
      <c r="L1253" t="s">
        <v>4436</v>
      </c>
      <c r="M1253" t="s">
        <v>4356</v>
      </c>
      <c r="N1253" s="12">
        <v>6300000</v>
      </c>
      <c r="O1253" t="s">
        <v>3815</v>
      </c>
      <c r="P1253" s="6" t="s">
        <v>3758</v>
      </c>
      <c r="Q1253" t="s">
        <v>37</v>
      </c>
      <c r="R1253" t="s">
        <v>38</v>
      </c>
      <c r="S1253" s="9">
        <v>3150</v>
      </c>
      <c r="T1253" s="9">
        <v>2000</v>
      </c>
      <c r="U1253" s="9">
        <v>6300000</v>
      </c>
      <c r="V1253" s="6" t="s">
        <v>352</v>
      </c>
      <c r="W1253" t="s">
        <v>40</v>
      </c>
      <c r="X1253">
        <v>7843014747</v>
      </c>
      <c r="Y1253">
        <v>781401001</v>
      </c>
      <c r="Z1253" s="3">
        <v>45833.63958333333</v>
      </c>
      <c r="AA1253" s="6">
        <v>2025</v>
      </c>
      <c r="AB1253" s="1">
        <v>45865</v>
      </c>
    </row>
    <row r="1254" spans="1:28" x14ac:dyDescent="0.3">
      <c r="A1254" t="s">
        <v>4437</v>
      </c>
      <c r="B1254" s="6" t="s">
        <v>2467</v>
      </c>
      <c r="C1254" s="6" t="s">
        <v>904</v>
      </c>
      <c r="D1254">
        <v>3525010519</v>
      </c>
      <c r="E1254">
        <v>352501001</v>
      </c>
      <c r="F1254" t="s">
        <v>94</v>
      </c>
      <c r="G1254" t="s">
        <v>4438</v>
      </c>
      <c r="H1254" s="1">
        <v>45828</v>
      </c>
      <c r="J1254" s="8">
        <v>45833</v>
      </c>
      <c r="K1254" s="1" t="s">
        <v>2872</v>
      </c>
      <c r="L1254" t="s">
        <v>4439</v>
      </c>
      <c r="M1254" t="s">
        <v>4356</v>
      </c>
      <c r="N1254" s="12">
        <v>4870000</v>
      </c>
      <c r="O1254" t="s">
        <v>3633</v>
      </c>
      <c r="P1254" s="6" t="s">
        <v>36</v>
      </c>
      <c r="R1254" t="s">
        <v>38</v>
      </c>
      <c r="S1254" s="9">
        <v>2435</v>
      </c>
      <c r="T1254" s="9">
        <v>2000</v>
      </c>
      <c r="U1254" s="9">
        <v>4870000</v>
      </c>
      <c r="V1254" s="6" t="s">
        <v>352</v>
      </c>
      <c r="W1254" t="s">
        <v>40</v>
      </c>
      <c r="X1254">
        <v>7843014747</v>
      </c>
      <c r="Y1254">
        <v>781401001</v>
      </c>
      <c r="Z1254" s="3">
        <v>45834.54583333333</v>
      </c>
      <c r="AA1254" s="6">
        <v>2025</v>
      </c>
      <c r="AB1254" s="1">
        <v>45865</v>
      </c>
    </row>
    <row r="1255" spans="1:28" x14ac:dyDescent="0.3">
      <c r="A1255" t="s">
        <v>4440</v>
      </c>
      <c r="B1255" s="6" t="s">
        <v>2467</v>
      </c>
      <c r="C1255" s="6" t="s">
        <v>904</v>
      </c>
      <c r="D1255">
        <v>3525010519</v>
      </c>
      <c r="E1255">
        <v>352501001</v>
      </c>
      <c r="F1255" t="s">
        <v>94</v>
      </c>
      <c r="G1255" t="s">
        <v>4441</v>
      </c>
      <c r="H1255" s="1">
        <v>45828</v>
      </c>
      <c r="J1255" s="8">
        <v>45833</v>
      </c>
      <c r="K1255" s="1" t="s">
        <v>2872</v>
      </c>
      <c r="L1255" t="s">
        <v>4442</v>
      </c>
      <c r="M1255" t="s">
        <v>4356</v>
      </c>
      <c r="N1255" s="12">
        <v>6400000</v>
      </c>
      <c r="O1255" t="s">
        <v>3633</v>
      </c>
      <c r="P1255" s="6" t="s">
        <v>36</v>
      </c>
      <c r="R1255" t="s">
        <v>38</v>
      </c>
      <c r="S1255" s="9">
        <v>3200</v>
      </c>
      <c r="T1255" s="9">
        <v>2000</v>
      </c>
      <c r="U1255" s="9">
        <v>6400000</v>
      </c>
      <c r="V1255" s="6" t="s">
        <v>352</v>
      </c>
      <c r="W1255" t="s">
        <v>40</v>
      </c>
      <c r="X1255">
        <v>7843014747</v>
      </c>
      <c r="Y1255">
        <v>781401001</v>
      </c>
      <c r="Z1255" s="3">
        <v>45833.62222222222</v>
      </c>
      <c r="AA1255" s="6">
        <v>2025</v>
      </c>
      <c r="AB1255" s="1">
        <v>45865</v>
      </c>
    </row>
    <row r="1256" spans="1:28" x14ac:dyDescent="0.3">
      <c r="A1256" t="s">
        <v>4443</v>
      </c>
      <c r="B1256" s="6" t="s">
        <v>4444</v>
      </c>
      <c r="C1256" s="6" t="s">
        <v>368</v>
      </c>
      <c r="D1256">
        <v>4825005085</v>
      </c>
      <c r="E1256">
        <v>482501001</v>
      </c>
      <c r="F1256" t="s">
        <v>52</v>
      </c>
      <c r="G1256" t="s">
        <v>4445</v>
      </c>
      <c r="H1256" s="1">
        <v>45818</v>
      </c>
      <c r="J1256" s="8">
        <v>45833</v>
      </c>
      <c r="K1256" s="1" t="s">
        <v>2872</v>
      </c>
      <c r="L1256" t="s">
        <v>4446</v>
      </c>
      <c r="M1256" t="s">
        <v>377</v>
      </c>
      <c r="N1256" s="12">
        <v>55160800</v>
      </c>
      <c r="O1256" t="s">
        <v>3643</v>
      </c>
      <c r="P1256" s="6" t="s">
        <v>1814</v>
      </c>
      <c r="R1256" t="s">
        <v>38</v>
      </c>
      <c r="S1256" s="9">
        <v>3800</v>
      </c>
      <c r="T1256" s="9">
        <v>11016</v>
      </c>
      <c r="U1256" s="9">
        <v>41860800</v>
      </c>
      <c r="V1256" s="6" t="s">
        <v>39</v>
      </c>
      <c r="W1256" t="s">
        <v>40</v>
      </c>
      <c r="X1256">
        <v>7810687137</v>
      </c>
      <c r="Y1256">
        <v>781401001</v>
      </c>
      <c r="Z1256" s="3">
        <v>45833.613194444442</v>
      </c>
      <c r="AA1256" s="6">
        <v>2025</v>
      </c>
      <c r="AB1256" s="1">
        <v>46022</v>
      </c>
    </row>
    <row r="1257" spans="1:28" x14ac:dyDescent="0.3">
      <c r="A1257" t="s">
        <v>4443</v>
      </c>
      <c r="B1257" s="6" t="s">
        <v>4444</v>
      </c>
      <c r="C1257" s="6" t="s">
        <v>368</v>
      </c>
      <c r="D1257">
        <v>4825005085</v>
      </c>
      <c r="E1257">
        <v>482501001</v>
      </c>
      <c r="F1257" t="s">
        <v>52</v>
      </c>
      <c r="G1257" t="s">
        <v>4445</v>
      </c>
      <c r="H1257" s="1">
        <v>45818</v>
      </c>
      <c r="J1257" s="8">
        <v>45833</v>
      </c>
      <c r="K1257" s="1" t="s">
        <v>2872</v>
      </c>
      <c r="L1257" t="s">
        <v>4446</v>
      </c>
      <c r="M1257" t="s">
        <v>377</v>
      </c>
      <c r="N1257" s="12">
        <v>55160800</v>
      </c>
      <c r="O1257" t="s">
        <v>4022</v>
      </c>
      <c r="P1257" s="6" t="s">
        <v>2941</v>
      </c>
      <c r="R1257" t="s">
        <v>38</v>
      </c>
      <c r="S1257" s="9">
        <v>3800</v>
      </c>
      <c r="T1257" s="9">
        <v>3500</v>
      </c>
      <c r="U1257" s="9">
        <v>13300000</v>
      </c>
      <c r="V1257" s="6" t="s">
        <v>39</v>
      </c>
      <c r="W1257" t="s">
        <v>40</v>
      </c>
      <c r="X1257">
        <v>7810687137</v>
      </c>
      <c r="Y1257">
        <v>781401001</v>
      </c>
      <c r="Z1257" s="3">
        <v>45833.613194444442</v>
      </c>
      <c r="AA1257" s="6">
        <v>2025</v>
      </c>
      <c r="AB1257" s="1">
        <v>46022</v>
      </c>
    </row>
    <row r="1258" spans="1:28" s="6" customFormat="1" x14ac:dyDescent="0.3">
      <c r="A1258" t="s">
        <v>4447</v>
      </c>
      <c r="B1258" s="6" t="s">
        <v>2467</v>
      </c>
      <c r="C1258" s="6" t="s">
        <v>904</v>
      </c>
      <c r="D1258">
        <v>3525010519</v>
      </c>
      <c r="E1258">
        <v>352501001</v>
      </c>
      <c r="F1258" t="s">
        <v>94</v>
      </c>
      <c r="G1258" t="s">
        <v>4448</v>
      </c>
      <c r="H1258" s="1">
        <v>45833</v>
      </c>
      <c r="I1258"/>
      <c r="J1258" s="8">
        <v>45838</v>
      </c>
      <c r="K1258" s="1" t="s">
        <v>2872</v>
      </c>
      <c r="L1258" t="s">
        <v>4449</v>
      </c>
      <c r="M1258" t="s">
        <v>1496</v>
      </c>
      <c r="N1258" s="12">
        <v>7064900</v>
      </c>
      <c r="O1258" t="s">
        <v>3815</v>
      </c>
      <c r="P1258" s="6" t="s">
        <v>3758</v>
      </c>
      <c r="Q1258" t="s">
        <v>3258</v>
      </c>
      <c r="R1258" t="s">
        <v>38</v>
      </c>
      <c r="S1258" s="9">
        <v>3100</v>
      </c>
      <c r="T1258" s="9">
        <v>2279</v>
      </c>
      <c r="U1258" s="9">
        <v>7064900</v>
      </c>
      <c r="V1258" s="6" t="s">
        <v>352</v>
      </c>
      <c r="W1258" t="s">
        <v>40</v>
      </c>
      <c r="X1258">
        <v>7843014747</v>
      </c>
      <c r="Y1258">
        <v>781401001</v>
      </c>
      <c r="Z1258" s="3">
        <v>45839.325694444444</v>
      </c>
      <c r="AA1258" s="6">
        <v>2025</v>
      </c>
      <c r="AB1258" s="1">
        <v>45896</v>
      </c>
    </row>
    <row r="1259" spans="1:28" s="6" customFormat="1" x14ac:dyDescent="0.3">
      <c r="A1259" t="s">
        <v>4450</v>
      </c>
      <c r="B1259" s="6" t="s">
        <v>2467</v>
      </c>
      <c r="C1259" s="6" t="s">
        <v>904</v>
      </c>
      <c r="D1259">
        <v>3525010519</v>
      </c>
      <c r="E1259">
        <v>352501001</v>
      </c>
      <c r="F1259" t="s">
        <v>94</v>
      </c>
      <c r="G1259" t="s">
        <v>4451</v>
      </c>
      <c r="H1259" s="1">
        <v>45833</v>
      </c>
      <c r="I1259"/>
      <c r="J1259" s="8">
        <v>45838</v>
      </c>
      <c r="K1259" s="1" t="s">
        <v>2872</v>
      </c>
      <c r="L1259" t="s">
        <v>4452</v>
      </c>
      <c r="M1259" t="s">
        <v>1496</v>
      </c>
      <c r="N1259" s="12">
        <v>7064900</v>
      </c>
      <c r="O1259" t="s">
        <v>3613</v>
      </c>
      <c r="P1259" s="6" t="s">
        <v>4253</v>
      </c>
      <c r="Q1259" t="s">
        <v>3258</v>
      </c>
      <c r="R1259" t="s">
        <v>38</v>
      </c>
      <c r="S1259" s="9">
        <v>3100</v>
      </c>
      <c r="T1259" s="9">
        <v>2279</v>
      </c>
      <c r="U1259" s="9">
        <v>7064900</v>
      </c>
      <c r="V1259" s="6" t="s">
        <v>352</v>
      </c>
      <c r="W1259" t="s">
        <v>40</v>
      </c>
      <c r="X1259">
        <v>7843014747</v>
      </c>
      <c r="Y1259">
        <v>781401001</v>
      </c>
      <c r="Z1259" s="3">
        <v>45838.637499999997</v>
      </c>
      <c r="AA1259" s="6">
        <v>2025</v>
      </c>
      <c r="AB1259" s="1">
        <v>45896</v>
      </c>
    </row>
    <row r="1260" spans="1:28" s="6" customFormat="1" x14ac:dyDescent="0.3">
      <c r="A1260" t="s">
        <v>4453</v>
      </c>
      <c r="B1260" s="6" t="s">
        <v>1011</v>
      </c>
      <c r="C1260" s="6" t="s">
        <v>427</v>
      </c>
      <c r="D1260">
        <v>5190109972</v>
      </c>
      <c r="E1260">
        <v>519001001</v>
      </c>
      <c r="F1260" t="s">
        <v>94</v>
      </c>
      <c r="G1260" t="s">
        <v>4454</v>
      </c>
      <c r="H1260" s="1">
        <v>45833</v>
      </c>
      <c r="I1260"/>
      <c r="J1260" s="8">
        <v>45838</v>
      </c>
      <c r="K1260" s="1" t="s">
        <v>2872</v>
      </c>
      <c r="L1260" t="s">
        <v>4455</v>
      </c>
      <c r="M1260" t="s">
        <v>4201</v>
      </c>
      <c r="N1260" s="12">
        <v>8046500</v>
      </c>
      <c r="O1260" t="s">
        <v>3815</v>
      </c>
      <c r="P1260" s="6" t="s">
        <v>3758</v>
      </c>
      <c r="Q1260" t="s">
        <v>37</v>
      </c>
      <c r="R1260" t="s">
        <v>38</v>
      </c>
      <c r="S1260" s="9">
        <v>3500</v>
      </c>
      <c r="T1260" s="9">
        <v>1046</v>
      </c>
      <c r="U1260" s="9">
        <v>3661000</v>
      </c>
      <c r="V1260" s="6" t="s">
        <v>39</v>
      </c>
      <c r="W1260" t="s">
        <v>40</v>
      </c>
      <c r="X1260">
        <v>7810687137</v>
      </c>
      <c r="Y1260">
        <v>781401001</v>
      </c>
      <c r="Z1260" s="3">
        <v>45841.408333333333</v>
      </c>
      <c r="AA1260" s="6">
        <v>2025</v>
      </c>
      <c r="AB1260" s="1">
        <v>46022</v>
      </c>
    </row>
    <row r="1261" spans="1:28" s="6" customFormat="1" x14ac:dyDescent="0.3">
      <c r="A1261" t="s">
        <v>4456</v>
      </c>
      <c r="B1261" s="6" t="s">
        <v>946</v>
      </c>
      <c r="C1261" s="6" t="s">
        <v>947</v>
      </c>
      <c r="D1261">
        <v>7325000951</v>
      </c>
      <c r="E1261">
        <v>732501001</v>
      </c>
      <c r="F1261" t="s">
        <v>94</v>
      </c>
      <c r="G1261" t="s">
        <v>4457</v>
      </c>
      <c r="H1261" s="1">
        <v>45833</v>
      </c>
      <c r="I1261"/>
      <c r="J1261" s="8">
        <v>45838</v>
      </c>
      <c r="K1261" s="1" t="s">
        <v>2872</v>
      </c>
      <c r="L1261" t="s">
        <v>4457</v>
      </c>
      <c r="M1261" t="s">
        <v>377</v>
      </c>
      <c r="N1261" s="12">
        <v>3535000</v>
      </c>
      <c r="O1261" t="s">
        <v>3815</v>
      </c>
      <c r="P1261" s="6" t="s">
        <v>3758</v>
      </c>
      <c r="Q1261" t="s">
        <v>37</v>
      </c>
      <c r="R1261" t="s">
        <v>38</v>
      </c>
      <c r="S1261" s="9">
        <v>3500</v>
      </c>
      <c r="T1261" s="9">
        <v>500</v>
      </c>
      <c r="U1261" s="9">
        <v>1750000</v>
      </c>
      <c r="V1261" s="6" t="s">
        <v>39</v>
      </c>
      <c r="W1261" t="s">
        <v>40</v>
      </c>
      <c r="X1261">
        <v>7810687137</v>
      </c>
      <c r="Y1261">
        <v>781401001</v>
      </c>
      <c r="Z1261" s="3">
        <v>45839.630555555559</v>
      </c>
      <c r="AA1261" s="6">
        <v>2025</v>
      </c>
      <c r="AB1261" s="1">
        <v>46022</v>
      </c>
    </row>
    <row r="1262" spans="1:28" x14ac:dyDescent="0.3">
      <c r="A1262" s="6" t="s">
        <v>4458</v>
      </c>
      <c r="B1262" s="6" t="s">
        <v>4225</v>
      </c>
      <c r="C1262" s="6" t="s">
        <v>164</v>
      </c>
      <c r="D1262" s="6">
        <v>7725262013</v>
      </c>
      <c r="E1262" s="6">
        <v>772501001</v>
      </c>
      <c r="F1262" s="6" t="s">
        <v>4226</v>
      </c>
      <c r="G1262" s="6" t="s">
        <v>4459</v>
      </c>
      <c r="H1262" s="8">
        <v>45826</v>
      </c>
      <c r="I1262" s="6"/>
      <c r="J1262" s="8">
        <v>45838</v>
      </c>
      <c r="K1262" s="8" t="s">
        <v>2872</v>
      </c>
      <c r="L1262" s="6" t="s">
        <v>4460</v>
      </c>
      <c r="M1262" s="6" t="s">
        <v>4461</v>
      </c>
      <c r="N1262" s="14">
        <v>42551730</v>
      </c>
      <c r="O1262" s="6" t="s">
        <v>4462</v>
      </c>
      <c r="P1262" s="6" t="s">
        <v>36</v>
      </c>
      <c r="Q1262" s="6"/>
      <c r="R1262" s="6" t="s">
        <v>38</v>
      </c>
      <c r="S1262" s="9">
        <v>2024.29</v>
      </c>
      <c r="T1262" s="9">
        <v>10471</v>
      </c>
      <c r="U1262" s="9">
        <v>21198058.829999998</v>
      </c>
      <c r="V1262" s="6" t="s">
        <v>128</v>
      </c>
      <c r="W1262" s="6" t="s">
        <v>129</v>
      </c>
      <c r="X1262" s="6">
        <v>274110679</v>
      </c>
      <c r="Y1262" s="6">
        <v>500801001</v>
      </c>
      <c r="Z1262" s="11"/>
      <c r="AA1262" s="6">
        <v>2025</v>
      </c>
      <c r="AB1262" s="8">
        <v>46387</v>
      </c>
    </row>
    <row r="1263" spans="1:28" x14ac:dyDescent="0.3">
      <c r="A1263" s="6" t="s">
        <v>4458</v>
      </c>
      <c r="B1263" s="6" t="s">
        <v>4225</v>
      </c>
      <c r="C1263" s="6" t="s">
        <v>164</v>
      </c>
      <c r="D1263" s="6">
        <v>7725262013</v>
      </c>
      <c r="E1263" s="6">
        <v>772501001</v>
      </c>
      <c r="F1263" s="6" t="s">
        <v>4226</v>
      </c>
      <c r="G1263" s="6" t="s">
        <v>4459</v>
      </c>
      <c r="H1263" s="8">
        <v>45826</v>
      </c>
      <c r="I1263" s="6"/>
      <c r="J1263" s="8">
        <v>45838</v>
      </c>
      <c r="K1263" s="8" t="s">
        <v>2872</v>
      </c>
      <c r="L1263" s="6" t="s">
        <v>4460</v>
      </c>
      <c r="M1263" s="6" t="s">
        <v>4461</v>
      </c>
      <c r="N1263" s="14">
        <v>42551730</v>
      </c>
      <c r="O1263" s="6" t="s">
        <v>4462</v>
      </c>
      <c r="P1263" s="6" t="s">
        <v>36</v>
      </c>
      <c r="Q1263" s="6"/>
      <c r="R1263" s="6" t="s">
        <v>38</v>
      </c>
      <c r="S1263" s="9">
        <v>2039.16</v>
      </c>
      <c r="T1263" s="9">
        <v>10471</v>
      </c>
      <c r="U1263" s="9">
        <v>21353671.170000002</v>
      </c>
      <c r="V1263" s="6" t="s">
        <v>128</v>
      </c>
      <c r="W1263" s="6" t="s">
        <v>129</v>
      </c>
      <c r="X1263" s="6">
        <v>274110679</v>
      </c>
      <c r="Y1263" s="6">
        <v>500801001</v>
      </c>
      <c r="Z1263" s="11"/>
      <c r="AA1263" s="6">
        <v>2026</v>
      </c>
      <c r="AB1263" s="8">
        <v>46387</v>
      </c>
    </row>
    <row r="1264" spans="1:28" x14ac:dyDescent="0.3">
      <c r="A1264" s="4" t="s">
        <v>4463</v>
      </c>
      <c r="B1264" s="6" t="s">
        <v>2547</v>
      </c>
      <c r="C1264" s="6" t="s">
        <v>2548</v>
      </c>
      <c r="D1264">
        <v>4401004514</v>
      </c>
      <c r="E1264">
        <v>440101001</v>
      </c>
      <c r="F1264" t="s">
        <v>44</v>
      </c>
      <c r="H1264"/>
      <c r="J1264" s="8">
        <v>45838</v>
      </c>
      <c r="K1264" s="1" t="s">
        <v>2872</v>
      </c>
      <c r="L1264" t="s">
        <v>4464</v>
      </c>
      <c r="M1264" t="s">
        <v>4465</v>
      </c>
      <c r="N1264" s="12">
        <v>2997666</v>
      </c>
      <c r="O1264" t="s">
        <v>4466</v>
      </c>
      <c r="P1264" s="6" t="s">
        <v>36</v>
      </c>
      <c r="R1264" t="s">
        <v>38</v>
      </c>
      <c r="S1264" s="9">
        <v>4200</v>
      </c>
      <c r="T1264" s="9">
        <v>643</v>
      </c>
      <c r="U1264" s="9">
        <v>2700600</v>
      </c>
      <c r="V1264" s="6" t="s">
        <v>4397</v>
      </c>
      <c r="W1264" t="s">
        <v>40</v>
      </c>
      <c r="X1264">
        <v>4443021350</v>
      </c>
      <c r="Y1264">
        <v>440101001</v>
      </c>
      <c r="Z1264" s="3">
        <v>45841.720138888886</v>
      </c>
      <c r="AA1264" s="6">
        <v>2025</v>
      </c>
      <c r="AB1264" s="1">
        <v>46081</v>
      </c>
    </row>
    <row r="1265" spans="1:28" x14ac:dyDescent="0.3">
      <c r="A1265" t="s">
        <v>4467</v>
      </c>
      <c r="B1265" s="6" t="s">
        <v>2547</v>
      </c>
      <c r="C1265" s="6" t="s">
        <v>2548</v>
      </c>
      <c r="D1265">
        <v>4401004514</v>
      </c>
      <c r="E1265">
        <v>440101001</v>
      </c>
      <c r="F1265" t="s">
        <v>44</v>
      </c>
      <c r="H1265"/>
      <c r="J1265" s="8">
        <v>45838</v>
      </c>
      <c r="K1265" s="1" t="s">
        <v>2872</v>
      </c>
      <c r="L1265" t="s">
        <v>4468</v>
      </c>
      <c r="M1265" t="s">
        <v>4465</v>
      </c>
      <c r="N1265" s="12">
        <v>2997666</v>
      </c>
      <c r="O1265" t="s">
        <v>4466</v>
      </c>
      <c r="P1265" s="6" t="s">
        <v>36</v>
      </c>
      <c r="R1265" t="s">
        <v>38</v>
      </c>
      <c r="S1265" s="9">
        <v>4200</v>
      </c>
      <c r="T1265" s="9">
        <v>643</v>
      </c>
      <c r="U1265" s="9">
        <v>2700600</v>
      </c>
      <c r="V1265" s="6" t="s">
        <v>4397</v>
      </c>
      <c r="W1265" t="s">
        <v>40</v>
      </c>
      <c r="X1265">
        <v>4443021350</v>
      </c>
      <c r="Y1265">
        <v>440101001</v>
      </c>
      <c r="Z1265" s="3">
        <v>45841.71875</v>
      </c>
      <c r="AA1265" s="6">
        <v>2025</v>
      </c>
      <c r="AB1265" s="1">
        <v>46081</v>
      </c>
    </row>
    <row r="1266" spans="1:28" x14ac:dyDescent="0.3">
      <c r="A1266" t="s">
        <v>4469</v>
      </c>
      <c r="B1266" s="6" t="s">
        <v>2547</v>
      </c>
      <c r="C1266" s="6" t="s">
        <v>2548</v>
      </c>
      <c r="D1266">
        <v>4401004514</v>
      </c>
      <c r="E1266">
        <v>440101001</v>
      </c>
      <c r="F1266" t="s">
        <v>44</v>
      </c>
      <c r="H1266"/>
      <c r="J1266" s="8">
        <v>45838</v>
      </c>
      <c r="K1266" s="1" t="s">
        <v>2872</v>
      </c>
      <c r="L1266" t="s">
        <v>4470</v>
      </c>
      <c r="M1266" t="s">
        <v>4465</v>
      </c>
      <c r="N1266" s="12">
        <v>2997666</v>
      </c>
      <c r="O1266" t="s">
        <v>4466</v>
      </c>
      <c r="P1266" s="6" t="s">
        <v>36</v>
      </c>
      <c r="R1266" t="s">
        <v>38</v>
      </c>
      <c r="S1266" s="9">
        <v>4200</v>
      </c>
      <c r="T1266" s="9">
        <v>643</v>
      </c>
      <c r="U1266" s="9">
        <v>2700600</v>
      </c>
      <c r="V1266" s="6" t="s">
        <v>4397</v>
      </c>
      <c r="W1266" t="s">
        <v>40</v>
      </c>
      <c r="X1266">
        <v>4443021350</v>
      </c>
      <c r="Y1266">
        <v>440101001</v>
      </c>
      <c r="Z1266" s="3">
        <v>45841.71597222222</v>
      </c>
      <c r="AA1266" s="6">
        <v>2025</v>
      </c>
      <c r="AB1266" s="1">
        <v>46081</v>
      </c>
    </row>
    <row r="1267" spans="1:28" x14ac:dyDescent="0.3">
      <c r="A1267" t="s">
        <v>4471</v>
      </c>
      <c r="B1267" s="6" t="s">
        <v>2547</v>
      </c>
      <c r="C1267" s="6" t="s">
        <v>2548</v>
      </c>
      <c r="D1267">
        <v>4401004514</v>
      </c>
      <c r="E1267">
        <v>440101001</v>
      </c>
      <c r="F1267" t="s">
        <v>149</v>
      </c>
      <c r="G1267" t="s">
        <v>4472</v>
      </c>
      <c r="H1267" s="1">
        <v>45833</v>
      </c>
      <c r="J1267" s="8">
        <v>45838</v>
      </c>
      <c r="K1267" s="1" t="s">
        <v>2872</v>
      </c>
      <c r="L1267" t="s">
        <v>4473</v>
      </c>
      <c r="M1267" t="s">
        <v>377</v>
      </c>
      <c r="N1267" s="12">
        <v>4620000</v>
      </c>
      <c r="O1267" t="s">
        <v>3633</v>
      </c>
      <c r="P1267" s="6" t="s">
        <v>36</v>
      </c>
      <c r="R1267" t="s">
        <v>38</v>
      </c>
      <c r="S1267" s="9">
        <v>4200</v>
      </c>
      <c r="T1267" s="9">
        <v>1100</v>
      </c>
      <c r="U1267" s="9">
        <v>4620000</v>
      </c>
      <c r="V1267" s="6" t="s">
        <v>39</v>
      </c>
      <c r="W1267" t="s">
        <v>40</v>
      </c>
      <c r="X1267">
        <v>7810687137</v>
      </c>
      <c r="Y1267">
        <v>781401001</v>
      </c>
      <c r="Z1267" s="3">
        <v>45841.654166666667</v>
      </c>
      <c r="AA1267" s="6">
        <v>2025</v>
      </c>
      <c r="AB1267" s="1">
        <v>46022</v>
      </c>
    </row>
    <row r="1268" spans="1:28" x14ac:dyDescent="0.3">
      <c r="A1268" t="s">
        <v>4474</v>
      </c>
      <c r="B1268" s="6" t="s">
        <v>2547</v>
      </c>
      <c r="C1268" s="6" t="s">
        <v>2548</v>
      </c>
      <c r="D1268">
        <v>4401004514</v>
      </c>
      <c r="E1268">
        <v>440101001</v>
      </c>
      <c r="F1268" t="s">
        <v>149</v>
      </c>
      <c r="G1268" t="s">
        <v>4475</v>
      </c>
      <c r="H1268" s="1">
        <v>45833</v>
      </c>
      <c r="J1268" s="8">
        <v>45838</v>
      </c>
      <c r="K1268" s="1" t="s">
        <v>2872</v>
      </c>
      <c r="L1268" t="s">
        <v>4476</v>
      </c>
      <c r="M1268" t="s">
        <v>377</v>
      </c>
      <c r="N1268" s="12">
        <v>4620000</v>
      </c>
      <c r="O1268" t="s">
        <v>3633</v>
      </c>
      <c r="P1268" s="6" t="s">
        <v>36</v>
      </c>
      <c r="R1268" t="s">
        <v>38</v>
      </c>
      <c r="S1268" s="9">
        <v>4200</v>
      </c>
      <c r="T1268" s="9">
        <v>1100</v>
      </c>
      <c r="U1268" s="9">
        <v>4620000</v>
      </c>
      <c r="V1268" s="6" t="s">
        <v>39</v>
      </c>
      <c r="W1268" t="s">
        <v>40</v>
      </c>
      <c r="X1268">
        <v>7810687137</v>
      </c>
      <c r="Y1268">
        <v>781401001</v>
      </c>
      <c r="Z1268" s="3">
        <v>45841.65</v>
      </c>
      <c r="AA1268" s="6">
        <v>2025</v>
      </c>
      <c r="AB1268" s="1">
        <v>46022</v>
      </c>
    </row>
    <row r="1269" spans="1:28" x14ac:dyDescent="0.3">
      <c r="A1269" t="s">
        <v>4477</v>
      </c>
      <c r="B1269" s="6" t="s">
        <v>2547</v>
      </c>
      <c r="C1269" s="6" t="s">
        <v>2548</v>
      </c>
      <c r="D1269">
        <v>4401004514</v>
      </c>
      <c r="E1269">
        <v>440101001</v>
      </c>
      <c r="F1269" t="s">
        <v>44</v>
      </c>
      <c r="H1269"/>
      <c r="J1269" s="8">
        <v>45838</v>
      </c>
      <c r="K1269" s="1" t="s">
        <v>2872</v>
      </c>
      <c r="L1269" t="s">
        <v>4478</v>
      </c>
      <c r="M1269" t="s">
        <v>4465</v>
      </c>
      <c r="N1269" s="12">
        <v>1921521</v>
      </c>
      <c r="O1269" t="s">
        <v>4466</v>
      </c>
      <c r="P1269" s="6" t="s">
        <v>36</v>
      </c>
      <c r="R1269" t="s">
        <v>38</v>
      </c>
      <c r="S1269" s="9">
        <v>4200</v>
      </c>
      <c r="T1269" s="9">
        <v>412</v>
      </c>
      <c r="U1269" s="9">
        <v>1730400</v>
      </c>
      <c r="V1269" s="6" t="s">
        <v>4397</v>
      </c>
      <c r="W1269" t="s">
        <v>40</v>
      </c>
      <c r="X1269">
        <v>4443021350</v>
      </c>
      <c r="Y1269">
        <v>440101001</v>
      </c>
      <c r="Z1269" s="3">
        <v>45841.461805555555</v>
      </c>
      <c r="AA1269" s="6">
        <v>2025</v>
      </c>
      <c r="AB1269" s="1">
        <v>46081</v>
      </c>
    </row>
    <row r="1270" spans="1:28" x14ac:dyDescent="0.3">
      <c r="A1270" t="s">
        <v>4477</v>
      </c>
      <c r="B1270" s="6" t="s">
        <v>2547</v>
      </c>
      <c r="C1270" s="6" t="s">
        <v>2548</v>
      </c>
      <c r="D1270">
        <v>4401004514</v>
      </c>
      <c r="E1270">
        <v>440101001</v>
      </c>
      <c r="F1270" t="s">
        <v>44</v>
      </c>
      <c r="H1270"/>
      <c r="J1270" s="8">
        <v>45838</v>
      </c>
      <c r="K1270" s="1" t="s">
        <v>2872</v>
      </c>
      <c r="L1270" t="s">
        <v>4478</v>
      </c>
      <c r="M1270" t="s">
        <v>4465</v>
      </c>
      <c r="N1270" s="12">
        <v>1921521</v>
      </c>
      <c r="O1270" t="s">
        <v>4466</v>
      </c>
      <c r="P1270" s="6" t="s">
        <v>36</v>
      </c>
      <c r="R1270" t="s">
        <v>38</v>
      </c>
      <c r="S1270" s="9">
        <v>700</v>
      </c>
      <c r="T1270" s="9">
        <v>1</v>
      </c>
      <c r="U1270" s="9">
        <v>700</v>
      </c>
      <c r="V1270" s="6" t="s">
        <v>4397</v>
      </c>
      <c r="W1270" t="s">
        <v>40</v>
      </c>
      <c r="X1270">
        <v>4443021350</v>
      </c>
      <c r="Y1270">
        <v>440101001</v>
      </c>
      <c r="Z1270" s="3">
        <v>45841.461805555555</v>
      </c>
      <c r="AA1270" s="6">
        <v>2025</v>
      </c>
      <c r="AB1270" s="1">
        <v>46081</v>
      </c>
    </row>
    <row r="1271" spans="1:28" x14ac:dyDescent="0.3">
      <c r="A1271" t="s">
        <v>4479</v>
      </c>
      <c r="B1271" s="6" t="s">
        <v>2547</v>
      </c>
      <c r="C1271" s="6" t="s">
        <v>2548</v>
      </c>
      <c r="D1271">
        <v>4401004514</v>
      </c>
      <c r="E1271">
        <v>440101001</v>
      </c>
      <c r="F1271" t="s">
        <v>44</v>
      </c>
      <c r="H1271"/>
      <c r="J1271" s="8">
        <v>45838</v>
      </c>
      <c r="K1271" s="1" t="s">
        <v>2872</v>
      </c>
      <c r="L1271" t="s">
        <v>4480</v>
      </c>
      <c r="M1271" t="s">
        <v>4465</v>
      </c>
      <c r="N1271" s="12">
        <v>2997666</v>
      </c>
      <c r="O1271" t="s">
        <v>4466</v>
      </c>
      <c r="P1271" s="6" t="s">
        <v>36</v>
      </c>
      <c r="R1271" t="s">
        <v>38</v>
      </c>
      <c r="S1271" s="9">
        <v>4200</v>
      </c>
      <c r="T1271" s="9">
        <v>643</v>
      </c>
      <c r="U1271" s="9">
        <v>2700600</v>
      </c>
      <c r="V1271" s="6" t="s">
        <v>4397</v>
      </c>
      <c r="W1271" t="s">
        <v>40</v>
      </c>
      <c r="X1271">
        <v>4443021350</v>
      </c>
      <c r="Y1271">
        <v>440101001</v>
      </c>
      <c r="Z1271" s="3">
        <v>45841.460416666669</v>
      </c>
      <c r="AA1271" s="6">
        <v>2025</v>
      </c>
      <c r="AB1271" s="1">
        <v>46081</v>
      </c>
    </row>
    <row r="1272" spans="1:28" x14ac:dyDescent="0.3">
      <c r="A1272" t="s">
        <v>4481</v>
      </c>
      <c r="B1272" s="6" t="s">
        <v>2547</v>
      </c>
      <c r="C1272" s="6" t="s">
        <v>2548</v>
      </c>
      <c r="D1272">
        <v>4401004514</v>
      </c>
      <c r="E1272">
        <v>440101001</v>
      </c>
      <c r="F1272" t="s">
        <v>44</v>
      </c>
      <c r="H1272"/>
      <c r="J1272" s="8">
        <v>45838</v>
      </c>
      <c r="K1272" s="1" t="s">
        <v>2872</v>
      </c>
      <c r="L1272" t="s">
        <v>4482</v>
      </c>
      <c r="M1272" t="s">
        <v>4465</v>
      </c>
      <c r="N1272" s="12">
        <v>2997666</v>
      </c>
      <c r="O1272" t="s">
        <v>4466</v>
      </c>
      <c r="P1272" s="6" t="s">
        <v>36</v>
      </c>
      <c r="R1272" t="s">
        <v>38</v>
      </c>
      <c r="S1272" s="9">
        <v>4200</v>
      </c>
      <c r="T1272" s="9">
        <v>643</v>
      </c>
      <c r="U1272" s="9">
        <v>2700600</v>
      </c>
      <c r="V1272" s="6" t="s">
        <v>4397</v>
      </c>
      <c r="W1272" t="s">
        <v>40</v>
      </c>
      <c r="X1272">
        <v>4443021350</v>
      </c>
      <c r="Y1272">
        <v>440101001</v>
      </c>
      <c r="Z1272" s="3">
        <v>45841.459027777775</v>
      </c>
      <c r="AA1272" s="6">
        <v>2025</v>
      </c>
      <c r="AB1272" s="1">
        <v>46081</v>
      </c>
    </row>
    <row r="1273" spans="1:28" x14ac:dyDescent="0.3">
      <c r="A1273" t="s">
        <v>4483</v>
      </c>
      <c r="B1273" s="6" t="s">
        <v>2547</v>
      </c>
      <c r="C1273" s="6" t="s">
        <v>2548</v>
      </c>
      <c r="D1273">
        <v>4401004514</v>
      </c>
      <c r="E1273">
        <v>440101001</v>
      </c>
      <c r="F1273" t="s">
        <v>44</v>
      </c>
      <c r="H1273"/>
      <c r="J1273" s="8">
        <v>45838</v>
      </c>
      <c r="K1273" s="1" t="s">
        <v>2872</v>
      </c>
      <c r="L1273" t="s">
        <v>4484</v>
      </c>
      <c r="M1273" t="s">
        <v>4485</v>
      </c>
      <c r="N1273" s="12">
        <v>2997666</v>
      </c>
      <c r="O1273" t="s">
        <v>4466</v>
      </c>
      <c r="P1273" s="6" t="s">
        <v>36</v>
      </c>
      <c r="R1273" t="s">
        <v>38</v>
      </c>
      <c r="S1273" s="9">
        <v>4200</v>
      </c>
      <c r="T1273" s="9">
        <v>643</v>
      </c>
      <c r="U1273" s="9">
        <v>2700600</v>
      </c>
      <c r="V1273" s="6" t="s">
        <v>4397</v>
      </c>
      <c r="W1273" t="s">
        <v>40</v>
      </c>
      <c r="X1273">
        <v>4443021350</v>
      </c>
      <c r="Y1273">
        <v>440101001</v>
      </c>
      <c r="Z1273" s="3">
        <v>45841.45208333333</v>
      </c>
      <c r="AA1273" s="6">
        <v>2025</v>
      </c>
      <c r="AB1273" s="1">
        <v>46081</v>
      </c>
    </row>
    <row r="1274" spans="1:28" x14ac:dyDescent="0.3">
      <c r="A1274" t="s">
        <v>4453</v>
      </c>
      <c r="B1274" s="6" t="s">
        <v>1011</v>
      </c>
      <c r="C1274" s="6" t="s">
        <v>427</v>
      </c>
      <c r="D1274">
        <v>5190109972</v>
      </c>
      <c r="E1274">
        <v>519001001</v>
      </c>
      <c r="F1274" t="s">
        <v>94</v>
      </c>
      <c r="G1274" t="s">
        <v>4454</v>
      </c>
      <c r="H1274" s="1">
        <v>45833</v>
      </c>
      <c r="J1274" s="8">
        <v>45838</v>
      </c>
      <c r="K1274" s="1" t="s">
        <v>2872</v>
      </c>
      <c r="L1274" t="s">
        <v>4455</v>
      </c>
      <c r="M1274" t="s">
        <v>4201</v>
      </c>
      <c r="N1274" s="12">
        <v>8046500</v>
      </c>
      <c r="O1274" t="s">
        <v>3633</v>
      </c>
      <c r="P1274" s="6" t="s">
        <v>36</v>
      </c>
      <c r="Q1274" t="s">
        <v>37</v>
      </c>
      <c r="R1274" t="s">
        <v>38</v>
      </c>
      <c r="S1274" s="9">
        <v>3500</v>
      </c>
      <c r="T1274" s="9">
        <v>1253</v>
      </c>
      <c r="U1274" s="9">
        <v>4385500</v>
      </c>
      <c r="V1274" s="6" t="s">
        <v>39</v>
      </c>
      <c r="W1274" t="s">
        <v>40</v>
      </c>
      <c r="X1274">
        <v>7810687137</v>
      </c>
      <c r="Y1274">
        <v>781401001</v>
      </c>
      <c r="Z1274" s="3">
        <v>45841.408333333333</v>
      </c>
      <c r="AA1274" s="6">
        <v>2025</v>
      </c>
      <c r="AB1274" s="1">
        <v>46022</v>
      </c>
    </row>
    <row r="1275" spans="1:28" x14ac:dyDescent="0.3">
      <c r="A1275" t="s">
        <v>4486</v>
      </c>
      <c r="B1275" s="6" t="s">
        <v>2547</v>
      </c>
      <c r="C1275" s="6" t="s">
        <v>2548</v>
      </c>
      <c r="D1275">
        <v>4401004514</v>
      </c>
      <c r="E1275">
        <v>440101001</v>
      </c>
      <c r="F1275" t="s">
        <v>44</v>
      </c>
      <c r="H1275"/>
      <c r="J1275" s="8">
        <v>45838</v>
      </c>
      <c r="K1275" s="1" t="s">
        <v>2872</v>
      </c>
      <c r="L1275" t="s">
        <v>4487</v>
      </c>
      <c r="M1275" t="s">
        <v>4465</v>
      </c>
      <c r="N1275" s="12">
        <v>2997666</v>
      </c>
      <c r="O1275" t="s">
        <v>4466</v>
      </c>
      <c r="P1275" s="6" t="s">
        <v>36</v>
      </c>
      <c r="R1275" t="s">
        <v>38</v>
      </c>
      <c r="S1275" s="9">
        <v>4200</v>
      </c>
      <c r="T1275" s="9">
        <v>643</v>
      </c>
      <c r="U1275" s="9">
        <v>2700600</v>
      </c>
      <c r="V1275" s="6" t="s">
        <v>4397</v>
      </c>
      <c r="W1275" t="s">
        <v>40</v>
      </c>
      <c r="X1275">
        <v>4443021350</v>
      </c>
      <c r="Y1275">
        <v>440101001</v>
      </c>
      <c r="Z1275" s="3">
        <v>45840.744444444441</v>
      </c>
      <c r="AA1275" s="6">
        <v>2025</v>
      </c>
      <c r="AB1275" s="1">
        <v>46081</v>
      </c>
    </row>
    <row r="1276" spans="1:28" x14ac:dyDescent="0.3">
      <c r="A1276" t="s">
        <v>4488</v>
      </c>
      <c r="B1276" s="6" t="s">
        <v>2547</v>
      </c>
      <c r="C1276" s="6" t="s">
        <v>2548</v>
      </c>
      <c r="D1276">
        <v>4401004514</v>
      </c>
      <c r="E1276">
        <v>440101001</v>
      </c>
      <c r="F1276" t="s">
        <v>44</v>
      </c>
      <c r="H1276"/>
      <c r="J1276" s="8">
        <v>45838</v>
      </c>
      <c r="K1276" s="1" t="s">
        <v>2872</v>
      </c>
      <c r="L1276" t="s">
        <v>4489</v>
      </c>
      <c r="M1276" t="s">
        <v>4465</v>
      </c>
      <c r="N1276" s="12">
        <v>2997666</v>
      </c>
      <c r="O1276" t="s">
        <v>4490</v>
      </c>
      <c r="P1276" s="6" t="s">
        <v>36</v>
      </c>
      <c r="R1276" t="s">
        <v>38</v>
      </c>
      <c r="S1276" s="9">
        <v>4200</v>
      </c>
      <c r="T1276" s="9">
        <v>643</v>
      </c>
      <c r="U1276" s="9">
        <v>2700600</v>
      </c>
      <c r="V1276" s="6" t="s">
        <v>4397</v>
      </c>
      <c r="W1276" t="s">
        <v>40</v>
      </c>
      <c r="X1276">
        <v>4443021350</v>
      </c>
      <c r="Y1276">
        <v>440101001</v>
      </c>
      <c r="Z1276" s="3">
        <v>45840.743055555555</v>
      </c>
      <c r="AA1276" s="6">
        <v>2025</v>
      </c>
      <c r="AB1276" s="1">
        <v>46081</v>
      </c>
    </row>
    <row r="1277" spans="1:28" x14ac:dyDescent="0.3">
      <c r="A1277" t="s">
        <v>4491</v>
      </c>
      <c r="B1277" s="6" t="s">
        <v>2547</v>
      </c>
      <c r="C1277" s="6" t="s">
        <v>2548</v>
      </c>
      <c r="D1277">
        <v>4401004514</v>
      </c>
      <c r="E1277">
        <v>440101001</v>
      </c>
      <c r="F1277" t="s">
        <v>44</v>
      </c>
      <c r="H1277"/>
      <c r="J1277" s="8">
        <v>45838</v>
      </c>
      <c r="K1277" s="1" t="s">
        <v>2872</v>
      </c>
      <c r="L1277" t="s">
        <v>4492</v>
      </c>
      <c r="M1277" t="s">
        <v>4465</v>
      </c>
      <c r="N1277" s="12">
        <v>2997666</v>
      </c>
      <c r="O1277" t="s">
        <v>4466</v>
      </c>
      <c r="P1277" s="6" t="s">
        <v>36</v>
      </c>
      <c r="R1277" t="s">
        <v>38</v>
      </c>
      <c r="S1277" s="9">
        <v>4200</v>
      </c>
      <c r="T1277" s="9">
        <v>643</v>
      </c>
      <c r="U1277" s="9">
        <v>2700600</v>
      </c>
      <c r="V1277" s="6" t="s">
        <v>4397</v>
      </c>
      <c r="W1277" t="s">
        <v>40</v>
      </c>
      <c r="X1277">
        <v>4443021350</v>
      </c>
      <c r="Y1277">
        <v>440101001</v>
      </c>
      <c r="Z1277" s="3">
        <v>45840.742361111108</v>
      </c>
      <c r="AA1277" s="6">
        <v>2025</v>
      </c>
      <c r="AB1277" s="1">
        <v>46081</v>
      </c>
    </row>
    <row r="1278" spans="1:28" x14ac:dyDescent="0.3">
      <c r="A1278" t="s">
        <v>4493</v>
      </c>
      <c r="B1278" s="6" t="s">
        <v>2547</v>
      </c>
      <c r="C1278" s="6" t="s">
        <v>2548</v>
      </c>
      <c r="D1278">
        <v>4401004514</v>
      </c>
      <c r="E1278">
        <v>440101001</v>
      </c>
      <c r="F1278" t="s">
        <v>44</v>
      </c>
      <c r="H1278"/>
      <c r="J1278" s="8">
        <v>45838</v>
      </c>
      <c r="K1278" s="1" t="s">
        <v>2872</v>
      </c>
      <c r="L1278" t="s">
        <v>4494</v>
      </c>
      <c r="M1278" t="s">
        <v>4465</v>
      </c>
      <c r="N1278" s="12">
        <v>2997666</v>
      </c>
      <c r="O1278" t="s">
        <v>4466</v>
      </c>
      <c r="P1278" s="6" t="s">
        <v>36</v>
      </c>
      <c r="R1278" t="s">
        <v>38</v>
      </c>
      <c r="S1278" s="9">
        <v>4200</v>
      </c>
      <c r="T1278" s="9">
        <v>643</v>
      </c>
      <c r="U1278" s="9">
        <v>2700600</v>
      </c>
      <c r="V1278" s="6" t="s">
        <v>4397</v>
      </c>
      <c r="W1278" t="s">
        <v>40</v>
      </c>
      <c r="X1278">
        <v>4443021350</v>
      </c>
      <c r="Y1278">
        <v>440101001</v>
      </c>
      <c r="Z1278" s="3">
        <v>45840.741666666669</v>
      </c>
      <c r="AA1278" s="6">
        <v>2025</v>
      </c>
      <c r="AB1278" s="1">
        <v>46081</v>
      </c>
    </row>
    <row r="1279" spans="1:28" x14ac:dyDescent="0.3">
      <c r="A1279" t="s">
        <v>4495</v>
      </c>
      <c r="B1279" s="6" t="s">
        <v>2547</v>
      </c>
      <c r="C1279" s="6" t="s">
        <v>2548</v>
      </c>
      <c r="D1279">
        <v>4401004514</v>
      </c>
      <c r="E1279">
        <v>440101001</v>
      </c>
      <c r="F1279" t="s">
        <v>44</v>
      </c>
      <c r="H1279"/>
      <c r="J1279" s="8">
        <v>45838</v>
      </c>
      <c r="K1279" s="1" t="s">
        <v>2872</v>
      </c>
      <c r="L1279" t="s">
        <v>4496</v>
      </c>
      <c r="M1279" t="s">
        <v>4465</v>
      </c>
      <c r="N1279" s="12">
        <v>2997666</v>
      </c>
      <c r="O1279" t="s">
        <v>4466</v>
      </c>
      <c r="P1279" s="6" t="s">
        <v>36</v>
      </c>
      <c r="R1279" t="s">
        <v>38</v>
      </c>
      <c r="S1279" s="9">
        <v>4200</v>
      </c>
      <c r="T1279" s="9">
        <v>643</v>
      </c>
      <c r="U1279" s="9">
        <v>2700600</v>
      </c>
      <c r="V1279" s="6" t="s">
        <v>4397</v>
      </c>
      <c r="W1279" t="s">
        <v>40</v>
      </c>
      <c r="X1279">
        <v>4443021350</v>
      </c>
      <c r="Y1279">
        <v>440101001</v>
      </c>
      <c r="Z1279" s="3">
        <v>45840.740277777775</v>
      </c>
      <c r="AA1279" s="6">
        <v>2025</v>
      </c>
      <c r="AB1279" s="1">
        <v>46081</v>
      </c>
    </row>
    <row r="1280" spans="1:28" x14ac:dyDescent="0.3">
      <c r="A1280" t="s">
        <v>4497</v>
      </c>
      <c r="B1280" s="6" t="s">
        <v>2547</v>
      </c>
      <c r="C1280" s="6" t="s">
        <v>2548</v>
      </c>
      <c r="D1280">
        <v>4401004514</v>
      </c>
      <c r="E1280">
        <v>440101001</v>
      </c>
      <c r="F1280" t="s">
        <v>44</v>
      </c>
      <c r="H1280"/>
      <c r="J1280" s="8">
        <v>45838</v>
      </c>
      <c r="K1280" s="1" t="s">
        <v>2872</v>
      </c>
      <c r="L1280" t="s">
        <v>4498</v>
      </c>
      <c r="M1280" t="s">
        <v>4499</v>
      </c>
      <c r="N1280" s="12">
        <v>2997666</v>
      </c>
      <c r="O1280" t="s">
        <v>4466</v>
      </c>
      <c r="P1280" s="6" t="s">
        <v>36</v>
      </c>
      <c r="R1280" t="s">
        <v>38</v>
      </c>
      <c r="S1280" s="9">
        <v>4200</v>
      </c>
      <c r="T1280" s="9">
        <v>643</v>
      </c>
      <c r="U1280" s="9">
        <v>2700600</v>
      </c>
      <c r="V1280" s="6" t="s">
        <v>4397</v>
      </c>
      <c r="W1280" t="s">
        <v>40</v>
      </c>
      <c r="X1280">
        <v>4443021350</v>
      </c>
      <c r="Y1280">
        <v>440101001</v>
      </c>
      <c r="Z1280" s="3">
        <v>45840.738888888889</v>
      </c>
      <c r="AA1280" s="6">
        <v>2025</v>
      </c>
      <c r="AB1280" s="1">
        <v>46081</v>
      </c>
    </row>
    <row r="1281" spans="1:28" x14ac:dyDescent="0.3">
      <c r="A1281" t="s">
        <v>4500</v>
      </c>
      <c r="B1281" s="6" t="s">
        <v>2547</v>
      </c>
      <c r="C1281" s="6" t="s">
        <v>2548</v>
      </c>
      <c r="D1281">
        <v>4401004514</v>
      </c>
      <c r="E1281">
        <v>440101001</v>
      </c>
      <c r="F1281" t="s">
        <v>44</v>
      </c>
      <c r="H1281"/>
      <c r="J1281" s="8">
        <v>45838</v>
      </c>
      <c r="K1281" s="1" t="s">
        <v>2872</v>
      </c>
      <c r="L1281" t="s">
        <v>4501</v>
      </c>
      <c r="M1281" t="s">
        <v>4465</v>
      </c>
      <c r="N1281" s="12">
        <v>2997666</v>
      </c>
      <c r="O1281" t="s">
        <v>4466</v>
      </c>
      <c r="P1281" s="6" t="s">
        <v>36</v>
      </c>
      <c r="R1281" t="s">
        <v>38</v>
      </c>
      <c r="S1281" s="9">
        <v>4200</v>
      </c>
      <c r="T1281" s="9">
        <v>643</v>
      </c>
      <c r="U1281" s="9">
        <v>2700600</v>
      </c>
      <c r="V1281" s="6" t="s">
        <v>4397</v>
      </c>
      <c r="W1281" t="s">
        <v>40</v>
      </c>
      <c r="X1281">
        <v>4443021350</v>
      </c>
      <c r="Y1281">
        <v>440101001</v>
      </c>
      <c r="Z1281" s="3">
        <v>45840.736805555556</v>
      </c>
      <c r="AA1281" s="6">
        <v>2025</v>
      </c>
      <c r="AB1281" s="1">
        <v>46081</v>
      </c>
    </row>
    <row r="1282" spans="1:28" x14ac:dyDescent="0.3">
      <c r="A1282" t="s">
        <v>4502</v>
      </c>
      <c r="B1282" s="6" t="s">
        <v>2547</v>
      </c>
      <c r="C1282" s="6" t="s">
        <v>2548</v>
      </c>
      <c r="D1282">
        <v>4401004514</v>
      </c>
      <c r="E1282">
        <v>440101001</v>
      </c>
      <c r="F1282" t="s">
        <v>44</v>
      </c>
      <c r="H1282"/>
      <c r="J1282" s="8">
        <v>45838</v>
      </c>
      <c r="K1282" s="1" t="s">
        <v>2872</v>
      </c>
      <c r="L1282" t="s">
        <v>4503</v>
      </c>
      <c r="M1282" t="s">
        <v>4465</v>
      </c>
      <c r="N1282" s="12">
        <v>2997666</v>
      </c>
      <c r="O1282" t="s">
        <v>4466</v>
      </c>
      <c r="P1282" s="6" t="s">
        <v>36</v>
      </c>
      <c r="R1282" t="s">
        <v>38</v>
      </c>
      <c r="S1282" s="9">
        <v>4200</v>
      </c>
      <c r="T1282" s="9">
        <v>643</v>
      </c>
      <c r="U1282" s="9">
        <v>2700600</v>
      </c>
      <c r="V1282" s="6" t="s">
        <v>4397</v>
      </c>
      <c r="W1282" t="s">
        <v>40</v>
      </c>
      <c r="X1282">
        <v>4443021350</v>
      </c>
      <c r="Y1282">
        <v>440101001</v>
      </c>
      <c r="Z1282" s="3">
        <v>45840.736111111109</v>
      </c>
      <c r="AA1282" s="6">
        <v>2025</v>
      </c>
      <c r="AB1282" s="1">
        <v>46081</v>
      </c>
    </row>
    <row r="1283" spans="1:28" x14ac:dyDescent="0.3">
      <c r="A1283" t="s">
        <v>4504</v>
      </c>
      <c r="B1283" s="6" t="s">
        <v>830</v>
      </c>
      <c r="C1283" s="6" t="s">
        <v>831</v>
      </c>
      <c r="D1283">
        <v>6163049814</v>
      </c>
      <c r="E1283">
        <v>616601001</v>
      </c>
      <c r="F1283" t="s">
        <v>52</v>
      </c>
      <c r="G1283" t="s">
        <v>4505</v>
      </c>
      <c r="H1283" s="1">
        <v>45827</v>
      </c>
      <c r="J1283" s="8">
        <v>45838</v>
      </c>
      <c r="K1283" s="1" t="s">
        <v>2872</v>
      </c>
      <c r="L1283" t="s">
        <v>4506</v>
      </c>
      <c r="M1283" t="s">
        <v>4507</v>
      </c>
      <c r="N1283" s="12">
        <v>3512412.96</v>
      </c>
      <c r="O1283" t="s">
        <v>3633</v>
      </c>
      <c r="P1283" s="6" t="s">
        <v>36</v>
      </c>
      <c r="R1283" t="s">
        <v>38</v>
      </c>
      <c r="S1283" s="9">
        <v>3851.33</v>
      </c>
      <c r="T1283" s="9">
        <v>912</v>
      </c>
      <c r="U1283" s="9">
        <v>3512412.96</v>
      </c>
      <c r="V1283" s="6" t="s">
        <v>58</v>
      </c>
      <c r="W1283" t="s">
        <v>59</v>
      </c>
      <c r="X1283">
        <v>5262222144</v>
      </c>
      <c r="Y1283">
        <v>526001001</v>
      </c>
      <c r="Z1283" s="3">
        <v>45840.635416666664</v>
      </c>
      <c r="AA1283" s="6">
        <v>2025</v>
      </c>
      <c r="AB1283" s="1">
        <v>46022</v>
      </c>
    </row>
    <row r="1284" spans="1:28" x14ac:dyDescent="0.3">
      <c r="A1284" t="s">
        <v>4456</v>
      </c>
      <c r="B1284" s="6" t="s">
        <v>946</v>
      </c>
      <c r="C1284" s="6" t="s">
        <v>947</v>
      </c>
      <c r="D1284">
        <v>7325000951</v>
      </c>
      <c r="E1284">
        <v>732501001</v>
      </c>
      <c r="F1284" t="s">
        <v>94</v>
      </c>
      <c r="G1284" t="s">
        <v>4457</v>
      </c>
      <c r="H1284" s="1">
        <v>45833</v>
      </c>
      <c r="J1284" s="8">
        <v>45838</v>
      </c>
      <c r="K1284" s="1" t="s">
        <v>2872</v>
      </c>
      <c r="L1284" t="s">
        <v>4457</v>
      </c>
      <c r="M1284" t="s">
        <v>377</v>
      </c>
      <c r="N1284" s="12">
        <v>3535000</v>
      </c>
      <c r="O1284" t="s">
        <v>3633</v>
      </c>
      <c r="P1284" s="6" t="s">
        <v>36</v>
      </c>
      <c r="Q1284" t="s">
        <v>37</v>
      </c>
      <c r="R1284" t="s">
        <v>38</v>
      </c>
      <c r="S1284" s="9">
        <v>3500</v>
      </c>
      <c r="T1284" s="9">
        <v>510</v>
      </c>
      <c r="U1284" s="9">
        <v>1785000</v>
      </c>
      <c r="V1284" s="6" t="s">
        <v>39</v>
      </c>
      <c r="W1284" t="s">
        <v>40</v>
      </c>
      <c r="X1284">
        <v>7810687137</v>
      </c>
      <c r="Y1284">
        <v>781401001</v>
      </c>
      <c r="Z1284" s="3">
        <v>45839.630555555559</v>
      </c>
      <c r="AA1284" s="6">
        <v>2025</v>
      </c>
      <c r="AB1284" s="1">
        <v>46022</v>
      </c>
    </row>
    <row r="1285" spans="1:28" x14ac:dyDescent="0.3">
      <c r="A1285" t="s">
        <v>4508</v>
      </c>
      <c r="B1285" s="6" t="s">
        <v>4509</v>
      </c>
      <c r="C1285" s="6" t="s">
        <v>1104</v>
      </c>
      <c r="D1285">
        <v>4346011211</v>
      </c>
      <c r="E1285">
        <v>434501001</v>
      </c>
      <c r="F1285" t="s">
        <v>52</v>
      </c>
      <c r="G1285" t="s">
        <v>4510</v>
      </c>
      <c r="H1285" s="1">
        <v>45827</v>
      </c>
      <c r="J1285" s="8">
        <v>45838</v>
      </c>
      <c r="K1285" s="1" t="s">
        <v>2872</v>
      </c>
      <c r="L1285" t="s">
        <v>4511</v>
      </c>
      <c r="M1285" t="s">
        <v>179</v>
      </c>
      <c r="N1285" s="12">
        <v>290594.44</v>
      </c>
      <c r="O1285" t="s">
        <v>4512</v>
      </c>
      <c r="P1285" s="6" t="s">
        <v>36</v>
      </c>
      <c r="R1285" t="s">
        <v>48</v>
      </c>
      <c r="S1285" s="9">
        <v>8072.07</v>
      </c>
      <c r="T1285" s="9">
        <v>36</v>
      </c>
      <c r="U1285" s="9">
        <v>290594.44</v>
      </c>
      <c r="V1285" s="6" t="s">
        <v>58</v>
      </c>
      <c r="W1285" t="s">
        <v>59</v>
      </c>
      <c r="X1285">
        <v>5262222144</v>
      </c>
      <c r="Y1285">
        <v>526001001</v>
      </c>
      <c r="Z1285" s="3">
        <v>45839.34652777778</v>
      </c>
      <c r="AA1285" s="6">
        <v>2025</v>
      </c>
      <c r="AB1285" s="1">
        <v>46387</v>
      </c>
    </row>
    <row r="1286" spans="1:28" x14ac:dyDescent="0.3">
      <c r="A1286" t="s">
        <v>4513</v>
      </c>
      <c r="B1286" s="6" t="s">
        <v>2467</v>
      </c>
      <c r="C1286" s="6" t="s">
        <v>904</v>
      </c>
      <c r="D1286">
        <v>3525010519</v>
      </c>
      <c r="E1286">
        <v>352501001</v>
      </c>
      <c r="F1286" t="s">
        <v>94</v>
      </c>
      <c r="G1286" t="s">
        <v>4514</v>
      </c>
      <c r="H1286" s="1">
        <v>45833</v>
      </c>
      <c r="J1286" s="8">
        <v>45838</v>
      </c>
      <c r="K1286" s="1" t="s">
        <v>2872</v>
      </c>
      <c r="L1286" t="s">
        <v>4515</v>
      </c>
      <c r="M1286" t="s">
        <v>1496</v>
      </c>
      <c r="N1286" s="12">
        <v>7064900</v>
      </c>
      <c r="O1286" t="s">
        <v>3648</v>
      </c>
      <c r="P1286" s="6" t="s">
        <v>2277</v>
      </c>
      <c r="R1286" t="s">
        <v>38</v>
      </c>
      <c r="S1286" s="9">
        <v>3100</v>
      </c>
      <c r="T1286" s="9">
        <v>2279</v>
      </c>
      <c r="U1286" s="9">
        <v>7064900</v>
      </c>
      <c r="V1286" s="6" t="s">
        <v>352</v>
      </c>
      <c r="W1286" t="s">
        <v>40</v>
      </c>
      <c r="X1286">
        <v>7843014747</v>
      </c>
      <c r="Y1286">
        <v>781401001</v>
      </c>
      <c r="Z1286" s="3">
        <v>45839.32916666667</v>
      </c>
      <c r="AA1286" s="6">
        <v>2025</v>
      </c>
      <c r="AB1286" s="1">
        <v>45896</v>
      </c>
    </row>
    <row r="1287" spans="1:28" x14ac:dyDescent="0.3">
      <c r="A1287" t="s">
        <v>4516</v>
      </c>
      <c r="B1287" s="6" t="s">
        <v>2467</v>
      </c>
      <c r="C1287" s="6" t="s">
        <v>904</v>
      </c>
      <c r="D1287">
        <v>3525010519</v>
      </c>
      <c r="E1287">
        <v>352501001</v>
      </c>
      <c r="F1287" t="s">
        <v>94</v>
      </c>
      <c r="G1287" t="s">
        <v>4517</v>
      </c>
      <c r="H1287" s="1">
        <v>45833</v>
      </c>
      <c r="J1287" s="8">
        <v>45838</v>
      </c>
      <c r="K1287" s="1" t="s">
        <v>2872</v>
      </c>
      <c r="L1287" t="s">
        <v>4518</v>
      </c>
      <c r="M1287" t="s">
        <v>1496</v>
      </c>
      <c r="N1287" s="12">
        <v>7178850</v>
      </c>
      <c r="O1287" t="s">
        <v>3633</v>
      </c>
      <c r="P1287" s="6" t="s">
        <v>36</v>
      </c>
      <c r="R1287" t="s">
        <v>38</v>
      </c>
      <c r="S1287" s="9">
        <v>3150</v>
      </c>
      <c r="T1287" s="9">
        <v>2279</v>
      </c>
      <c r="U1287" s="9">
        <v>7178850</v>
      </c>
      <c r="V1287" s="6" t="s">
        <v>352</v>
      </c>
      <c r="W1287" t="s">
        <v>40</v>
      </c>
      <c r="X1287">
        <v>7843014747</v>
      </c>
      <c r="Y1287">
        <v>781401001</v>
      </c>
      <c r="Z1287" s="3">
        <v>45838.636805555558</v>
      </c>
      <c r="AA1287" s="6">
        <v>2025</v>
      </c>
      <c r="AB1287" s="1">
        <v>45896</v>
      </c>
    </row>
    <row r="1288" spans="1:28" x14ac:dyDescent="0.3">
      <c r="A1288" t="s">
        <v>4519</v>
      </c>
      <c r="B1288" s="6" t="s">
        <v>2547</v>
      </c>
      <c r="C1288" s="6" t="s">
        <v>2548</v>
      </c>
      <c r="D1288">
        <v>4401004514</v>
      </c>
      <c r="E1288">
        <v>440101001</v>
      </c>
      <c r="F1288" t="s">
        <v>149</v>
      </c>
      <c r="G1288" t="s">
        <v>4520</v>
      </c>
      <c r="H1288" s="1">
        <v>45833</v>
      </c>
      <c r="J1288" s="8">
        <v>45838</v>
      </c>
      <c r="K1288" s="1" t="s">
        <v>2872</v>
      </c>
      <c r="L1288" t="s">
        <v>4521</v>
      </c>
      <c r="M1288" t="s">
        <v>377</v>
      </c>
      <c r="N1288" s="12">
        <v>4620000</v>
      </c>
      <c r="O1288" t="s">
        <v>3633</v>
      </c>
      <c r="P1288" s="6" t="s">
        <v>36</v>
      </c>
      <c r="R1288" t="s">
        <v>38</v>
      </c>
      <c r="S1288" s="9">
        <v>4200</v>
      </c>
      <c r="T1288" s="9">
        <v>1100</v>
      </c>
      <c r="U1288" s="9">
        <v>4620000</v>
      </c>
      <c r="V1288" s="6" t="s">
        <v>39</v>
      </c>
      <c r="W1288" t="s">
        <v>40</v>
      </c>
      <c r="X1288">
        <v>7810687137</v>
      </c>
      <c r="Y1288">
        <v>781401001</v>
      </c>
      <c r="Z1288" s="3">
        <v>45846.607638888891</v>
      </c>
      <c r="AA1288" s="6">
        <v>2025</v>
      </c>
      <c r="AB1288" s="1">
        <v>46022</v>
      </c>
    </row>
    <row r="1289" spans="1:28" x14ac:dyDescent="0.3">
      <c r="A1289" t="s">
        <v>4522</v>
      </c>
      <c r="B1289" s="6" t="s">
        <v>2547</v>
      </c>
      <c r="C1289" s="6" t="s">
        <v>2548</v>
      </c>
      <c r="D1289">
        <v>4401004514</v>
      </c>
      <c r="E1289">
        <v>440101001</v>
      </c>
      <c r="F1289" t="s">
        <v>149</v>
      </c>
      <c r="G1289" t="s">
        <v>4523</v>
      </c>
      <c r="H1289" s="1">
        <v>45833</v>
      </c>
      <c r="J1289" s="8">
        <v>45838</v>
      </c>
      <c r="K1289" s="1" t="s">
        <v>2872</v>
      </c>
      <c r="L1289" t="s">
        <v>4524</v>
      </c>
      <c r="M1289" t="s">
        <v>377</v>
      </c>
      <c r="N1289" s="12">
        <v>4620000</v>
      </c>
      <c r="O1289" t="s">
        <v>3633</v>
      </c>
      <c r="P1289" s="6" t="s">
        <v>36</v>
      </c>
      <c r="R1289" t="s">
        <v>38</v>
      </c>
      <c r="S1289" s="9">
        <v>4200</v>
      </c>
      <c r="T1289" s="9">
        <v>1100</v>
      </c>
      <c r="U1289" s="9">
        <v>4620000</v>
      </c>
      <c r="V1289" s="6" t="s">
        <v>39</v>
      </c>
      <c r="W1289" t="s">
        <v>40</v>
      </c>
      <c r="X1289">
        <v>7810687137</v>
      </c>
      <c r="Y1289">
        <v>781401001</v>
      </c>
      <c r="Z1289" s="3">
        <v>45842.631249999999</v>
      </c>
      <c r="AA1289" s="6">
        <v>2025</v>
      </c>
      <c r="AB1289" s="1">
        <v>46022</v>
      </c>
    </row>
    <row r="1290" spans="1:28" x14ac:dyDescent="0.3">
      <c r="A1290" t="s">
        <v>4525</v>
      </c>
      <c r="B1290" s="6" t="s">
        <v>2547</v>
      </c>
      <c r="C1290" s="6" t="s">
        <v>2548</v>
      </c>
      <c r="D1290">
        <v>4401004514</v>
      </c>
      <c r="E1290">
        <v>440101001</v>
      </c>
      <c r="F1290" t="s">
        <v>149</v>
      </c>
      <c r="G1290" t="s">
        <v>4526</v>
      </c>
      <c r="H1290" s="1">
        <v>45833</v>
      </c>
      <c r="J1290" s="8">
        <v>45838</v>
      </c>
      <c r="K1290" s="1" t="s">
        <v>2872</v>
      </c>
      <c r="L1290" t="s">
        <v>4527</v>
      </c>
      <c r="M1290" t="s">
        <v>377</v>
      </c>
      <c r="N1290" s="12">
        <v>3990000</v>
      </c>
      <c r="O1290" t="s">
        <v>3633</v>
      </c>
      <c r="P1290" s="6" t="s">
        <v>36</v>
      </c>
      <c r="R1290" t="s">
        <v>38</v>
      </c>
      <c r="S1290" s="9">
        <v>4200</v>
      </c>
      <c r="T1290" s="9">
        <v>950</v>
      </c>
      <c r="U1290" s="9">
        <v>3990000</v>
      </c>
      <c r="V1290" s="6" t="s">
        <v>39</v>
      </c>
      <c r="W1290" t="s">
        <v>40</v>
      </c>
      <c r="X1290">
        <v>7810687137</v>
      </c>
      <c r="Y1290">
        <v>781401001</v>
      </c>
      <c r="Z1290" s="3">
        <v>45842.602777777778</v>
      </c>
      <c r="AA1290" s="6">
        <v>2025</v>
      </c>
      <c r="AB1290" s="1">
        <v>46022</v>
      </c>
    </row>
    <row r="1291" spans="1:28" x14ac:dyDescent="0.3">
      <c r="A1291" s="6" t="s">
        <v>4528</v>
      </c>
      <c r="B1291" s="6" t="s">
        <v>4225</v>
      </c>
      <c r="C1291" s="6" t="s">
        <v>164</v>
      </c>
      <c r="D1291" s="6">
        <v>7725262013</v>
      </c>
      <c r="E1291" s="6">
        <v>772501001</v>
      </c>
      <c r="F1291" s="6" t="s">
        <v>4226</v>
      </c>
      <c r="G1291" s="6" t="s">
        <v>4529</v>
      </c>
      <c r="H1291" s="8">
        <v>45828</v>
      </c>
      <c r="I1291" s="6"/>
      <c r="J1291" s="8">
        <v>45839</v>
      </c>
      <c r="K1291" s="8" t="s">
        <v>4530</v>
      </c>
      <c r="L1291" s="6" t="s">
        <v>4531</v>
      </c>
      <c r="M1291" s="6" t="s">
        <v>4532</v>
      </c>
      <c r="N1291" s="14">
        <v>10929568</v>
      </c>
      <c r="O1291" s="6" t="s">
        <v>4533</v>
      </c>
      <c r="P1291" s="6" t="s">
        <v>2277</v>
      </c>
      <c r="Q1291" s="6"/>
      <c r="R1291" s="6" t="s">
        <v>38</v>
      </c>
      <c r="S1291" s="9">
        <v>2236</v>
      </c>
      <c r="T1291" s="9">
        <v>2444</v>
      </c>
      <c r="U1291" s="9">
        <v>5464784</v>
      </c>
      <c r="V1291" s="6" t="s">
        <v>251</v>
      </c>
      <c r="W1291" s="6" t="s">
        <v>252</v>
      </c>
      <c r="X1291" s="6">
        <v>5027262517</v>
      </c>
      <c r="Y1291" s="6">
        <v>502701001</v>
      </c>
      <c r="Z1291" s="11"/>
      <c r="AA1291" s="6">
        <v>2025</v>
      </c>
      <c r="AB1291" s="8">
        <v>46387</v>
      </c>
    </row>
    <row r="1292" spans="1:28" x14ac:dyDescent="0.3">
      <c r="A1292" s="6" t="s">
        <v>4528</v>
      </c>
      <c r="B1292" s="6" t="s">
        <v>4225</v>
      </c>
      <c r="C1292" s="6" t="s">
        <v>164</v>
      </c>
      <c r="D1292" s="6">
        <v>7725262013</v>
      </c>
      <c r="E1292" s="6">
        <v>772501001</v>
      </c>
      <c r="F1292" s="6" t="s">
        <v>4226</v>
      </c>
      <c r="G1292" s="6" t="s">
        <v>4529</v>
      </c>
      <c r="H1292" s="8">
        <v>45828</v>
      </c>
      <c r="I1292" s="6"/>
      <c r="J1292" s="8">
        <v>45839</v>
      </c>
      <c r="K1292" s="8" t="s">
        <v>4530</v>
      </c>
      <c r="L1292" s="6" t="s">
        <v>4531</v>
      </c>
      <c r="M1292" s="6" t="s">
        <v>4532</v>
      </c>
      <c r="N1292" s="14">
        <v>10929568</v>
      </c>
      <c r="O1292" s="6" t="s">
        <v>4533</v>
      </c>
      <c r="P1292" s="6" t="s">
        <v>2277</v>
      </c>
      <c r="Q1292" s="6"/>
      <c r="R1292" s="6" t="s">
        <v>38</v>
      </c>
      <c r="S1292" s="9">
        <v>2236</v>
      </c>
      <c r="T1292" s="9">
        <v>2444</v>
      </c>
      <c r="U1292" s="9">
        <v>5464784</v>
      </c>
      <c r="V1292" s="6" t="s">
        <v>251</v>
      </c>
      <c r="W1292" s="6" t="s">
        <v>252</v>
      </c>
      <c r="X1292" s="6">
        <v>5027262517</v>
      </c>
      <c r="Y1292" s="6">
        <v>502701001</v>
      </c>
      <c r="Z1292" s="11"/>
      <c r="AA1292" s="6">
        <v>2026</v>
      </c>
      <c r="AB1292" s="8">
        <v>46387</v>
      </c>
    </row>
    <row r="1293" spans="1:28" x14ac:dyDescent="0.3">
      <c r="A1293" t="s">
        <v>4534</v>
      </c>
      <c r="B1293" s="6" t="s">
        <v>2467</v>
      </c>
      <c r="C1293" s="6" t="s">
        <v>904</v>
      </c>
      <c r="D1293">
        <v>3525010519</v>
      </c>
      <c r="E1293">
        <v>352501001</v>
      </c>
      <c r="F1293" t="s">
        <v>94</v>
      </c>
      <c r="G1293" t="s">
        <v>4535</v>
      </c>
      <c r="H1293" s="1">
        <v>45834</v>
      </c>
      <c r="J1293" s="8">
        <v>45839</v>
      </c>
      <c r="K1293" s="1" t="s">
        <v>4530</v>
      </c>
      <c r="L1293" t="s">
        <v>4536</v>
      </c>
      <c r="M1293" t="s">
        <v>4537</v>
      </c>
      <c r="N1293" s="12">
        <v>6200000</v>
      </c>
      <c r="O1293" t="s">
        <v>3648</v>
      </c>
      <c r="P1293" s="6" t="s">
        <v>2277</v>
      </c>
      <c r="R1293" t="s">
        <v>38</v>
      </c>
      <c r="S1293" s="9">
        <v>3100</v>
      </c>
      <c r="T1293" s="9">
        <v>2000</v>
      </c>
      <c r="U1293" s="9">
        <v>6200000</v>
      </c>
      <c r="V1293" s="6" t="s">
        <v>352</v>
      </c>
      <c r="W1293" t="s">
        <v>40</v>
      </c>
      <c r="X1293">
        <v>7843014747</v>
      </c>
      <c r="Y1293">
        <v>781401001</v>
      </c>
      <c r="Z1293" s="3">
        <v>45845.581944444442</v>
      </c>
      <c r="AA1293" s="6">
        <v>2025</v>
      </c>
      <c r="AB1293" s="1">
        <v>45897</v>
      </c>
    </row>
    <row r="1294" spans="1:28" x14ac:dyDescent="0.3">
      <c r="A1294" t="s">
        <v>4538</v>
      </c>
      <c r="B1294" s="6" t="s">
        <v>2467</v>
      </c>
      <c r="C1294" s="6" t="s">
        <v>904</v>
      </c>
      <c r="D1294">
        <v>3525010519</v>
      </c>
      <c r="E1294">
        <v>352501001</v>
      </c>
      <c r="F1294" t="s">
        <v>94</v>
      </c>
      <c r="G1294" t="s">
        <v>4539</v>
      </c>
      <c r="H1294" s="1">
        <v>45834</v>
      </c>
      <c r="J1294" s="8">
        <v>45839</v>
      </c>
      <c r="K1294" s="1" t="s">
        <v>4530</v>
      </c>
      <c r="L1294" t="s">
        <v>4540</v>
      </c>
      <c r="M1294" t="s">
        <v>4537</v>
      </c>
      <c r="N1294" s="12">
        <v>6300000</v>
      </c>
      <c r="O1294" t="s">
        <v>4541</v>
      </c>
      <c r="P1294" s="6" t="s">
        <v>36</v>
      </c>
      <c r="R1294" t="s">
        <v>38</v>
      </c>
      <c r="S1294" s="9">
        <v>3150</v>
      </c>
      <c r="T1294" s="9">
        <v>2000</v>
      </c>
      <c r="U1294" s="9">
        <v>6300000</v>
      </c>
      <c r="V1294" s="6" t="s">
        <v>352</v>
      </c>
      <c r="W1294" t="s">
        <v>40</v>
      </c>
      <c r="X1294">
        <v>7843014747</v>
      </c>
      <c r="Y1294">
        <v>781401001</v>
      </c>
      <c r="Z1294" s="3">
        <v>45839.626388888886</v>
      </c>
      <c r="AA1294" s="6">
        <v>2025</v>
      </c>
      <c r="AB1294" s="1">
        <v>45897</v>
      </c>
    </row>
    <row r="1295" spans="1:28" x14ac:dyDescent="0.3">
      <c r="A1295" t="s">
        <v>4542</v>
      </c>
      <c r="B1295" s="6" t="s">
        <v>4543</v>
      </c>
      <c r="C1295" s="6" t="s">
        <v>105</v>
      </c>
      <c r="D1295">
        <v>6660055529</v>
      </c>
      <c r="E1295">
        <v>667001001</v>
      </c>
      <c r="F1295" t="s">
        <v>52</v>
      </c>
      <c r="G1295" t="s">
        <v>4544</v>
      </c>
      <c r="H1295" s="1">
        <v>45828</v>
      </c>
      <c r="J1295" s="8">
        <v>45839</v>
      </c>
      <c r="K1295" s="1" t="s">
        <v>4530</v>
      </c>
      <c r="L1295" t="s">
        <v>4545</v>
      </c>
      <c r="M1295" t="s">
        <v>377</v>
      </c>
      <c r="N1295" s="12">
        <v>26617500</v>
      </c>
      <c r="O1295" t="s">
        <v>4036</v>
      </c>
      <c r="P1295" s="6" t="s">
        <v>2941</v>
      </c>
      <c r="R1295" t="s">
        <v>38</v>
      </c>
      <c r="S1295" s="9">
        <v>3802.5</v>
      </c>
      <c r="T1295" s="9">
        <v>4000</v>
      </c>
      <c r="U1295" s="9">
        <v>15210000</v>
      </c>
      <c r="V1295" s="6" t="s">
        <v>58</v>
      </c>
      <c r="W1295" t="s">
        <v>59</v>
      </c>
      <c r="X1295">
        <v>5262222144</v>
      </c>
      <c r="Y1295">
        <v>526001001</v>
      </c>
      <c r="Z1295" s="3">
        <v>45841.597916666666</v>
      </c>
      <c r="AA1295" s="6">
        <v>2025</v>
      </c>
      <c r="AB1295" s="1">
        <v>45930</v>
      </c>
    </row>
    <row r="1296" spans="1:28" x14ac:dyDescent="0.3">
      <c r="A1296" t="s">
        <v>4542</v>
      </c>
      <c r="B1296" s="6" t="s">
        <v>4543</v>
      </c>
      <c r="C1296" s="6" t="s">
        <v>105</v>
      </c>
      <c r="D1296">
        <v>6660055529</v>
      </c>
      <c r="E1296">
        <v>667001001</v>
      </c>
      <c r="F1296" t="s">
        <v>52</v>
      </c>
      <c r="G1296" t="s">
        <v>4544</v>
      </c>
      <c r="H1296" s="1">
        <v>45828</v>
      </c>
      <c r="J1296" s="8">
        <v>45839</v>
      </c>
      <c r="K1296" s="1" t="s">
        <v>4530</v>
      </c>
      <c r="L1296" t="s">
        <v>4545</v>
      </c>
      <c r="M1296" t="s">
        <v>377</v>
      </c>
      <c r="N1296" s="12">
        <v>26617500</v>
      </c>
      <c r="O1296" t="s">
        <v>3633</v>
      </c>
      <c r="P1296" s="6" t="s">
        <v>36</v>
      </c>
      <c r="R1296" t="s">
        <v>38</v>
      </c>
      <c r="S1296" s="9">
        <v>3802.5</v>
      </c>
      <c r="T1296" s="9">
        <v>3000</v>
      </c>
      <c r="U1296" s="9">
        <v>11407500</v>
      </c>
      <c r="V1296" s="6" t="s">
        <v>58</v>
      </c>
      <c r="W1296" t="s">
        <v>59</v>
      </c>
      <c r="X1296">
        <v>5262222144</v>
      </c>
      <c r="Y1296">
        <v>526001001</v>
      </c>
      <c r="Z1296" s="3">
        <v>45841.597916666666</v>
      </c>
      <c r="AA1296" s="6">
        <v>2025</v>
      </c>
      <c r="AB1296" s="1">
        <v>45930</v>
      </c>
    </row>
    <row r="1297" spans="1:28" x14ac:dyDescent="0.3">
      <c r="A1297" t="s">
        <v>4546</v>
      </c>
      <c r="B1297" s="6" t="s">
        <v>554</v>
      </c>
      <c r="C1297" s="6" t="s">
        <v>555</v>
      </c>
      <c r="D1297">
        <v>7453135827</v>
      </c>
      <c r="E1297">
        <v>745301001</v>
      </c>
      <c r="F1297" t="s">
        <v>149</v>
      </c>
      <c r="G1297" t="s">
        <v>4547</v>
      </c>
      <c r="H1297" s="1">
        <v>45835</v>
      </c>
      <c r="J1297" s="8">
        <v>45840</v>
      </c>
      <c r="K1297" s="1" t="s">
        <v>4530</v>
      </c>
      <c r="L1297" t="s">
        <v>4548</v>
      </c>
      <c r="M1297" t="s">
        <v>377</v>
      </c>
      <c r="N1297" s="12">
        <v>934800</v>
      </c>
      <c r="O1297" t="s">
        <v>3613</v>
      </c>
      <c r="P1297" s="6" t="s">
        <v>36</v>
      </c>
      <c r="R1297" t="s">
        <v>38</v>
      </c>
      <c r="S1297" s="9">
        <v>3800</v>
      </c>
      <c r="T1297" s="9">
        <v>246</v>
      </c>
      <c r="U1297" s="9">
        <v>934800</v>
      </c>
      <c r="V1297" s="6" t="s">
        <v>58</v>
      </c>
      <c r="W1297" t="s">
        <v>59</v>
      </c>
      <c r="X1297">
        <v>5262222144</v>
      </c>
      <c r="Y1297">
        <v>526001001</v>
      </c>
      <c r="Z1297" s="3">
        <v>45845.584027777775</v>
      </c>
      <c r="AA1297" s="6">
        <v>2025</v>
      </c>
      <c r="AB1297" s="1">
        <v>45930</v>
      </c>
    </row>
    <row r="1298" spans="1:28" x14ac:dyDescent="0.3">
      <c r="A1298" t="s">
        <v>4549</v>
      </c>
      <c r="B1298" s="6" t="s">
        <v>597</v>
      </c>
      <c r="C1298" s="6" t="s">
        <v>388</v>
      </c>
      <c r="D1298">
        <v>3811029091</v>
      </c>
      <c r="E1298">
        <v>381101001</v>
      </c>
      <c r="F1298" t="s">
        <v>149</v>
      </c>
      <c r="G1298" t="s">
        <v>4550</v>
      </c>
      <c r="H1298" s="1">
        <v>45835</v>
      </c>
      <c r="I1298" t="s">
        <v>4551</v>
      </c>
      <c r="J1298" s="8">
        <v>45840</v>
      </c>
      <c r="K1298" s="1" t="s">
        <v>4530</v>
      </c>
      <c r="L1298" t="s">
        <v>4552</v>
      </c>
      <c r="M1298" t="s">
        <v>377</v>
      </c>
      <c r="N1298" s="12">
        <v>141000</v>
      </c>
      <c r="O1298" t="s">
        <v>3613</v>
      </c>
      <c r="P1298" s="6" t="s">
        <v>36</v>
      </c>
      <c r="R1298" t="s">
        <v>38</v>
      </c>
      <c r="S1298" s="9">
        <v>4700</v>
      </c>
      <c r="T1298" s="9">
        <v>30</v>
      </c>
      <c r="U1298" s="9">
        <v>141000</v>
      </c>
      <c r="V1298" s="6" t="s">
        <v>4553</v>
      </c>
      <c r="W1298" t="s">
        <v>59</v>
      </c>
      <c r="X1298">
        <v>190121762596</v>
      </c>
      <c r="Z1298" s="3">
        <v>45840.167361111111</v>
      </c>
      <c r="AA1298" s="6">
        <v>2025</v>
      </c>
      <c r="AB1298" s="1">
        <v>46022</v>
      </c>
    </row>
    <row r="1299" spans="1:28" x14ac:dyDescent="0.3">
      <c r="A1299" t="s">
        <v>4554</v>
      </c>
      <c r="B1299" s="6" t="s">
        <v>1472</v>
      </c>
      <c r="C1299" s="6" t="s">
        <v>1473</v>
      </c>
      <c r="D1299">
        <v>3123448020</v>
      </c>
      <c r="E1299">
        <v>312301001</v>
      </c>
      <c r="F1299" t="s">
        <v>52</v>
      </c>
      <c r="G1299" t="s">
        <v>4555</v>
      </c>
      <c r="H1299" s="1">
        <v>45828</v>
      </c>
      <c r="J1299" s="8">
        <v>45841</v>
      </c>
      <c r="K1299" s="1" t="s">
        <v>4530</v>
      </c>
      <c r="L1299" t="s">
        <v>4556</v>
      </c>
      <c r="M1299" t="s">
        <v>4557</v>
      </c>
      <c r="N1299" s="12">
        <v>1050000</v>
      </c>
      <c r="O1299" t="s">
        <v>3765</v>
      </c>
      <c r="P1299" s="6" t="s">
        <v>3758</v>
      </c>
      <c r="Q1299" t="s">
        <v>37</v>
      </c>
      <c r="R1299" t="s">
        <v>38</v>
      </c>
      <c r="S1299" s="9">
        <v>4200</v>
      </c>
      <c r="T1299" s="9">
        <v>250</v>
      </c>
      <c r="U1299" s="9">
        <v>1050000</v>
      </c>
      <c r="V1299" s="6" t="s">
        <v>2237</v>
      </c>
      <c r="W1299" t="s">
        <v>2238</v>
      </c>
      <c r="X1299">
        <v>3123321867</v>
      </c>
      <c r="Y1299">
        <v>312301001</v>
      </c>
      <c r="Z1299" s="3">
        <v>45846.35833333333</v>
      </c>
      <c r="AA1299" s="6">
        <v>2025</v>
      </c>
      <c r="AB1299" s="1">
        <v>46022</v>
      </c>
    </row>
    <row r="1300" spans="1:28" x14ac:dyDescent="0.3">
      <c r="A1300" t="s">
        <v>4558</v>
      </c>
      <c r="B1300" s="6" t="s">
        <v>1325</v>
      </c>
      <c r="C1300" s="6" t="s">
        <v>1257</v>
      </c>
      <c r="D1300">
        <v>603005841</v>
      </c>
      <c r="E1300">
        <v>60301001</v>
      </c>
      <c r="F1300" t="s">
        <v>149</v>
      </c>
      <c r="G1300" t="s">
        <v>4559</v>
      </c>
      <c r="H1300" s="1">
        <v>45838</v>
      </c>
      <c r="I1300" t="s">
        <v>4560</v>
      </c>
      <c r="J1300" s="8">
        <v>45841</v>
      </c>
      <c r="K1300" s="1" t="s">
        <v>4530</v>
      </c>
      <c r="L1300" t="s">
        <v>4561</v>
      </c>
      <c r="M1300" t="s">
        <v>377</v>
      </c>
      <c r="N1300" s="12">
        <v>1891200</v>
      </c>
      <c r="O1300" t="s">
        <v>3633</v>
      </c>
      <c r="P1300" s="6" t="s">
        <v>36</v>
      </c>
      <c r="R1300" t="s">
        <v>38</v>
      </c>
      <c r="S1300" s="9">
        <v>4800</v>
      </c>
      <c r="T1300" s="9">
        <v>394</v>
      </c>
      <c r="U1300" s="9">
        <v>1891200</v>
      </c>
      <c r="V1300" s="6" t="s">
        <v>58</v>
      </c>
      <c r="W1300" t="s">
        <v>59</v>
      </c>
      <c r="X1300">
        <v>5262222144</v>
      </c>
      <c r="Y1300">
        <v>526001001</v>
      </c>
      <c r="Z1300" s="3">
        <v>45842.825694444444</v>
      </c>
      <c r="AA1300" s="6">
        <v>2025</v>
      </c>
      <c r="AB1300" s="1">
        <v>45872</v>
      </c>
    </row>
    <row r="1301" spans="1:28" x14ac:dyDescent="0.3">
      <c r="A1301" t="s">
        <v>4562</v>
      </c>
      <c r="B1301" s="6" t="s">
        <v>1399</v>
      </c>
      <c r="C1301" s="6" t="s">
        <v>93</v>
      </c>
      <c r="D1301">
        <v>4501025099</v>
      </c>
      <c r="E1301">
        <v>450101001</v>
      </c>
      <c r="F1301" t="s">
        <v>149</v>
      </c>
      <c r="G1301" t="s">
        <v>4563</v>
      </c>
      <c r="H1301" s="1">
        <v>45838</v>
      </c>
      <c r="J1301" s="8">
        <v>45842</v>
      </c>
      <c r="K1301" s="1" t="s">
        <v>4530</v>
      </c>
      <c r="L1301" t="s">
        <v>4564</v>
      </c>
      <c r="M1301" t="s">
        <v>377</v>
      </c>
      <c r="N1301" s="12">
        <v>4915350</v>
      </c>
      <c r="O1301" t="s">
        <v>3624</v>
      </c>
      <c r="P1301" s="8" t="s">
        <v>891</v>
      </c>
      <c r="Q1301" t="s">
        <v>1993</v>
      </c>
      <c r="R1301" t="s">
        <v>38</v>
      </c>
      <c r="S1301" s="9">
        <v>4950</v>
      </c>
      <c r="T1301" s="9">
        <v>993</v>
      </c>
      <c r="U1301" s="9">
        <v>4915350</v>
      </c>
      <c r="V1301" s="6" t="s">
        <v>1612</v>
      </c>
      <c r="W1301" t="s">
        <v>1613</v>
      </c>
      <c r="X1301">
        <v>9727026181</v>
      </c>
      <c r="Y1301">
        <v>770601001</v>
      </c>
      <c r="Z1301" s="3">
        <v>45852.511111111111</v>
      </c>
      <c r="AA1301" s="6">
        <v>2025</v>
      </c>
      <c r="AB1301" s="1">
        <v>45930</v>
      </c>
    </row>
    <row r="1302" spans="1:28" x14ac:dyDescent="0.3">
      <c r="A1302" s="4" t="s">
        <v>4565</v>
      </c>
      <c r="B1302" s="6" t="s">
        <v>1399</v>
      </c>
      <c r="C1302" s="6" t="s">
        <v>93</v>
      </c>
      <c r="D1302">
        <v>4501025099</v>
      </c>
      <c r="E1302">
        <v>450101001</v>
      </c>
      <c r="F1302" t="s">
        <v>149</v>
      </c>
      <c r="G1302" t="s">
        <v>4566</v>
      </c>
      <c r="H1302" s="1">
        <v>45839</v>
      </c>
      <c r="J1302" s="8">
        <v>45842</v>
      </c>
      <c r="K1302" s="1" t="s">
        <v>4530</v>
      </c>
      <c r="L1302" t="s">
        <v>4567</v>
      </c>
      <c r="M1302" t="s">
        <v>377</v>
      </c>
      <c r="N1302" s="12">
        <v>4950</v>
      </c>
      <c r="O1302" t="s">
        <v>3624</v>
      </c>
      <c r="P1302" s="8" t="s">
        <v>891</v>
      </c>
      <c r="Q1302" t="s">
        <v>1993</v>
      </c>
      <c r="R1302" t="s">
        <v>38</v>
      </c>
      <c r="S1302" s="9">
        <v>4950</v>
      </c>
      <c r="T1302" s="9">
        <v>1</v>
      </c>
      <c r="U1302" s="9">
        <v>4950</v>
      </c>
      <c r="V1302" s="6" t="s">
        <v>1612</v>
      </c>
      <c r="W1302" t="s">
        <v>1613</v>
      </c>
      <c r="X1302">
        <v>9727026181</v>
      </c>
      <c r="Y1302">
        <v>770601001</v>
      </c>
      <c r="Z1302" s="3">
        <v>45852.518055555556</v>
      </c>
      <c r="AA1302" s="6">
        <v>2025</v>
      </c>
      <c r="AB1302" s="1">
        <v>45930</v>
      </c>
    </row>
    <row r="1303" spans="1:28" x14ac:dyDescent="0.3">
      <c r="A1303" t="s">
        <v>4568</v>
      </c>
      <c r="B1303" s="6" t="s">
        <v>2694</v>
      </c>
      <c r="C1303" s="6" t="s">
        <v>105</v>
      </c>
      <c r="D1303">
        <v>6623097055</v>
      </c>
      <c r="E1303">
        <v>662301001</v>
      </c>
      <c r="F1303" t="s">
        <v>619</v>
      </c>
      <c r="G1303" t="s">
        <v>4569</v>
      </c>
      <c r="H1303" s="1">
        <v>45834</v>
      </c>
      <c r="I1303" t="s">
        <v>4570</v>
      </c>
      <c r="J1303" s="8">
        <v>45845</v>
      </c>
      <c r="K1303" s="1" t="s">
        <v>4530</v>
      </c>
      <c r="L1303" s="1" t="s">
        <v>4571</v>
      </c>
      <c r="M1303" s="1" t="s">
        <v>2697</v>
      </c>
      <c r="N1303" s="12">
        <v>29971023.100000001</v>
      </c>
      <c r="O1303" s="1" t="s">
        <v>2698</v>
      </c>
      <c r="P1303" s="6" t="s">
        <v>3758</v>
      </c>
      <c r="Q1303" t="s">
        <v>3258</v>
      </c>
      <c r="R1303" t="s">
        <v>38</v>
      </c>
      <c r="S1303" s="9">
        <v>3435.45</v>
      </c>
      <c r="T1303" s="9">
        <v>1000</v>
      </c>
      <c r="U1303" s="9">
        <f>S1303*T1303</f>
        <v>3435450</v>
      </c>
      <c r="V1303" s="6" t="s">
        <v>58</v>
      </c>
      <c r="W1303" t="s">
        <v>59</v>
      </c>
      <c r="X1303">
        <v>5262222144</v>
      </c>
      <c r="Y1303">
        <v>526001001</v>
      </c>
      <c r="AA1303" s="6">
        <v>2025</v>
      </c>
      <c r="AB1303" s="1">
        <v>46022</v>
      </c>
    </row>
    <row r="1304" spans="1:28" x14ac:dyDescent="0.3">
      <c r="A1304" t="s">
        <v>4568</v>
      </c>
      <c r="B1304" s="6" t="s">
        <v>2694</v>
      </c>
      <c r="C1304" s="6" t="s">
        <v>105</v>
      </c>
      <c r="D1304">
        <v>6623097055</v>
      </c>
      <c r="E1304">
        <v>662301001</v>
      </c>
      <c r="F1304" t="s">
        <v>619</v>
      </c>
      <c r="G1304" t="s">
        <v>4569</v>
      </c>
      <c r="H1304" s="1">
        <v>45834</v>
      </c>
      <c r="I1304" t="s">
        <v>4570</v>
      </c>
      <c r="J1304" s="8">
        <v>45845</v>
      </c>
      <c r="K1304" s="1" t="s">
        <v>4530</v>
      </c>
      <c r="L1304" s="1" t="s">
        <v>4571</v>
      </c>
      <c r="M1304" s="1" t="s">
        <v>2697</v>
      </c>
      <c r="N1304" s="12">
        <v>29971023.100000001</v>
      </c>
      <c r="O1304" s="1" t="s">
        <v>2698</v>
      </c>
      <c r="P1304" s="6" t="s">
        <v>36</v>
      </c>
      <c r="Q1304" t="s">
        <v>3258</v>
      </c>
      <c r="R1304" t="s">
        <v>38</v>
      </c>
      <c r="S1304" s="9">
        <v>3435.45</v>
      </c>
      <c r="T1304" s="9">
        <v>4174</v>
      </c>
      <c r="U1304" s="9">
        <f>S1304*T1304</f>
        <v>14339568.299999999</v>
      </c>
      <c r="V1304" s="6" t="s">
        <v>58</v>
      </c>
      <c r="W1304" t="s">
        <v>59</v>
      </c>
      <c r="X1304">
        <v>5262222144</v>
      </c>
      <c r="Y1304">
        <v>526001001</v>
      </c>
      <c r="AA1304" s="6">
        <v>2025</v>
      </c>
      <c r="AB1304" s="1">
        <v>46022</v>
      </c>
    </row>
    <row r="1305" spans="1:28" x14ac:dyDescent="0.3">
      <c r="A1305" t="s">
        <v>4568</v>
      </c>
      <c r="B1305" s="6" t="s">
        <v>2694</v>
      </c>
      <c r="C1305" s="6" t="s">
        <v>105</v>
      </c>
      <c r="D1305">
        <v>6623097055</v>
      </c>
      <c r="E1305">
        <v>662301001</v>
      </c>
      <c r="F1305" t="s">
        <v>619</v>
      </c>
      <c r="G1305" t="s">
        <v>4569</v>
      </c>
      <c r="H1305" s="1">
        <v>45834</v>
      </c>
      <c r="I1305" t="s">
        <v>4570</v>
      </c>
      <c r="J1305" s="8">
        <v>45845</v>
      </c>
      <c r="K1305" s="1" t="s">
        <v>4530</v>
      </c>
      <c r="L1305" s="1" t="s">
        <v>4571</v>
      </c>
      <c r="M1305" s="1" t="s">
        <v>2697</v>
      </c>
      <c r="N1305" s="12">
        <v>29971023.100000001</v>
      </c>
      <c r="O1305" s="1" t="s">
        <v>2698</v>
      </c>
      <c r="P1305" s="8" t="s">
        <v>2277</v>
      </c>
      <c r="Q1305" t="s">
        <v>3258</v>
      </c>
      <c r="R1305" t="s">
        <v>38</v>
      </c>
      <c r="S1305" s="9">
        <v>3435.45</v>
      </c>
      <c r="T1305" s="9">
        <v>3550</v>
      </c>
      <c r="U1305" s="9">
        <f>S1305*T1305</f>
        <v>12195847.5</v>
      </c>
      <c r="V1305" s="6" t="s">
        <v>58</v>
      </c>
      <c r="W1305" t="s">
        <v>59</v>
      </c>
      <c r="X1305">
        <v>5262222144</v>
      </c>
      <c r="Y1305">
        <v>526001001</v>
      </c>
      <c r="AA1305" s="6">
        <v>2025</v>
      </c>
      <c r="AB1305" s="1">
        <v>46022</v>
      </c>
    </row>
    <row r="1306" spans="1:28" x14ac:dyDescent="0.3">
      <c r="A1306" t="s">
        <v>4572</v>
      </c>
      <c r="B1306" s="6" t="s">
        <v>197</v>
      </c>
      <c r="C1306" s="6" t="s">
        <v>198</v>
      </c>
      <c r="D1306">
        <v>1001046786</v>
      </c>
      <c r="E1306">
        <v>100101001</v>
      </c>
      <c r="F1306" t="s">
        <v>94</v>
      </c>
      <c r="G1306" t="s">
        <v>4573</v>
      </c>
      <c r="H1306" s="1">
        <v>45840</v>
      </c>
      <c r="J1306" s="8">
        <v>45845</v>
      </c>
      <c r="K1306" s="1" t="s">
        <v>4530</v>
      </c>
      <c r="L1306" t="s">
        <v>4573</v>
      </c>
      <c r="M1306" t="s">
        <v>4574</v>
      </c>
      <c r="N1306" s="12">
        <v>2222220</v>
      </c>
      <c r="O1306" t="s">
        <v>3613</v>
      </c>
      <c r="P1306" s="6" t="s">
        <v>2277</v>
      </c>
      <c r="R1306" t="s">
        <v>38</v>
      </c>
      <c r="S1306" s="9">
        <v>4040.4</v>
      </c>
      <c r="T1306" s="9">
        <v>550</v>
      </c>
      <c r="U1306" s="9">
        <v>2222220</v>
      </c>
      <c r="V1306" s="6" t="s">
        <v>4575</v>
      </c>
      <c r="W1306" t="s">
        <v>4576</v>
      </c>
      <c r="X1306">
        <v>7725727759</v>
      </c>
      <c r="Y1306">
        <v>502901001</v>
      </c>
      <c r="Z1306" s="3">
        <v>45845.443055555559</v>
      </c>
      <c r="AA1306" s="6">
        <v>2025</v>
      </c>
      <c r="AB1306" s="1">
        <v>46022</v>
      </c>
    </row>
    <row r="1307" spans="1:28" x14ac:dyDescent="0.3">
      <c r="A1307" t="s">
        <v>4577</v>
      </c>
      <c r="B1307" s="6" t="s">
        <v>1908</v>
      </c>
      <c r="C1307" s="6" t="s">
        <v>1473</v>
      </c>
      <c r="D1307">
        <v>3123162110</v>
      </c>
      <c r="E1307">
        <v>312301001</v>
      </c>
      <c r="F1307" t="s">
        <v>52</v>
      </c>
      <c r="G1307" t="s">
        <v>4578</v>
      </c>
      <c r="H1307" s="1">
        <v>45834</v>
      </c>
      <c r="J1307" s="8">
        <v>45845</v>
      </c>
      <c r="K1307" s="1" t="s">
        <v>4530</v>
      </c>
      <c r="L1307" t="s">
        <v>4579</v>
      </c>
      <c r="M1307" t="s">
        <v>4580</v>
      </c>
      <c r="N1307" s="12">
        <v>840000</v>
      </c>
      <c r="O1307" t="s">
        <v>4078</v>
      </c>
      <c r="P1307" s="6" t="s">
        <v>36</v>
      </c>
      <c r="R1307" t="s">
        <v>38</v>
      </c>
      <c r="S1307" s="9">
        <v>4200</v>
      </c>
      <c r="T1307" s="9">
        <v>200</v>
      </c>
      <c r="U1307" s="9">
        <v>840000</v>
      </c>
      <c r="V1307" s="6" t="s">
        <v>2237</v>
      </c>
      <c r="W1307" t="s">
        <v>2238</v>
      </c>
      <c r="X1307">
        <v>3123321867</v>
      </c>
      <c r="Y1307">
        <v>312301001</v>
      </c>
      <c r="Z1307" s="3">
        <v>45846.690972222219</v>
      </c>
      <c r="AA1307" s="6">
        <v>2025</v>
      </c>
      <c r="AB1307" s="1">
        <v>46022</v>
      </c>
    </row>
    <row r="1308" spans="1:28" x14ac:dyDescent="0.3">
      <c r="A1308" t="s">
        <v>4581</v>
      </c>
      <c r="B1308" s="6" t="s">
        <v>657</v>
      </c>
      <c r="C1308" s="6" t="s">
        <v>658</v>
      </c>
      <c r="D1308">
        <v>3015068159</v>
      </c>
      <c r="E1308">
        <v>301601001</v>
      </c>
      <c r="F1308" t="s">
        <v>52</v>
      </c>
      <c r="G1308" t="s">
        <v>4582</v>
      </c>
      <c r="H1308" s="1">
        <v>45832</v>
      </c>
      <c r="J1308" s="8">
        <v>45845</v>
      </c>
      <c r="K1308" s="1" t="s">
        <v>4530</v>
      </c>
      <c r="L1308" t="s">
        <v>4583</v>
      </c>
      <c r="M1308" t="s">
        <v>3499</v>
      </c>
      <c r="N1308" s="12">
        <v>7185339</v>
      </c>
      <c r="O1308" t="s">
        <v>3815</v>
      </c>
      <c r="P1308" s="6" t="s">
        <v>3758</v>
      </c>
      <c r="Q1308" t="s">
        <v>37</v>
      </c>
      <c r="R1308" t="s">
        <v>38</v>
      </c>
      <c r="S1308" s="9">
        <v>4226.67</v>
      </c>
      <c r="T1308" s="9">
        <v>850</v>
      </c>
      <c r="U1308" s="9">
        <v>3592669.5</v>
      </c>
      <c r="V1308" s="6" t="s">
        <v>39</v>
      </c>
      <c r="W1308" t="s">
        <v>40</v>
      </c>
      <c r="X1308">
        <v>7810687137</v>
      </c>
      <c r="Y1308">
        <v>781401001</v>
      </c>
      <c r="Z1308" s="3">
        <v>45845.573611111111</v>
      </c>
      <c r="AA1308" s="6">
        <v>2025</v>
      </c>
      <c r="AB1308" s="1">
        <v>46022</v>
      </c>
    </row>
    <row r="1309" spans="1:28" x14ac:dyDescent="0.3">
      <c r="A1309" t="s">
        <v>4581</v>
      </c>
      <c r="B1309" s="6" t="s">
        <v>657</v>
      </c>
      <c r="C1309" s="6" t="s">
        <v>658</v>
      </c>
      <c r="D1309">
        <v>3015068159</v>
      </c>
      <c r="E1309">
        <v>301601001</v>
      </c>
      <c r="F1309" t="s">
        <v>52</v>
      </c>
      <c r="G1309" t="s">
        <v>4582</v>
      </c>
      <c r="H1309" s="1">
        <v>45832</v>
      </c>
      <c r="J1309" s="8">
        <v>45845</v>
      </c>
      <c r="K1309" s="1" t="s">
        <v>4530</v>
      </c>
      <c r="L1309" t="s">
        <v>4583</v>
      </c>
      <c r="M1309" t="s">
        <v>3499</v>
      </c>
      <c r="N1309" s="12">
        <v>7185339</v>
      </c>
      <c r="O1309" t="s">
        <v>3633</v>
      </c>
      <c r="P1309" s="6" t="s">
        <v>36</v>
      </c>
      <c r="Q1309" t="s">
        <v>37</v>
      </c>
      <c r="R1309" t="s">
        <v>38</v>
      </c>
      <c r="S1309" s="9">
        <v>4226.67</v>
      </c>
      <c r="T1309" s="9">
        <v>850</v>
      </c>
      <c r="U1309" s="9">
        <v>3592669.5</v>
      </c>
      <c r="V1309" s="6" t="s">
        <v>39</v>
      </c>
      <c r="W1309" t="s">
        <v>40</v>
      </c>
      <c r="X1309">
        <v>7810687137</v>
      </c>
      <c r="Y1309">
        <v>781401001</v>
      </c>
      <c r="Z1309" s="3">
        <v>45845.573611111111</v>
      </c>
      <c r="AA1309" s="6">
        <v>2025</v>
      </c>
      <c r="AB1309" s="1">
        <v>46022</v>
      </c>
    </row>
    <row r="1310" spans="1:28" x14ac:dyDescent="0.3">
      <c r="A1310" t="s">
        <v>4584</v>
      </c>
      <c r="B1310" s="6" t="s">
        <v>4585</v>
      </c>
      <c r="C1310" s="6" t="s">
        <v>925</v>
      </c>
      <c r="D1310">
        <v>4218006431</v>
      </c>
      <c r="E1310">
        <v>421801001</v>
      </c>
      <c r="F1310" t="s">
        <v>52</v>
      </c>
      <c r="G1310" t="s">
        <v>4586</v>
      </c>
      <c r="H1310" s="1">
        <v>45832</v>
      </c>
      <c r="I1310" t="s">
        <v>4587</v>
      </c>
      <c r="J1310" s="8">
        <v>45845</v>
      </c>
      <c r="K1310" s="1" t="s">
        <v>4530</v>
      </c>
      <c r="L1310" t="s">
        <v>4588</v>
      </c>
      <c r="M1310" t="s">
        <v>4589</v>
      </c>
      <c r="N1310" s="12">
        <v>58699.199999999997</v>
      </c>
      <c r="O1310" t="s">
        <v>3633</v>
      </c>
      <c r="P1310" s="6" t="s">
        <v>36</v>
      </c>
      <c r="R1310" t="s">
        <v>38</v>
      </c>
      <c r="S1310" s="9">
        <v>5869.92</v>
      </c>
      <c r="T1310" s="9">
        <v>10</v>
      </c>
      <c r="U1310" s="9">
        <v>58699.199999999997</v>
      </c>
      <c r="V1310" s="6" t="s">
        <v>111</v>
      </c>
      <c r="W1310" t="s">
        <v>59</v>
      </c>
      <c r="X1310">
        <v>5262258091</v>
      </c>
      <c r="Y1310">
        <v>526001001</v>
      </c>
      <c r="Z1310" s="3">
        <v>45845.206944444442</v>
      </c>
      <c r="AA1310" s="6">
        <v>2025</v>
      </c>
      <c r="AB1310" s="1">
        <v>46011</v>
      </c>
    </row>
    <row r="1311" spans="1:28" x14ac:dyDescent="0.3">
      <c r="A1311" t="s">
        <v>4590</v>
      </c>
      <c r="B1311" s="6" t="s">
        <v>830</v>
      </c>
      <c r="C1311" s="6" t="s">
        <v>831</v>
      </c>
      <c r="D1311">
        <v>6163049814</v>
      </c>
      <c r="E1311">
        <v>616601001</v>
      </c>
      <c r="F1311" t="s">
        <v>52</v>
      </c>
      <c r="G1311" t="s">
        <v>4591</v>
      </c>
      <c r="H1311" s="1">
        <v>45835</v>
      </c>
      <c r="J1311" s="8">
        <v>45846</v>
      </c>
      <c r="K1311" s="1" t="s">
        <v>4530</v>
      </c>
      <c r="L1311" t="s">
        <v>4592</v>
      </c>
      <c r="M1311" t="s">
        <v>3902</v>
      </c>
      <c r="N1311" s="12">
        <v>57920396.710000001</v>
      </c>
      <c r="O1311" t="s">
        <v>4593</v>
      </c>
      <c r="P1311" s="8" t="s">
        <v>4253</v>
      </c>
      <c r="Q1311" t="s">
        <v>37</v>
      </c>
      <c r="R1311" t="s">
        <v>38</v>
      </c>
      <c r="S1311" s="9">
        <v>3812.81</v>
      </c>
      <c r="T1311" s="9">
        <v>6095</v>
      </c>
      <c r="U1311" s="9">
        <v>23239076.949999999</v>
      </c>
      <c r="V1311" s="6" t="s">
        <v>58</v>
      </c>
      <c r="W1311" t="s">
        <v>59</v>
      </c>
      <c r="X1311">
        <v>5262222144</v>
      </c>
      <c r="Y1311">
        <v>526001001</v>
      </c>
      <c r="Z1311" s="3">
        <v>45848.40347222222</v>
      </c>
      <c r="AA1311" s="6">
        <v>2025</v>
      </c>
      <c r="AB1311" s="1">
        <v>46022</v>
      </c>
    </row>
    <row r="1312" spans="1:28" x14ac:dyDescent="0.3">
      <c r="A1312" t="s">
        <v>4590</v>
      </c>
      <c r="B1312" s="6" t="s">
        <v>830</v>
      </c>
      <c r="C1312" s="6" t="s">
        <v>831</v>
      </c>
      <c r="D1312">
        <v>6163049814</v>
      </c>
      <c r="E1312">
        <v>616601001</v>
      </c>
      <c r="F1312" t="s">
        <v>52</v>
      </c>
      <c r="G1312" t="s">
        <v>4591</v>
      </c>
      <c r="H1312" s="1">
        <v>45835</v>
      </c>
      <c r="J1312" s="8">
        <v>45846</v>
      </c>
      <c r="K1312" s="1" t="s">
        <v>4530</v>
      </c>
      <c r="L1312" t="s">
        <v>4592</v>
      </c>
      <c r="M1312" t="s">
        <v>3902</v>
      </c>
      <c r="N1312" s="12">
        <v>57920396.710000001</v>
      </c>
      <c r="O1312" t="s">
        <v>3633</v>
      </c>
      <c r="P1312" s="6" t="s">
        <v>36</v>
      </c>
      <c r="Q1312" t="s">
        <v>37</v>
      </c>
      <c r="R1312" t="s">
        <v>38</v>
      </c>
      <c r="S1312" s="9">
        <v>3812.81</v>
      </c>
      <c r="T1312" s="9">
        <v>6000</v>
      </c>
      <c r="U1312" s="9">
        <v>22876860</v>
      </c>
      <c r="V1312" s="6" t="s">
        <v>58</v>
      </c>
      <c r="W1312" t="s">
        <v>59</v>
      </c>
      <c r="X1312">
        <v>5262222144</v>
      </c>
      <c r="Y1312">
        <v>526001001</v>
      </c>
      <c r="Z1312" s="3">
        <v>45848.40347222222</v>
      </c>
      <c r="AA1312" s="6">
        <v>2025</v>
      </c>
      <c r="AB1312" s="1">
        <v>46022</v>
      </c>
    </row>
    <row r="1313" spans="1:28" x14ac:dyDescent="0.3">
      <c r="A1313" t="s">
        <v>4590</v>
      </c>
      <c r="B1313" s="6" t="s">
        <v>830</v>
      </c>
      <c r="C1313" s="6" t="s">
        <v>831</v>
      </c>
      <c r="D1313">
        <v>6163049814</v>
      </c>
      <c r="E1313">
        <v>616601001</v>
      </c>
      <c r="F1313" t="s">
        <v>52</v>
      </c>
      <c r="G1313" t="s">
        <v>4591</v>
      </c>
      <c r="H1313" s="1">
        <v>45835</v>
      </c>
      <c r="J1313" s="8">
        <v>45846</v>
      </c>
      <c r="K1313" s="1" t="s">
        <v>4530</v>
      </c>
      <c r="L1313" t="s">
        <v>4592</v>
      </c>
      <c r="M1313" t="s">
        <v>3902</v>
      </c>
      <c r="N1313" s="12">
        <v>57920396.710000001</v>
      </c>
      <c r="O1313" t="s">
        <v>3745</v>
      </c>
      <c r="P1313" s="8" t="s">
        <v>2277</v>
      </c>
      <c r="Q1313" t="s">
        <v>37</v>
      </c>
      <c r="R1313" t="s">
        <v>38</v>
      </c>
      <c r="S1313" s="9">
        <v>3812.81</v>
      </c>
      <c r="T1313" s="9">
        <v>2745</v>
      </c>
      <c r="U1313" s="9">
        <v>10466163.449999999</v>
      </c>
      <c r="V1313" s="6" t="s">
        <v>58</v>
      </c>
      <c r="W1313" t="s">
        <v>59</v>
      </c>
      <c r="X1313">
        <v>5262222144</v>
      </c>
      <c r="Y1313">
        <v>526001001</v>
      </c>
      <c r="Z1313" s="3">
        <v>45848.40347222222</v>
      </c>
      <c r="AA1313" s="6">
        <v>2025</v>
      </c>
      <c r="AB1313" s="1">
        <v>46022</v>
      </c>
    </row>
    <row r="1314" spans="1:28" x14ac:dyDescent="0.3">
      <c r="A1314" t="s">
        <v>4590</v>
      </c>
      <c r="B1314" s="6" t="s">
        <v>830</v>
      </c>
      <c r="C1314" s="6" t="s">
        <v>831</v>
      </c>
      <c r="D1314">
        <v>6163049814</v>
      </c>
      <c r="E1314">
        <v>616601001</v>
      </c>
      <c r="F1314" t="s">
        <v>52</v>
      </c>
      <c r="G1314" t="s">
        <v>4591</v>
      </c>
      <c r="H1314" s="1">
        <v>45835</v>
      </c>
      <c r="J1314" s="8">
        <v>45846</v>
      </c>
      <c r="K1314" s="1" t="s">
        <v>4530</v>
      </c>
      <c r="L1314" t="s">
        <v>4592</v>
      </c>
      <c r="M1314" t="s">
        <v>3902</v>
      </c>
      <c r="N1314" s="12">
        <v>57920396.710000001</v>
      </c>
      <c r="O1314" t="s">
        <v>3745</v>
      </c>
      <c r="P1314" s="8" t="s">
        <v>2277</v>
      </c>
      <c r="Q1314" t="s">
        <v>37</v>
      </c>
      <c r="R1314" t="s">
        <v>38</v>
      </c>
      <c r="S1314" s="9">
        <v>3812.81</v>
      </c>
      <c r="T1314" s="9">
        <v>351</v>
      </c>
      <c r="U1314" s="9">
        <v>1338296.31</v>
      </c>
      <c r="V1314" s="6" t="s">
        <v>58</v>
      </c>
      <c r="W1314" t="s">
        <v>59</v>
      </c>
      <c r="X1314">
        <v>5262222144</v>
      </c>
      <c r="Y1314">
        <v>526001001</v>
      </c>
      <c r="Z1314" s="3">
        <v>45848.40347222222</v>
      </c>
      <c r="AA1314" s="6">
        <v>2025</v>
      </c>
      <c r="AB1314" s="1">
        <v>46022</v>
      </c>
    </row>
    <row r="1315" spans="1:28" x14ac:dyDescent="0.3">
      <c r="A1315" t="s">
        <v>4594</v>
      </c>
      <c r="B1315" s="6" t="s">
        <v>857</v>
      </c>
      <c r="C1315" s="6" t="s">
        <v>388</v>
      </c>
      <c r="D1315">
        <v>3808172327</v>
      </c>
      <c r="E1315">
        <v>380801001</v>
      </c>
      <c r="F1315" t="s">
        <v>94</v>
      </c>
      <c r="G1315" t="s">
        <v>4595</v>
      </c>
      <c r="H1315" s="1">
        <v>45841</v>
      </c>
      <c r="I1315" t="s">
        <v>4596</v>
      </c>
      <c r="J1315" s="8">
        <v>45846</v>
      </c>
      <c r="K1315" s="1" t="s">
        <v>4530</v>
      </c>
      <c r="L1315" t="s">
        <v>4597</v>
      </c>
      <c r="M1315" t="s">
        <v>3455</v>
      </c>
      <c r="N1315" s="12">
        <v>2507400</v>
      </c>
      <c r="O1315" t="s">
        <v>3613</v>
      </c>
      <c r="P1315" s="8" t="s">
        <v>2277</v>
      </c>
      <c r="R1315" t="s">
        <v>38</v>
      </c>
      <c r="S1315" s="9">
        <v>4200</v>
      </c>
      <c r="T1315" s="9">
        <v>597</v>
      </c>
      <c r="U1315" s="9">
        <v>2507400</v>
      </c>
      <c r="V1315" s="6" t="s">
        <v>1976</v>
      </c>
      <c r="W1315" t="s">
        <v>4598</v>
      </c>
      <c r="X1315">
        <v>6454120483</v>
      </c>
      <c r="Y1315">
        <v>645401001</v>
      </c>
      <c r="Z1315" s="3">
        <v>45846.431250000001</v>
      </c>
      <c r="AA1315" s="6">
        <v>2025</v>
      </c>
      <c r="AB1315" s="1">
        <v>46022</v>
      </c>
    </row>
    <row r="1316" spans="1:28" x14ac:dyDescent="0.3">
      <c r="A1316" t="s">
        <v>4599</v>
      </c>
      <c r="B1316" s="6" t="s">
        <v>4600</v>
      </c>
      <c r="C1316" s="6" t="s">
        <v>122</v>
      </c>
      <c r="D1316">
        <v>5408157430</v>
      </c>
      <c r="E1316">
        <v>540801001</v>
      </c>
      <c r="F1316" t="s">
        <v>52</v>
      </c>
      <c r="G1316" t="s">
        <v>4601</v>
      </c>
      <c r="H1316" s="1">
        <v>45835</v>
      </c>
      <c r="I1316" t="s">
        <v>4602</v>
      </c>
      <c r="J1316" s="8">
        <v>45846</v>
      </c>
      <c r="K1316" s="1" t="s">
        <v>4530</v>
      </c>
      <c r="L1316" t="s">
        <v>4603</v>
      </c>
      <c r="M1316" t="s">
        <v>4604</v>
      </c>
      <c r="N1316" s="12">
        <v>600000</v>
      </c>
      <c r="O1316" t="s">
        <v>4605</v>
      </c>
      <c r="P1316" s="6" t="s">
        <v>36</v>
      </c>
      <c r="R1316" t="s">
        <v>66</v>
      </c>
      <c r="S1316" s="9">
        <v>5373</v>
      </c>
      <c r="T1316" s="9">
        <v>112</v>
      </c>
      <c r="U1316" s="9">
        <v>600000</v>
      </c>
      <c r="V1316" s="6" t="s">
        <v>750</v>
      </c>
      <c r="W1316" t="s">
        <v>59</v>
      </c>
      <c r="X1316">
        <v>540123954976</v>
      </c>
      <c r="Z1316" s="3">
        <v>45846.257638888892</v>
      </c>
      <c r="AA1316" s="6">
        <v>2025</v>
      </c>
      <c r="AB1316" s="1">
        <v>46072</v>
      </c>
    </row>
    <row r="1317" spans="1:28" x14ac:dyDescent="0.3">
      <c r="A1317" t="s">
        <v>4606</v>
      </c>
      <c r="B1317" s="6" t="s">
        <v>4607</v>
      </c>
      <c r="C1317" s="6" t="s">
        <v>164</v>
      </c>
      <c r="D1317">
        <v>7722086539</v>
      </c>
      <c r="E1317">
        <v>772201001</v>
      </c>
      <c r="F1317" t="s">
        <v>52</v>
      </c>
      <c r="G1317" t="s">
        <v>4608</v>
      </c>
      <c r="H1317" s="1">
        <v>45835</v>
      </c>
      <c r="J1317" s="8">
        <v>45846</v>
      </c>
      <c r="K1317" s="1" t="s">
        <v>4530</v>
      </c>
      <c r="L1317" t="s">
        <v>4609</v>
      </c>
      <c r="M1317" t="s">
        <v>4610</v>
      </c>
      <c r="N1317" s="12">
        <v>140166.75</v>
      </c>
      <c r="O1317" t="s">
        <v>3613</v>
      </c>
      <c r="P1317" s="6" t="s">
        <v>36</v>
      </c>
      <c r="R1317" t="s">
        <v>38</v>
      </c>
      <c r="S1317" s="9">
        <v>5606.67</v>
      </c>
      <c r="T1317" s="9">
        <v>25</v>
      </c>
      <c r="U1317" s="9">
        <v>140166.75</v>
      </c>
      <c r="V1317" s="6" t="s">
        <v>1635</v>
      </c>
      <c r="W1317" t="s">
        <v>4611</v>
      </c>
      <c r="X1317">
        <v>7721754712</v>
      </c>
      <c r="Y1317">
        <v>502701001</v>
      </c>
      <c r="Z1317" s="3">
        <v>45846.322222222225</v>
      </c>
      <c r="AA1317" s="6">
        <v>2025</v>
      </c>
      <c r="AB1317" s="1">
        <v>46043</v>
      </c>
    </row>
    <row r="1318" spans="1:28" x14ac:dyDescent="0.3">
      <c r="A1318" t="s">
        <v>4612</v>
      </c>
      <c r="B1318" s="6" t="s">
        <v>220</v>
      </c>
      <c r="C1318" s="6" t="s">
        <v>221</v>
      </c>
      <c r="D1318">
        <v>5024068656</v>
      </c>
      <c r="E1318">
        <v>502401001</v>
      </c>
      <c r="F1318" t="s">
        <v>52</v>
      </c>
      <c r="G1318" t="s">
        <v>4613</v>
      </c>
      <c r="H1318" s="1">
        <v>45835</v>
      </c>
      <c r="J1318" s="8">
        <v>45847</v>
      </c>
      <c r="K1318" s="1" t="s">
        <v>4530</v>
      </c>
      <c r="L1318" t="s">
        <v>4613</v>
      </c>
      <c r="M1318" t="s">
        <v>4614</v>
      </c>
      <c r="N1318" s="12">
        <v>18190358</v>
      </c>
      <c r="O1318" t="s">
        <v>4022</v>
      </c>
      <c r="P1318" s="8" t="s">
        <v>2941</v>
      </c>
      <c r="R1318" t="s">
        <v>38</v>
      </c>
      <c r="S1318" s="9">
        <v>1819.04</v>
      </c>
      <c r="T1318" s="9">
        <v>10000</v>
      </c>
      <c r="U1318" s="9">
        <v>18190358</v>
      </c>
      <c r="V1318" s="6" t="s">
        <v>4615</v>
      </c>
      <c r="W1318" t="s">
        <v>4616</v>
      </c>
      <c r="X1318">
        <v>7707443828</v>
      </c>
      <c r="Y1318">
        <v>770701001</v>
      </c>
      <c r="Z1318" s="3">
        <v>45847.736111111109</v>
      </c>
      <c r="AA1318" s="6">
        <v>2025</v>
      </c>
      <c r="AB1318" s="1">
        <v>46020</v>
      </c>
    </row>
    <row r="1319" spans="1:28" x14ac:dyDescent="0.3">
      <c r="A1319" t="s">
        <v>4617</v>
      </c>
      <c r="B1319" s="6" t="s">
        <v>491</v>
      </c>
      <c r="C1319" s="6" t="s">
        <v>492</v>
      </c>
      <c r="D1319">
        <v>2724041260</v>
      </c>
      <c r="E1319">
        <v>272101001</v>
      </c>
      <c r="F1319" t="s">
        <v>94</v>
      </c>
      <c r="G1319" t="s">
        <v>4618</v>
      </c>
      <c r="H1319" s="1">
        <v>45842</v>
      </c>
      <c r="I1319" t="s">
        <v>4619</v>
      </c>
      <c r="J1319" s="8">
        <v>45847</v>
      </c>
      <c r="K1319" s="1" t="s">
        <v>4530</v>
      </c>
      <c r="L1319" t="s">
        <v>4618</v>
      </c>
      <c r="M1319" t="s">
        <v>4221</v>
      </c>
      <c r="N1319" s="12">
        <v>29610000</v>
      </c>
      <c r="O1319" t="s">
        <v>4620</v>
      </c>
      <c r="P1319" s="6" t="s">
        <v>3758</v>
      </c>
      <c r="Q1319" t="s">
        <v>37</v>
      </c>
      <c r="R1319" t="s">
        <v>38</v>
      </c>
      <c r="S1319" s="9">
        <v>8400</v>
      </c>
      <c r="T1319" s="9">
        <v>1750</v>
      </c>
      <c r="U1319" s="9">
        <v>14700000</v>
      </c>
      <c r="V1319" s="6" t="s">
        <v>3816</v>
      </c>
      <c r="W1319" t="s">
        <v>3817</v>
      </c>
      <c r="X1319">
        <v>2540059700</v>
      </c>
      <c r="Y1319">
        <v>253701001</v>
      </c>
      <c r="Z1319" s="3">
        <v>45848.072222222225</v>
      </c>
      <c r="AA1319" s="6">
        <v>2025</v>
      </c>
      <c r="AB1319" s="1">
        <v>45930</v>
      </c>
    </row>
    <row r="1320" spans="1:28" x14ac:dyDescent="0.3">
      <c r="A1320" t="s">
        <v>4617</v>
      </c>
      <c r="B1320" s="6" t="s">
        <v>491</v>
      </c>
      <c r="C1320" s="6" t="s">
        <v>492</v>
      </c>
      <c r="D1320">
        <v>2724041260</v>
      </c>
      <c r="E1320">
        <v>272101001</v>
      </c>
      <c r="F1320" t="s">
        <v>94</v>
      </c>
      <c r="G1320" t="s">
        <v>4618</v>
      </c>
      <c r="H1320" s="1">
        <v>45842</v>
      </c>
      <c r="I1320" t="s">
        <v>4619</v>
      </c>
      <c r="J1320" s="8">
        <v>45847</v>
      </c>
      <c r="K1320" s="1" t="s">
        <v>4530</v>
      </c>
      <c r="L1320" t="s">
        <v>4618</v>
      </c>
      <c r="M1320" t="s">
        <v>4221</v>
      </c>
      <c r="N1320" s="12">
        <v>29610000</v>
      </c>
      <c r="O1320" t="s">
        <v>3648</v>
      </c>
      <c r="P1320" s="8" t="s">
        <v>2277</v>
      </c>
      <c r="Q1320" t="s">
        <v>37</v>
      </c>
      <c r="R1320" t="s">
        <v>38</v>
      </c>
      <c r="S1320" s="9">
        <v>8400</v>
      </c>
      <c r="T1320" s="9">
        <v>1775</v>
      </c>
      <c r="U1320" s="9">
        <v>14910000</v>
      </c>
      <c r="V1320" s="6" t="s">
        <v>3816</v>
      </c>
      <c r="W1320" t="s">
        <v>3817</v>
      </c>
      <c r="X1320">
        <v>2540059700</v>
      </c>
      <c r="Y1320">
        <v>253701001</v>
      </c>
      <c r="Z1320" s="3">
        <v>45848.072222222225</v>
      </c>
      <c r="AA1320" s="6">
        <v>2025</v>
      </c>
      <c r="AB1320" s="1">
        <v>45930</v>
      </c>
    </row>
    <row r="1321" spans="1:28" x14ac:dyDescent="0.3">
      <c r="A1321" t="s">
        <v>4621</v>
      </c>
      <c r="B1321" s="6" t="s">
        <v>516</v>
      </c>
      <c r="C1321" s="6" t="s">
        <v>517</v>
      </c>
      <c r="D1321">
        <v>9204023281</v>
      </c>
      <c r="E1321">
        <v>920401001</v>
      </c>
      <c r="F1321" t="s">
        <v>94</v>
      </c>
      <c r="G1321" t="s">
        <v>4622</v>
      </c>
      <c r="H1321" s="1">
        <v>45846</v>
      </c>
      <c r="J1321" s="8">
        <v>45849</v>
      </c>
      <c r="K1321" s="1" t="s">
        <v>4530</v>
      </c>
      <c r="L1321" t="s">
        <v>4622</v>
      </c>
      <c r="M1321" t="s">
        <v>4623</v>
      </c>
      <c r="N1321" s="12">
        <v>723600</v>
      </c>
      <c r="O1321" t="s">
        <v>4624</v>
      </c>
      <c r="P1321" s="8" t="s">
        <v>1814</v>
      </c>
      <c r="R1321" t="s">
        <v>38</v>
      </c>
      <c r="S1321" s="9">
        <v>6700</v>
      </c>
      <c r="T1321" s="9">
        <v>108</v>
      </c>
      <c r="U1321" s="9">
        <v>723600</v>
      </c>
      <c r="V1321" s="6" t="s">
        <v>39</v>
      </c>
      <c r="W1321" t="s">
        <v>40</v>
      </c>
      <c r="X1321">
        <v>7810687137</v>
      </c>
      <c r="Y1321">
        <v>781401001</v>
      </c>
      <c r="Z1321" s="3">
        <v>45852.465277777781</v>
      </c>
      <c r="AA1321" s="6">
        <v>2025</v>
      </c>
      <c r="AB1321" s="1">
        <v>45978</v>
      </c>
    </row>
    <row r="1322" spans="1:28" x14ac:dyDescent="0.3">
      <c r="A1322" t="s">
        <v>4625</v>
      </c>
      <c r="B1322" s="6" t="s">
        <v>1581</v>
      </c>
      <c r="C1322" s="6" t="s">
        <v>221</v>
      </c>
      <c r="D1322">
        <v>7725093735</v>
      </c>
      <c r="E1322">
        <v>502901001</v>
      </c>
      <c r="F1322" t="s">
        <v>149</v>
      </c>
      <c r="G1322" t="s">
        <v>4626</v>
      </c>
      <c r="H1322" s="1">
        <v>45846</v>
      </c>
      <c r="J1322" s="8">
        <v>45849</v>
      </c>
      <c r="K1322" s="1" t="s">
        <v>4530</v>
      </c>
      <c r="L1322" t="s">
        <v>4627</v>
      </c>
      <c r="M1322" t="s">
        <v>377</v>
      </c>
      <c r="N1322" s="12">
        <v>120000</v>
      </c>
      <c r="O1322" t="s">
        <v>3643</v>
      </c>
      <c r="P1322" s="6" t="s">
        <v>1814</v>
      </c>
      <c r="R1322" t="s">
        <v>38</v>
      </c>
      <c r="S1322" s="9">
        <v>12000</v>
      </c>
      <c r="T1322" s="9">
        <v>10</v>
      </c>
      <c r="U1322" s="9">
        <v>120000</v>
      </c>
      <c r="V1322" s="6" t="s">
        <v>4628</v>
      </c>
      <c r="W1322" t="s">
        <v>1816</v>
      </c>
      <c r="X1322">
        <v>7728732370</v>
      </c>
      <c r="Y1322">
        <v>772801001</v>
      </c>
      <c r="Z1322" s="3">
        <v>45852.384027777778</v>
      </c>
      <c r="AA1322" s="6">
        <v>2025</v>
      </c>
      <c r="AB1322" s="1">
        <v>46022</v>
      </c>
    </row>
    <row r="1323" spans="1:28" x14ac:dyDescent="0.3">
      <c r="A1323" t="s">
        <v>4629</v>
      </c>
      <c r="B1323" s="6" t="s">
        <v>2467</v>
      </c>
      <c r="C1323" s="6" t="s">
        <v>904</v>
      </c>
      <c r="D1323">
        <v>3525010519</v>
      </c>
      <c r="E1323">
        <v>352501001</v>
      </c>
      <c r="F1323" t="s">
        <v>94</v>
      </c>
      <c r="G1323" t="s">
        <v>4630</v>
      </c>
      <c r="H1323" s="1">
        <v>45847</v>
      </c>
      <c r="J1323" s="8">
        <v>45852</v>
      </c>
      <c r="K1323" s="1" t="s">
        <v>4530</v>
      </c>
      <c r="L1323" t="s">
        <v>4631</v>
      </c>
      <c r="M1323" t="s">
        <v>1496</v>
      </c>
      <c r="N1323" s="12">
        <v>5739660</v>
      </c>
      <c r="O1323" t="s">
        <v>4022</v>
      </c>
      <c r="P1323" s="6" t="s">
        <v>2941</v>
      </c>
      <c r="R1323" t="s">
        <v>38</v>
      </c>
      <c r="S1323" s="9">
        <v>2430</v>
      </c>
      <c r="T1323" s="9">
        <v>2362</v>
      </c>
      <c r="U1323" s="9">
        <v>5739660</v>
      </c>
      <c r="V1323" s="6" t="s">
        <v>4615</v>
      </c>
      <c r="W1323" t="s">
        <v>4616</v>
      </c>
      <c r="X1323">
        <v>7707443828</v>
      </c>
      <c r="Y1323">
        <v>770701001</v>
      </c>
      <c r="Z1323" s="3">
        <v>45853.574305555558</v>
      </c>
      <c r="AA1323" s="6">
        <v>2025</v>
      </c>
      <c r="AB1323" s="1">
        <v>45889</v>
      </c>
    </row>
    <row r="1324" spans="1:28" x14ac:dyDescent="0.3">
      <c r="A1324" t="s">
        <v>4632</v>
      </c>
      <c r="B1324" s="6" t="s">
        <v>2467</v>
      </c>
      <c r="C1324" s="6" t="s">
        <v>904</v>
      </c>
      <c r="D1324">
        <v>3525010519</v>
      </c>
      <c r="E1324">
        <v>352501001</v>
      </c>
      <c r="F1324" t="s">
        <v>94</v>
      </c>
      <c r="G1324" t="s">
        <v>4633</v>
      </c>
      <c r="H1324" s="1">
        <v>45847</v>
      </c>
      <c r="J1324" s="8">
        <v>45852</v>
      </c>
      <c r="K1324" s="1" t="s">
        <v>4530</v>
      </c>
      <c r="L1324" t="s">
        <v>4634</v>
      </c>
      <c r="M1324" t="s">
        <v>4537</v>
      </c>
      <c r="N1324" s="12">
        <v>2731750</v>
      </c>
      <c r="O1324" t="s">
        <v>3633</v>
      </c>
      <c r="P1324" s="6" t="s">
        <v>36</v>
      </c>
      <c r="R1324" t="s">
        <v>38</v>
      </c>
      <c r="S1324" s="9">
        <v>2450</v>
      </c>
      <c r="T1324" s="9">
        <v>1115</v>
      </c>
      <c r="U1324" s="9">
        <v>2731750</v>
      </c>
      <c r="V1324" s="6" t="s">
        <v>352</v>
      </c>
      <c r="W1324" t="s">
        <v>40</v>
      </c>
      <c r="X1324">
        <v>7843014747</v>
      </c>
      <c r="Y1324">
        <v>781401001</v>
      </c>
      <c r="Z1324" s="3">
        <v>45853.574999999997</v>
      </c>
      <c r="AA1324" s="6">
        <v>2025</v>
      </c>
      <c r="AB1324" s="1">
        <v>45889</v>
      </c>
    </row>
    <row r="1325" spans="1:28" x14ac:dyDescent="0.3">
      <c r="A1325" t="s">
        <v>4635</v>
      </c>
      <c r="B1325" s="6" t="s">
        <v>2467</v>
      </c>
      <c r="C1325" s="6" t="s">
        <v>904</v>
      </c>
      <c r="D1325">
        <v>3525010519</v>
      </c>
      <c r="E1325">
        <v>352501001</v>
      </c>
      <c r="F1325" t="s">
        <v>94</v>
      </c>
      <c r="G1325" t="s">
        <v>4636</v>
      </c>
      <c r="H1325" s="1">
        <v>45847</v>
      </c>
      <c r="J1325" s="8">
        <v>45852</v>
      </c>
      <c r="K1325" s="1" t="s">
        <v>4530</v>
      </c>
      <c r="L1325" t="s">
        <v>4637</v>
      </c>
      <c r="M1325" t="s">
        <v>4537</v>
      </c>
      <c r="N1325" s="12">
        <v>4900000</v>
      </c>
      <c r="O1325" t="s">
        <v>3633</v>
      </c>
      <c r="P1325" s="6" t="s">
        <v>36</v>
      </c>
      <c r="R1325" t="s">
        <v>38</v>
      </c>
      <c r="S1325" s="9">
        <v>2450</v>
      </c>
      <c r="T1325" s="9">
        <v>2000</v>
      </c>
      <c r="U1325" s="9">
        <v>4900000</v>
      </c>
      <c r="V1325" s="6" t="s">
        <v>352</v>
      </c>
      <c r="W1325" t="s">
        <v>40</v>
      </c>
      <c r="X1325">
        <v>7843014747</v>
      </c>
      <c r="Y1325">
        <v>781401001</v>
      </c>
      <c r="Z1325" s="3">
        <v>45853.574999999997</v>
      </c>
      <c r="AA1325" s="6">
        <v>2025</v>
      </c>
      <c r="AB1325" s="1">
        <v>45889</v>
      </c>
    </row>
    <row r="1326" spans="1:28" x14ac:dyDescent="0.3">
      <c r="A1326" t="s">
        <v>4638</v>
      </c>
      <c r="B1326" s="6" t="s">
        <v>92</v>
      </c>
      <c r="C1326" s="6" t="s">
        <v>93</v>
      </c>
      <c r="D1326">
        <v>4501024659</v>
      </c>
      <c r="E1326">
        <v>450101001</v>
      </c>
      <c r="F1326" t="s">
        <v>52</v>
      </c>
      <c r="G1326" t="s">
        <v>4639</v>
      </c>
      <c r="H1326" s="1">
        <v>45841</v>
      </c>
      <c r="J1326" s="8">
        <v>45852</v>
      </c>
      <c r="K1326" s="1" t="s">
        <v>4530</v>
      </c>
      <c r="L1326" t="s">
        <v>4639</v>
      </c>
      <c r="M1326" t="s">
        <v>2411</v>
      </c>
      <c r="N1326" s="12">
        <v>1712088</v>
      </c>
      <c r="O1326" t="s">
        <v>3633</v>
      </c>
      <c r="P1326" s="6" t="s">
        <v>36</v>
      </c>
      <c r="R1326" t="s">
        <v>38</v>
      </c>
      <c r="S1326" s="9">
        <v>3612</v>
      </c>
      <c r="T1326" s="9">
        <v>474</v>
      </c>
      <c r="U1326" s="9">
        <v>1712088</v>
      </c>
      <c r="V1326" s="6" t="s">
        <v>39</v>
      </c>
      <c r="W1326" t="s">
        <v>40</v>
      </c>
      <c r="X1326">
        <v>7810687137</v>
      </c>
      <c r="Y1326">
        <v>781401001</v>
      </c>
      <c r="Z1326" s="3">
        <v>45854.030555555553</v>
      </c>
      <c r="AA1326" s="6">
        <v>2025</v>
      </c>
      <c r="AB1326" s="1">
        <v>45992</v>
      </c>
    </row>
    <row r="1327" spans="1:28" x14ac:dyDescent="0.3">
      <c r="A1327" s="6" t="s">
        <v>4640</v>
      </c>
      <c r="B1327" s="6" t="s">
        <v>4225</v>
      </c>
      <c r="C1327" s="6" t="s">
        <v>164</v>
      </c>
      <c r="D1327" s="6">
        <v>7725262013</v>
      </c>
      <c r="E1327" s="6">
        <v>772501001</v>
      </c>
      <c r="F1327" s="6" t="s">
        <v>4226</v>
      </c>
      <c r="G1327" s="6" t="s">
        <v>4529</v>
      </c>
      <c r="H1327" s="8">
        <v>45842</v>
      </c>
      <c r="I1327" s="6"/>
      <c r="J1327" s="8">
        <v>45853</v>
      </c>
      <c r="K1327" s="8" t="s">
        <v>4530</v>
      </c>
      <c r="L1327" s="6" t="s">
        <v>4641</v>
      </c>
      <c r="M1327" s="6" t="s">
        <v>4642</v>
      </c>
      <c r="N1327" s="14">
        <v>311721851.16000003</v>
      </c>
      <c r="O1327" s="6" t="s">
        <v>4643</v>
      </c>
      <c r="P1327" s="6" t="s">
        <v>36</v>
      </c>
      <c r="Q1327" s="6"/>
      <c r="R1327" s="6" t="s">
        <v>38</v>
      </c>
      <c r="S1327" s="9">
        <v>1649</v>
      </c>
      <c r="T1327" s="9">
        <v>94518</v>
      </c>
      <c r="U1327" s="9">
        <v>155860925.58000001</v>
      </c>
      <c r="V1327" s="6" t="s">
        <v>128</v>
      </c>
      <c r="W1327" s="6" t="s">
        <v>129</v>
      </c>
      <c r="X1327" s="6">
        <v>274110679</v>
      </c>
      <c r="Y1327" s="6">
        <v>500801001</v>
      </c>
      <c r="Z1327" s="11"/>
      <c r="AA1327" s="6">
        <v>2025</v>
      </c>
      <c r="AB1327" s="8">
        <v>46387</v>
      </c>
    </row>
    <row r="1328" spans="1:28" x14ac:dyDescent="0.3">
      <c r="A1328" s="6" t="s">
        <v>4640</v>
      </c>
      <c r="B1328" s="6" t="s">
        <v>4225</v>
      </c>
      <c r="C1328" s="6" t="s">
        <v>164</v>
      </c>
      <c r="D1328" s="6">
        <v>7725262013</v>
      </c>
      <c r="E1328" s="6">
        <v>772501001</v>
      </c>
      <c r="F1328" s="6" t="s">
        <v>4226</v>
      </c>
      <c r="G1328" s="6" t="s">
        <v>4529</v>
      </c>
      <c r="H1328" s="8">
        <v>45842</v>
      </c>
      <c r="I1328" s="6"/>
      <c r="J1328" s="8">
        <v>45853</v>
      </c>
      <c r="K1328" s="8" t="s">
        <v>4530</v>
      </c>
      <c r="L1328" s="6" t="s">
        <v>4641</v>
      </c>
      <c r="M1328" s="6" t="s">
        <v>4642</v>
      </c>
      <c r="N1328" s="14">
        <v>311721851.16000003</v>
      </c>
      <c r="O1328" s="6" t="s">
        <v>4643</v>
      </c>
      <c r="P1328" s="6" t="s">
        <v>36</v>
      </c>
      <c r="Q1328" s="6"/>
      <c r="R1328" s="6" t="s">
        <v>38</v>
      </c>
      <c r="S1328" s="9">
        <v>1649</v>
      </c>
      <c r="T1328" s="9">
        <v>94519</v>
      </c>
      <c r="U1328" s="9">
        <v>155860925.58000001</v>
      </c>
      <c r="V1328" s="6" t="s">
        <v>128</v>
      </c>
      <c r="W1328" s="6" t="s">
        <v>129</v>
      </c>
      <c r="X1328" s="6">
        <v>274110679</v>
      </c>
      <c r="Y1328" s="6">
        <v>500801001</v>
      </c>
      <c r="Z1328" s="11"/>
      <c r="AA1328" s="6">
        <v>2026</v>
      </c>
      <c r="AB1328" s="8">
        <v>46387</v>
      </c>
    </row>
    <row r="1329" spans="1:28" x14ac:dyDescent="0.3">
      <c r="A1329" t="s">
        <v>4644</v>
      </c>
      <c r="B1329" s="6" t="s">
        <v>1103</v>
      </c>
      <c r="C1329" s="6" t="s">
        <v>1104</v>
      </c>
      <c r="D1329">
        <v>4347018562</v>
      </c>
      <c r="E1329">
        <v>434501001</v>
      </c>
      <c r="F1329" t="s">
        <v>149</v>
      </c>
      <c r="G1329" t="s">
        <v>4645</v>
      </c>
      <c r="H1329" s="1">
        <v>45849</v>
      </c>
      <c r="J1329" s="8">
        <v>45854</v>
      </c>
      <c r="K1329" s="1" t="s">
        <v>4530</v>
      </c>
      <c r="L1329" t="s">
        <v>4646</v>
      </c>
      <c r="M1329" t="s">
        <v>377</v>
      </c>
      <c r="N1329" s="12">
        <v>658000</v>
      </c>
      <c r="O1329" t="s">
        <v>3613</v>
      </c>
      <c r="P1329" s="6" t="s">
        <v>36</v>
      </c>
      <c r="R1329" t="s">
        <v>38</v>
      </c>
      <c r="S1329" s="9">
        <v>3500</v>
      </c>
      <c r="T1329" s="9">
        <v>188</v>
      </c>
      <c r="U1329" s="9">
        <v>658000</v>
      </c>
      <c r="V1329" s="6" t="s">
        <v>58</v>
      </c>
      <c r="W1329" t="s">
        <v>59</v>
      </c>
      <c r="X1329">
        <v>5262222144</v>
      </c>
      <c r="Y1329">
        <v>526001001</v>
      </c>
      <c r="Z1329" s="3">
        <v>45854.579861111109</v>
      </c>
      <c r="AA1329" s="6">
        <v>2025</v>
      </c>
      <c r="AB1329" s="1">
        <v>46021</v>
      </c>
    </row>
    <row r="1330" spans="1:28" x14ac:dyDescent="0.3">
      <c r="A1330" s="4" t="s">
        <v>4647</v>
      </c>
      <c r="B1330" s="6" t="s">
        <v>335</v>
      </c>
      <c r="C1330" s="6" t="s">
        <v>336</v>
      </c>
      <c r="D1330">
        <v>5904101322</v>
      </c>
      <c r="E1330">
        <v>590601001</v>
      </c>
      <c r="F1330" t="s">
        <v>149</v>
      </c>
      <c r="G1330" t="s">
        <v>4648</v>
      </c>
      <c r="H1330" s="1">
        <v>45849</v>
      </c>
      <c r="J1330" s="8">
        <v>45854</v>
      </c>
      <c r="K1330" s="1" t="s">
        <v>4530</v>
      </c>
      <c r="L1330" t="s">
        <v>4648</v>
      </c>
      <c r="M1330" t="s">
        <v>377</v>
      </c>
      <c r="N1330" s="12">
        <v>72900</v>
      </c>
      <c r="O1330" t="s">
        <v>3745</v>
      </c>
      <c r="P1330" s="6" t="s">
        <v>2277</v>
      </c>
      <c r="R1330" t="s">
        <v>38</v>
      </c>
      <c r="S1330" s="9">
        <v>4050</v>
      </c>
      <c r="T1330" s="9">
        <v>18</v>
      </c>
      <c r="U1330" s="9">
        <v>72900</v>
      </c>
      <c r="V1330" s="6" t="s">
        <v>3156</v>
      </c>
      <c r="W1330" t="s">
        <v>59</v>
      </c>
      <c r="X1330">
        <v>6684041878</v>
      </c>
      <c r="Y1330">
        <v>668401001</v>
      </c>
      <c r="Z1330" s="3">
        <v>45854.840277777781</v>
      </c>
      <c r="AA1330" s="6">
        <v>2025</v>
      </c>
      <c r="AB1330" s="1">
        <v>46071</v>
      </c>
    </row>
    <row r="1331" spans="1:28" x14ac:dyDescent="0.3">
      <c r="A1331" s="4" t="s">
        <v>4649</v>
      </c>
      <c r="B1331" s="6" t="s">
        <v>1103</v>
      </c>
      <c r="C1331" s="6" t="s">
        <v>1104</v>
      </c>
      <c r="D1331">
        <v>4347018562</v>
      </c>
      <c r="E1331">
        <v>434501001</v>
      </c>
      <c r="F1331" t="s">
        <v>149</v>
      </c>
      <c r="G1331" t="s">
        <v>4650</v>
      </c>
      <c r="H1331" s="1">
        <v>45852</v>
      </c>
      <c r="J1331" s="8">
        <v>45855</v>
      </c>
      <c r="K1331" s="1" t="s">
        <v>4530</v>
      </c>
      <c r="L1331" t="s">
        <v>4651</v>
      </c>
      <c r="M1331" t="s">
        <v>377</v>
      </c>
      <c r="N1331" s="12">
        <v>30000</v>
      </c>
      <c r="O1331" t="s">
        <v>4652</v>
      </c>
      <c r="P1331" s="6" t="s">
        <v>2277</v>
      </c>
      <c r="R1331" t="s">
        <v>38</v>
      </c>
      <c r="S1331" s="9">
        <v>3000</v>
      </c>
      <c r="T1331" s="9">
        <v>10</v>
      </c>
      <c r="U1331" s="9">
        <v>30000</v>
      </c>
      <c r="V1331" s="6" t="s">
        <v>4653</v>
      </c>
      <c r="W1331" t="s">
        <v>4654</v>
      </c>
      <c r="X1331">
        <v>9707029145</v>
      </c>
      <c r="Y1331">
        <v>770701001</v>
      </c>
      <c r="Z1331" s="3">
        <v>45855.561111111114</v>
      </c>
      <c r="AA1331" s="6">
        <v>2025</v>
      </c>
      <c r="AB1331" s="1">
        <v>46022</v>
      </c>
    </row>
    <row r="1332" spans="1:28" x14ac:dyDescent="0.3">
      <c r="A1332" s="4" t="s">
        <v>4655</v>
      </c>
      <c r="B1332" s="6" t="s">
        <v>220</v>
      </c>
      <c r="C1332" s="6" t="s">
        <v>221</v>
      </c>
      <c r="D1332">
        <v>5024068656</v>
      </c>
      <c r="E1332">
        <v>502401001</v>
      </c>
      <c r="F1332" t="s">
        <v>52</v>
      </c>
      <c r="G1332" t="s">
        <v>4656</v>
      </c>
      <c r="H1332" s="1">
        <v>45845</v>
      </c>
      <c r="I1332" t="s">
        <v>4657</v>
      </c>
      <c r="J1332" s="8">
        <v>45856</v>
      </c>
      <c r="K1332" s="1" t="s">
        <v>4530</v>
      </c>
      <c r="L1332" t="s">
        <v>4656</v>
      </c>
      <c r="M1332" t="s">
        <v>4658</v>
      </c>
      <c r="N1332" s="12">
        <v>35155070.640000001</v>
      </c>
      <c r="O1332" t="s">
        <v>3745</v>
      </c>
      <c r="P1332" s="6" t="s">
        <v>2277</v>
      </c>
      <c r="R1332" t="s">
        <v>38</v>
      </c>
      <c r="S1332" s="9">
        <v>2083.14</v>
      </c>
      <c r="T1332" s="9">
        <v>16876</v>
      </c>
      <c r="U1332" s="9">
        <v>35155070.640000001</v>
      </c>
      <c r="V1332" s="6" t="s">
        <v>251</v>
      </c>
      <c r="W1332" t="s">
        <v>252</v>
      </c>
      <c r="X1332">
        <v>5027262517</v>
      </c>
      <c r="Y1332">
        <v>502701001</v>
      </c>
      <c r="Z1332" s="3">
        <v>45866.689583333333</v>
      </c>
      <c r="AA1332" s="6">
        <v>2025</v>
      </c>
      <c r="AB1332" s="1">
        <v>45905</v>
      </c>
    </row>
    <row r="1333" spans="1:28" x14ac:dyDescent="0.3">
      <c r="A1333" s="4" t="s">
        <v>4655</v>
      </c>
      <c r="B1333" s="6" t="s">
        <v>220</v>
      </c>
      <c r="C1333" s="6" t="s">
        <v>221</v>
      </c>
      <c r="D1333">
        <v>5024068656</v>
      </c>
      <c r="E1333">
        <v>502401001</v>
      </c>
      <c r="F1333" t="s">
        <v>52</v>
      </c>
      <c r="G1333" t="s">
        <v>4656</v>
      </c>
      <c r="H1333" s="1">
        <v>45845</v>
      </c>
      <c r="J1333" s="8">
        <v>45856</v>
      </c>
      <c r="K1333" s="1" t="s">
        <v>4530</v>
      </c>
      <c r="L1333" t="s">
        <v>4656</v>
      </c>
      <c r="M1333" t="s">
        <v>4659</v>
      </c>
      <c r="N1333" s="12">
        <v>35155176.109999999</v>
      </c>
      <c r="O1333" t="s">
        <v>3745</v>
      </c>
      <c r="P1333" s="6" t="s">
        <v>2277</v>
      </c>
      <c r="R1333" t="s">
        <v>38</v>
      </c>
      <c r="S1333" s="9">
        <v>2083.15</v>
      </c>
      <c r="T1333" s="9">
        <v>16876</v>
      </c>
      <c r="U1333" s="9">
        <v>35155176.109999999</v>
      </c>
      <c r="V1333" s="6" t="s">
        <v>251</v>
      </c>
      <c r="W1333" t="s">
        <v>252</v>
      </c>
      <c r="X1333">
        <v>5027262517</v>
      </c>
      <c r="Y1333">
        <v>502701001</v>
      </c>
      <c r="Z1333" s="3">
        <v>45859.613888888889</v>
      </c>
      <c r="AA1333" s="6">
        <v>2025</v>
      </c>
      <c r="AB1333" s="1">
        <v>45905</v>
      </c>
    </row>
    <row r="1334" spans="1:28" x14ac:dyDescent="0.3">
      <c r="A1334" t="s">
        <v>4660</v>
      </c>
      <c r="B1334" s="6" t="s">
        <v>639</v>
      </c>
      <c r="C1334" s="6" t="s">
        <v>640</v>
      </c>
      <c r="D1334">
        <v>6905044950</v>
      </c>
      <c r="E1334">
        <v>695001001</v>
      </c>
      <c r="F1334" t="s">
        <v>52</v>
      </c>
      <c r="G1334" t="s">
        <v>4661</v>
      </c>
      <c r="H1334" s="1">
        <v>45847</v>
      </c>
      <c r="J1334" s="8">
        <v>45859</v>
      </c>
      <c r="K1334" s="1" t="s">
        <v>4530</v>
      </c>
      <c r="L1334" t="s">
        <v>4661</v>
      </c>
      <c r="M1334" t="s">
        <v>4662</v>
      </c>
      <c r="N1334" s="12">
        <v>792750</v>
      </c>
      <c r="O1334" t="s">
        <v>3633</v>
      </c>
      <c r="P1334" s="6" t="s">
        <v>36</v>
      </c>
      <c r="R1334" t="s">
        <v>38</v>
      </c>
      <c r="S1334" s="9">
        <v>2625</v>
      </c>
      <c r="T1334" s="9">
        <v>302</v>
      </c>
      <c r="U1334" s="9">
        <v>792750</v>
      </c>
      <c r="V1334" s="6" t="s">
        <v>58</v>
      </c>
      <c r="W1334" t="s">
        <v>59</v>
      </c>
      <c r="X1334">
        <v>5262222144</v>
      </c>
      <c r="Y1334">
        <v>526001001</v>
      </c>
      <c r="Z1334" s="3">
        <v>45860.682638888888</v>
      </c>
      <c r="AA1334" s="6">
        <v>2025</v>
      </c>
      <c r="AB1334" s="1">
        <v>46017</v>
      </c>
    </row>
    <row r="1335" spans="1:28" x14ac:dyDescent="0.3">
      <c r="A1335" s="4" t="s">
        <v>4663</v>
      </c>
      <c r="B1335" s="6" t="s">
        <v>1615</v>
      </c>
      <c r="C1335" s="6" t="s">
        <v>198</v>
      </c>
      <c r="D1335">
        <v>1001334128</v>
      </c>
      <c r="E1335">
        <v>100101001</v>
      </c>
      <c r="F1335" t="s">
        <v>149</v>
      </c>
      <c r="G1335" t="s">
        <v>4664</v>
      </c>
      <c r="H1335" s="1">
        <v>45854</v>
      </c>
      <c r="I1335" t="s">
        <v>4665</v>
      </c>
      <c r="J1335" s="8">
        <v>45859</v>
      </c>
      <c r="K1335" s="1" t="s">
        <v>4530</v>
      </c>
      <c r="L1335" t="s">
        <v>4666</v>
      </c>
      <c r="M1335" t="s">
        <v>377</v>
      </c>
      <c r="N1335" s="12">
        <v>540000</v>
      </c>
      <c r="O1335" t="s">
        <v>3633</v>
      </c>
      <c r="P1335" s="6" t="s">
        <v>36</v>
      </c>
      <c r="R1335" t="s">
        <v>38</v>
      </c>
      <c r="S1335" s="9">
        <v>3000</v>
      </c>
      <c r="T1335" s="9">
        <v>180</v>
      </c>
      <c r="U1335" s="9">
        <v>540000</v>
      </c>
      <c r="V1335" s="6" t="s">
        <v>39</v>
      </c>
      <c r="W1335" t="s">
        <v>40</v>
      </c>
      <c r="X1335">
        <v>7810687137</v>
      </c>
      <c r="Y1335">
        <v>781401001</v>
      </c>
      <c r="Z1335" s="3">
        <v>45860.334027777775</v>
      </c>
      <c r="AA1335" s="6">
        <v>2025</v>
      </c>
      <c r="AB1335" s="1">
        <v>45930</v>
      </c>
    </row>
    <row r="1336" spans="1:28" x14ac:dyDescent="0.3">
      <c r="A1336" t="s">
        <v>4667</v>
      </c>
      <c r="B1336" s="6" t="s">
        <v>121</v>
      </c>
      <c r="C1336" s="6" t="s">
        <v>122</v>
      </c>
      <c r="D1336">
        <v>5402155123</v>
      </c>
      <c r="E1336">
        <v>540201001</v>
      </c>
      <c r="F1336" t="s">
        <v>52</v>
      </c>
      <c r="G1336" t="s">
        <v>4668</v>
      </c>
      <c r="H1336" s="1">
        <v>45846</v>
      </c>
      <c r="I1336" t="s">
        <v>4669</v>
      </c>
      <c r="J1336" s="8">
        <v>45859</v>
      </c>
      <c r="K1336" s="1" t="s">
        <v>4530</v>
      </c>
      <c r="L1336" t="s">
        <v>4670</v>
      </c>
      <c r="M1336" t="s">
        <v>4671</v>
      </c>
      <c r="N1336" s="12">
        <v>30803240</v>
      </c>
      <c r="O1336" t="s">
        <v>3613</v>
      </c>
      <c r="P1336" s="6" t="s">
        <v>3758</v>
      </c>
      <c r="Q1336" t="s">
        <v>37</v>
      </c>
      <c r="R1336" t="s">
        <v>38</v>
      </c>
      <c r="S1336" s="9">
        <v>3848</v>
      </c>
      <c r="T1336" s="9">
        <v>2669</v>
      </c>
      <c r="U1336" s="9">
        <v>10270312</v>
      </c>
      <c r="V1336" s="6" t="s">
        <v>3392</v>
      </c>
      <c r="W1336" t="s">
        <v>3393</v>
      </c>
      <c r="X1336">
        <v>6658423648</v>
      </c>
      <c r="Y1336">
        <v>665801001</v>
      </c>
      <c r="Z1336" s="3">
        <v>45860.19027777778</v>
      </c>
      <c r="AA1336" s="6">
        <v>2025</v>
      </c>
      <c r="AB1336" s="1">
        <v>45991</v>
      </c>
    </row>
    <row r="1337" spans="1:28" x14ac:dyDescent="0.3">
      <c r="A1337" t="s">
        <v>4667</v>
      </c>
      <c r="B1337" s="6" t="s">
        <v>121</v>
      </c>
      <c r="C1337" s="6" t="s">
        <v>122</v>
      </c>
      <c r="D1337">
        <v>5402155123</v>
      </c>
      <c r="E1337">
        <v>540201001</v>
      </c>
      <c r="F1337" t="s">
        <v>52</v>
      </c>
      <c r="G1337" t="s">
        <v>4668</v>
      </c>
      <c r="H1337" s="1">
        <v>45846</v>
      </c>
      <c r="I1337" t="s">
        <v>4669</v>
      </c>
      <c r="J1337" s="8">
        <v>45859</v>
      </c>
      <c r="K1337" s="1" t="s">
        <v>4530</v>
      </c>
      <c r="L1337" t="s">
        <v>4670</v>
      </c>
      <c r="M1337" t="s">
        <v>4671</v>
      </c>
      <c r="N1337" s="12">
        <v>30803240</v>
      </c>
      <c r="O1337" t="s">
        <v>3613</v>
      </c>
      <c r="P1337" s="6" t="s">
        <v>1814</v>
      </c>
      <c r="Q1337" t="s">
        <v>37</v>
      </c>
      <c r="R1337" t="s">
        <v>38</v>
      </c>
      <c r="S1337" s="9">
        <v>3848</v>
      </c>
      <c r="T1337" s="9">
        <v>2668</v>
      </c>
      <c r="U1337" s="9">
        <v>10266464</v>
      </c>
      <c r="V1337" s="6" t="s">
        <v>3392</v>
      </c>
      <c r="W1337" t="s">
        <v>3393</v>
      </c>
      <c r="X1337">
        <v>6658423648</v>
      </c>
      <c r="Y1337">
        <v>665801001</v>
      </c>
      <c r="Z1337" s="3">
        <v>45860.19027777778</v>
      </c>
      <c r="AA1337" s="6">
        <v>2025</v>
      </c>
      <c r="AB1337" s="1">
        <v>45991</v>
      </c>
    </row>
    <row r="1338" spans="1:28" x14ac:dyDescent="0.3">
      <c r="A1338" t="s">
        <v>4667</v>
      </c>
      <c r="B1338" s="6" t="s">
        <v>121</v>
      </c>
      <c r="C1338" s="6" t="s">
        <v>122</v>
      </c>
      <c r="D1338">
        <v>5402155123</v>
      </c>
      <c r="E1338">
        <v>540201001</v>
      </c>
      <c r="F1338" t="s">
        <v>52</v>
      </c>
      <c r="G1338" t="s">
        <v>4668</v>
      </c>
      <c r="H1338" s="1">
        <v>45846</v>
      </c>
      <c r="I1338" t="s">
        <v>4669</v>
      </c>
      <c r="J1338" s="8">
        <v>45859</v>
      </c>
      <c r="K1338" s="1" t="s">
        <v>4530</v>
      </c>
      <c r="L1338" t="s">
        <v>4670</v>
      </c>
      <c r="M1338" t="s">
        <v>4671</v>
      </c>
      <c r="N1338" s="12">
        <v>30803240</v>
      </c>
      <c r="O1338" t="s">
        <v>3745</v>
      </c>
      <c r="P1338" s="6" t="s">
        <v>2277</v>
      </c>
      <c r="Q1338" t="s">
        <v>37</v>
      </c>
      <c r="R1338" t="s">
        <v>38</v>
      </c>
      <c r="S1338" s="9">
        <v>3848</v>
      </c>
      <c r="T1338" s="9">
        <v>2668</v>
      </c>
      <c r="U1338" s="9">
        <v>10266464</v>
      </c>
      <c r="V1338" s="6" t="s">
        <v>3392</v>
      </c>
      <c r="W1338" t="s">
        <v>3393</v>
      </c>
      <c r="X1338">
        <v>6658423648</v>
      </c>
      <c r="Y1338">
        <v>665801001</v>
      </c>
      <c r="Z1338" s="3">
        <v>45860.19027777778</v>
      </c>
      <c r="AA1338" s="6">
        <v>2025</v>
      </c>
      <c r="AB1338" s="1">
        <v>45991</v>
      </c>
    </row>
    <row r="1339" spans="1:28" x14ac:dyDescent="0.3">
      <c r="A1339" t="s">
        <v>4672</v>
      </c>
      <c r="B1339" s="6" t="s">
        <v>177</v>
      </c>
      <c r="C1339" s="6" t="s">
        <v>62</v>
      </c>
      <c r="D1339">
        <v>4027122645</v>
      </c>
      <c r="E1339">
        <v>402701001</v>
      </c>
      <c r="F1339" t="s">
        <v>44</v>
      </c>
      <c r="H1339"/>
      <c r="I1339" t="s">
        <v>4673</v>
      </c>
      <c r="J1339" s="8">
        <v>45859</v>
      </c>
      <c r="K1339" s="1" t="s">
        <v>4530</v>
      </c>
      <c r="L1339" t="s">
        <v>4674</v>
      </c>
      <c r="M1339" t="s">
        <v>179</v>
      </c>
      <c r="N1339" s="12">
        <v>27542170</v>
      </c>
      <c r="O1339" t="s">
        <v>4675</v>
      </c>
      <c r="P1339" s="6" t="s">
        <v>36</v>
      </c>
      <c r="Q1339" t="s">
        <v>37</v>
      </c>
      <c r="R1339" t="s">
        <v>38</v>
      </c>
      <c r="S1339" s="9">
        <v>5750</v>
      </c>
      <c r="T1339" s="9">
        <v>900</v>
      </c>
      <c r="U1339" s="9">
        <v>5175000</v>
      </c>
      <c r="V1339" s="6" t="s">
        <v>61</v>
      </c>
      <c r="W1339" t="s">
        <v>59</v>
      </c>
      <c r="X1339">
        <v>4027022305</v>
      </c>
      <c r="Y1339">
        <v>402701001</v>
      </c>
      <c r="Z1339" s="3">
        <v>45859.679861111108</v>
      </c>
      <c r="AA1339" s="6">
        <v>2026</v>
      </c>
      <c r="AB1339" s="1">
        <v>46387</v>
      </c>
    </row>
    <row r="1340" spans="1:28" x14ac:dyDescent="0.3">
      <c r="A1340" t="s">
        <v>4672</v>
      </c>
      <c r="B1340" s="6" t="s">
        <v>177</v>
      </c>
      <c r="C1340" s="6" t="s">
        <v>62</v>
      </c>
      <c r="D1340">
        <v>4027122645</v>
      </c>
      <c r="E1340">
        <v>402701001</v>
      </c>
      <c r="F1340" t="s">
        <v>44</v>
      </c>
      <c r="H1340"/>
      <c r="I1340" t="s">
        <v>4673</v>
      </c>
      <c r="J1340" s="8">
        <v>45859</v>
      </c>
      <c r="K1340" s="1" t="s">
        <v>4530</v>
      </c>
      <c r="L1340" t="s">
        <v>4674</v>
      </c>
      <c r="M1340" t="s">
        <v>179</v>
      </c>
      <c r="N1340" s="12">
        <v>27542170</v>
      </c>
      <c r="O1340" t="s">
        <v>4676</v>
      </c>
      <c r="P1340" s="6" t="s">
        <v>891</v>
      </c>
      <c r="Q1340" t="s">
        <v>37</v>
      </c>
      <c r="R1340" t="s">
        <v>38</v>
      </c>
      <c r="S1340" s="9">
        <v>6390.62</v>
      </c>
      <c r="T1340" s="9">
        <v>800</v>
      </c>
      <c r="U1340" s="9">
        <v>5112496</v>
      </c>
      <c r="V1340" s="6" t="s">
        <v>61</v>
      </c>
      <c r="W1340" t="s">
        <v>59</v>
      </c>
      <c r="X1340">
        <v>4027022305</v>
      </c>
      <c r="Y1340">
        <v>402701001</v>
      </c>
      <c r="Z1340" s="3">
        <v>45859.679861111108</v>
      </c>
      <c r="AA1340" s="6">
        <v>2026</v>
      </c>
      <c r="AB1340" s="1">
        <v>46387</v>
      </c>
    </row>
    <row r="1341" spans="1:28" x14ac:dyDescent="0.3">
      <c r="A1341" t="s">
        <v>4672</v>
      </c>
      <c r="B1341" s="6" t="s">
        <v>177</v>
      </c>
      <c r="C1341" s="6" t="s">
        <v>62</v>
      </c>
      <c r="D1341">
        <v>4027122645</v>
      </c>
      <c r="E1341">
        <v>402701001</v>
      </c>
      <c r="F1341" t="s">
        <v>44</v>
      </c>
      <c r="H1341"/>
      <c r="I1341" t="s">
        <v>4673</v>
      </c>
      <c r="J1341" s="8">
        <v>45859</v>
      </c>
      <c r="K1341" s="1" t="s">
        <v>4530</v>
      </c>
      <c r="L1341" t="s">
        <v>4674</v>
      </c>
      <c r="M1341" t="s">
        <v>179</v>
      </c>
      <c r="N1341" s="12">
        <v>27542170</v>
      </c>
      <c r="O1341" t="s">
        <v>4677</v>
      </c>
      <c r="P1341" s="6" t="s">
        <v>2277</v>
      </c>
      <c r="Q1341" t="s">
        <v>37</v>
      </c>
      <c r="R1341" t="s">
        <v>38</v>
      </c>
      <c r="S1341" s="9">
        <v>6390.62</v>
      </c>
      <c r="T1341" s="9">
        <v>2700</v>
      </c>
      <c r="U1341" s="9">
        <v>17254674</v>
      </c>
      <c r="V1341" s="6" t="s">
        <v>61</v>
      </c>
      <c r="W1341" t="s">
        <v>59</v>
      </c>
      <c r="X1341">
        <v>4027022305</v>
      </c>
      <c r="Y1341">
        <v>402701001</v>
      </c>
      <c r="Z1341" s="3">
        <v>45859.679861111108</v>
      </c>
      <c r="AA1341" s="6">
        <v>2026</v>
      </c>
      <c r="AB1341" s="1">
        <v>46387</v>
      </c>
    </row>
    <row r="1342" spans="1:28" x14ac:dyDescent="0.3">
      <c r="A1342" s="4" t="s">
        <v>4678</v>
      </c>
      <c r="B1342" s="6" t="s">
        <v>220</v>
      </c>
      <c r="C1342" s="6" t="s">
        <v>221</v>
      </c>
      <c r="D1342">
        <v>5024068656</v>
      </c>
      <c r="E1342">
        <v>502401001</v>
      </c>
      <c r="F1342" t="s">
        <v>52</v>
      </c>
      <c r="G1342" t="s">
        <v>4679</v>
      </c>
      <c r="H1342" s="1">
        <v>45845</v>
      </c>
      <c r="J1342" s="8">
        <v>45860</v>
      </c>
      <c r="K1342" s="1" t="s">
        <v>4530</v>
      </c>
      <c r="L1342" t="s">
        <v>4679</v>
      </c>
      <c r="M1342" t="s">
        <v>4680</v>
      </c>
      <c r="N1342" s="12">
        <v>42309002.399999999</v>
      </c>
      <c r="O1342" t="s">
        <v>3633</v>
      </c>
      <c r="P1342" s="6" t="s">
        <v>36</v>
      </c>
      <c r="R1342" t="s">
        <v>38</v>
      </c>
      <c r="S1342" s="9">
        <v>1511.04</v>
      </c>
      <c r="T1342" s="9">
        <v>28000</v>
      </c>
      <c r="U1342" s="9">
        <v>42309002.399999999</v>
      </c>
      <c r="V1342" s="6" t="s">
        <v>128</v>
      </c>
      <c r="W1342" t="s">
        <v>129</v>
      </c>
      <c r="X1342">
        <v>274110679</v>
      </c>
      <c r="Y1342">
        <v>500801001</v>
      </c>
      <c r="Z1342" s="3">
        <v>45860.654166666667</v>
      </c>
      <c r="AA1342" s="6">
        <v>2025</v>
      </c>
      <c r="AB1342" s="1">
        <v>46021</v>
      </c>
    </row>
    <row r="1343" spans="1:28" x14ac:dyDescent="0.3">
      <c r="A1343" t="s">
        <v>4681</v>
      </c>
      <c r="B1343" s="6" t="s">
        <v>220</v>
      </c>
      <c r="C1343" s="6" t="s">
        <v>221</v>
      </c>
      <c r="D1343">
        <v>5024068656</v>
      </c>
      <c r="E1343">
        <v>502401001</v>
      </c>
      <c r="F1343" t="s">
        <v>52</v>
      </c>
      <c r="G1343" t="s">
        <v>4682</v>
      </c>
      <c r="H1343" s="1">
        <v>45845</v>
      </c>
      <c r="J1343" s="8">
        <v>45860</v>
      </c>
      <c r="K1343" s="1" t="s">
        <v>4530</v>
      </c>
      <c r="L1343" t="s">
        <v>4682</v>
      </c>
      <c r="M1343" t="s">
        <v>4683</v>
      </c>
      <c r="N1343" s="12">
        <v>47024762.399999999</v>
      </c>
      <c r="O1343" t="s">
        <v>3633</v>
      </c>
      <c r="P1343" s="6" t="s">
        <v>36</v>
      </c>
      <c r="R1343" t="s">
        <v>38</v>
      </c>
      <c r="S1343" s="9">
        <v>1679.46</v>
      </c>
      <c r="T1343" s="9">
        <v>28000</v>
      </c>
      <c r="U1343" s="9">
        <v>47024762.399999999</v>
      </c>
      <c r="V1343" s="6" t="s">
        <v>128</v>
      </c>
      <c r="W1343" t="s">
        <v>129</v>
      </c>
      <c r="X1343">
        <v>274110679</v>
      </c>
      <c r="Y1343">
        <v>500801001</v>
      </c>
      <c r="Z1343" s="3">
        <v>45860.661805555559</v>
      </c>
      <c r="AA1343" s="6">
        <v>2025</v>
      </c>
      <c r="AB1343" s="1">
        <v>46021</v>
      </c>
    </row>
    <row r="1344" spans="1:28" x14ac:dyDescent="0.3">
      <c r="A1344" t="s">
        <v>4684</v>
      </c>
      <c r="B1344" s="6" t="s">
        <v>2467</v>
      </c>
      <c r="C1344" s="6" t="s">
        <v>904</v>
      </c>
      <c r="D1344">
        <v>3525010519</v>
      </c>
      <c r="E1344">
        <v>352501001</v>
      </c>
      <c r="F1344" t="s">
        <v>94</v>
      </c>
      <c r="G1344" t="s">
        <v>4685</v>
      </c>
      <c r="H1344" s="1">
        <v>45856</v>
      </c>
      <c r="J1344" s="8">
        <v>45861</v>
      </c>
      <c r="K1344" s="1" t="s">
        <v>4530</v>
      </c>
      <c r="L1344" t="s">
        <v>4686</v>
      </c>
      <c r="M1344" t="s">
        <v>1496</v>
      </c>
      <c r="N1344" s="12">
        <v>2417850</v>
      </c>
      <c r="O1344" t="s">
        <v>4022</v>
      </c>
      <c r="P1344" s="6" t="s">
        <v>2941</v>
      </c>
      <c r="R1344" t="s">
        <v>38</v>
      </c>
      <c r="S1344" s="9">
        <v>2430</v>
      </c>
      <c r="T1344" s="9">
        <v>995</v>
      </c>
      <c r="U1344" s="9">
        <v>2417850</v>
      </c>
      <c r="V1344" s="6" t="s">
        <v>4615</v>
      </c>
      <c r="W1344" t="s">
        <v>4616</v>
      </c>
      <c r="X1344">
        <v>7707443828</v>
      </c>
      <c r="Y1344">
        <v>770701001</v>
      </c>
      <c r="Z1344" s="3">
        <v>45862.75277777778</v>
      </c>
      <c r="AA1344" s="6">
        <v>2025</v>
      </c>
      <c r="AB1344" s="1">
        <v>45898</v>
      </c>
    </row>
    <row r="1345" spans="1:28" x14ac:dyDescent="0.3">
      <c r="A1345" t="s">
        <v>4687</v>
      </c>
      <c r="B1345" s="6" t="s">
        <v>910</v>
      </c>
      <c r="C1345" s="6" t="s">
        <v>911</v>
      </c>
      <c r="D1345">
        <v>1200000881</v>
      </c>
      <c r="E1345">
        <v>121501001</v>
      </c>
      <c r="F1345" t="s">
        <v>94</v>
      </c>
      <c r="G1345" t="s">
        <v>4688</v>
      </c>
      <c r="H1345" s="1">
        <v>45859</v>
      </c>
      <c r="J1345" s="8">
        <v>45862</v>
      </c>
      <c r="K1345" s="1" t="s">
        <v>4530</v>
      </c>
      <c r="L1345" t="s">
        <v>4689</v>
      </c>
      <c r="M1345" t="s">
        <v>3572</v>
      </c>
      <c r="N1345" s="12">
        <v>7208274</v>
      </c>
      <c r="O1345" t="s">
        <v>3648</v>
      </c>
      <c r="P1345" s="6" t="s">
        <v>2277</v>
      </c>
      <c r="R1345" t="s">
        <v>38</v>
      </c>
      <c r="S1345" s="9">
        <v>3099</v>
      </c>
      <c r="T1345" s="9">
        <v>2326</v>
      </c>
      <c r="U1345" s="9">
        <v>7208274</v>
      </c>
      <c r="V1345" s="6" t="s">
        <v>1976</v>
      </c>
      <c r="W1345" t="s">
        <v>4598</v>
      </c>
      <c r="X1345">
        <v>6454120483</v>
      </c>
      <c r="Y1345">
        <v>645401001</v>
      </c>
      <c r="Z1345" s="3">
        <v>45862.363888888889</v>
      </c>
      <c r="AA1345" s="6">
        <v>2025</v>
      </c>
      <c r="AB1345" s="1">
        <v>46022</v>
      </c>
    </row>
    <row r="1346" spans="1:28" x14ac:dyDescent="0.3">
      <c r="A1346" t="s">
        <v>4690</v>
      </c>
      <c r="B1346" s="6" t="s">
        <v>554</v>
      </c>
      <c r="C1346" s="6" t="s">
        <v>555</v>
      </c>
      <c r="D1346">
        <v>7453135827</v>
      </c>
      <c r="E1346">
        <v>745301001</v>
      </c>
      <c r="F1346" t="s">
        <v>94</v>
      </c>
      <c r="G1346" t="s">
        <v>4691</v>
      </c>
      <c r="H1346" s="1">
        <v>45859</v>
      </c>
      <c r="J1346" s="8">
        <v>45862</v>
      </c>
      <c r="K1346" s="1" t="s">
        <v>4530</v>
      </c>
      <c r="L1346" t="s">
        <v>4692</v>
      </c>
      <c r="M1346" t="s">
        <v>4693</v>
      </c>
      <c r="N1346" s="12">
        <v>121000</v>
      </c>
      <c r="O1346" t="s">
        <v>4694</v>
      </c>
      <c r="P1346" s="6" t="s">
        <v>1814</v>
      </c>
      <c r="R1346" t="s">
        <v>48</v>
      </c>
      <c r="S1346" s="16">
        <v>6050</v>
      </c>
      <c r="T1346" s="16">
        <v>20</v>
      </c>
      <c r="U1346" s="16">
        <v>121000</v>
      </c>
      <c r="V1346" s="6" t="s">
        <v>4695</v>
      </c>
      <c r="W1346" t="s">
        <v>4696</v>
      </c>
      <c r="X1346">
        <v>9717006926</v>
      </c>
      <c r="Y1346">
        <v>771701001</v>
      </c>
      <c r="Z1346" s="3">
        <v>45869.546527777777</v>
      </c>
      <c r="AA1346" s="6">
        <v>2025</v>
      </c>
      <c r="AB1346" s="1">
        <v>45961</v>
      </c>
    </row>
    <row r="1347" spans="1:28" x14ac:dyDescent="0.3">
      <c r="A1347" t="s">
        <v>4697</v>
      </c>
      <c r="B1347" s="6" t="s">
        <v>602</v>
      </c>
      <c r="C1347" s="6" t="s">
        <v>548</v>
      </c>
      <c r="D1347">
        <v>1901130110</v>
      </c>
      <c r="E1347">
        <v>190101001</v>
      </c>
      <c r="F1347" t="s">
        <v>52</v>
      </c>
      <c r="G1347" t="s">
        <v>4698</v>
      </c>
      <c r="H1347" s="1">
        <v>45852</v>
      </c>
      <c r="I1347" t="s">
        <v>4699</v>
      </c>
      <c r="J1347" s="8">
        <v>45863</v>
      </c>
      <c r="K1347" s="1" t="s">
        <v>4530</v>
      </c>
      <c r="L1347" t="s">
        <v>4700</v>
      </c>
      <c r="M1347" t="s">
        <v>3684</v>
      </c>
      <c r="N1347" s="12">
        <v>5311343.32</v>
      </c>
      <c r="O1347" t="s">
        <v>3633</v>
      </c>
      <c r="P1347" s="6" t="s">
        <v>36</v>
      </c>
      <c r="R1347" t="s">
        <v>38</v>
      </c>
      <c r="S1347" s="9">
        <v>3033.32</v>
      </c>
      <c r="T1347" s="9">
        <v>1751</v>
      </c>
      <c r="U1347" s="9">
        <v>5311343.32</v>
      </c>
      <c r="V1347" s="6" t="s">
        <v>352</v>
      </c>
      <c r="W1347" t="s">
        <v>40</v>
      </c>
      <c r="X1347">
        <v>7843014747</v>
      </c>
      <c r="Y1347">
        <v>781401001</v>
      </c>
      <c r="Z1347" s="3">
        <v>45863.23333333333</v>
      </c>
      <c r="AA1347" s="6">
        <v>2025</v>
      </c>
      <c r="AB1347" s="1">
        <v>45930</v>
      </c>
    </row>
    <row r="1348" spans="1:28" x14ac:dyDescent="0.3">
      <c r="A1348" t="s">
        <v>4701</v>
      </c>
      <c r="B1348" s="6" t="s">
        <v>1296</v>
      </c>
      <c r="C1348" s="6" t="s">
        <v>164</v>
      </c>
      <c r="D1348">
        <v>7720093523</v>
      </c>
      <c r="E1348">
        <v>772001001</v>
      </c>
      <c r="F1348" t="s">
        <v>149</v>
      </c>
      <c r="G1348" t="s">
        <v>4702</v>
      </c>
      <c r="H1348" s="1">
        <v>45860</v>
      </c>
      <c r="J1348" s="8">
        <v>45863</v>
      </c>
      <c r="K1348" s="1" t="s">
        <v>4530</v>
      </c>
      <c r="L1348" t="s">
        <v>4702</v>
      </c>
      <c r="M1348" t="s">
        <v>377</v>
      </c>
      <c r="N1348" s="12">
        <v>479680</v>
      </c>
      <c r="O1348" t="s">
        <v>3633</v>
      </c>
      <c r="P1348" s="6" t="s">
        <v>36</v>
      </c>
      <c r="R1348" t="s">
        <v>38</v>
      </c>
      <c r="S1348" s="9">
        <v>5996</v>
      </c>
      <c r="T1348" s="9">
        <v>80</v>
      </c>
      <c r="U1348" s="9">
        <v>479680</v>
      </c>
      <c r="V1348" s="6" t="s">
        <v>3608</v>
      </c>
      <c r="W1348" t="s">
        <v>3609</v>
      </c>
      <c r="X1348">
        <v>9729323493</v>
      </c>
      <c r="Y1348">
        <v>772901001</v>
      </c>
      <c r="Z1348" s="3">
        <v>45867.470138888886</v>
      </c>
      <c r="AA1348" s="6">
        <v>2025</v>
      </c>
      <c r="AB1348" s="1">
        <v>45910</v>
      </c>
    </row>
    <row r="1349" spans="1:28" x14ac:dyDescent="0.3">
      <c r="A1349" t="s">
        <v>4703</v>
      </c>
      <c r="B1349" s="6" t="s">
        <v>234</v>
      </c>
      <c r="C1349" s="6" t="s">
        <v>235</v>
      </c>
      <c r="D1349">
        <v>1501024759</v>
      </c>
      <c r="E1349">
        <v>151601001</v>
      </c>
      <c r="F1349" t="s">
        <v>94</v>
      </c>
      <c r="G1349" t="s">
        <v>4704</v>
      </c>
      <c r="H1349" s="1">
        <v>45861</v>
      </c>
      <c r="J1349" s="8">
        <v>45865</v>
      </c>
      <c r="K1349" s="1" t="s">
        <v>4530</v>
      </c>
      <c r="L1349" t="s">
        <v>4704</v>
      </c>
      <c r="M1349" t="s">
        <v>4705</v>
      </c>
      <c r="N1349" s="12">
        <v>432000</v>
      </c>
      <c r="O1349" t="s">
        <v>3815</v>
      </c>
      <c r="P1349" s="6" t="s">
        <v>3758</v>
      </c>
      <c r="Q1349" t="s">
        <v>37</v>
      </c>
      <c r="R1349" t="s">
        <v>38</v>
      </c>
      <c r="S1349" s="9">
        <v>4320</v>
      </c>
      <c r="T1349" s="9">
        <v>100</v>
      </c>
      <c r="U1349" s="9">
        <v>432000</v>
      </c>
      <c r="V1349" s="6" t="s">
        <v>352</v>
      </c>
      <c r="W1349" t="s">
        <v>40</v>
      </c>
      <c r="X1349">
        <v>7843014747</v>
      </c>
      <c r="Y1349">
        <v>781401001</v>
      </c>
      <c r="Z1349" s="3">
        <v>45866.444444444445</v>
      </c>
      <c r="AA1349" s="6">
        <v>2025</v>
      </c>
      <c r="AB1349" s="1">
        <v>46022</v>
      </c>
    </row>
    <row r="1350" spans="1:28" x14ac:dyDescent="0.3">
      <c r="A1350" t="s">
        <v>4706</v>
      </c>
      <c r="B1350" s="6" t="s">
        <v>538</v>
      </c>
      <c r="C1350" s="6" t="s">
        <v>539</v>
      </c>
      <c r="D1350">
        <v>7808043833</v>
      </c>
      <c r="E1350">
        <v>784101001</v>
      </c>
      <c r="F1350" t="s">
        <v>52</v>
      </c>
      <c r="G1350" t="s">
        <v>4707</v>
      </c>
      <c r="H1350" s="1">
        <v>45853</v>
      </c>
      <c r="J1350" s="8">
        <v>45866</v>
      </c>
      <c r="K1350" s="1" t="s">
        <v>4530</v>
      </c>
      <c r="L1350" t="s">
        <v>4707</v>
      </c>
      <c r="M1350" t="s">
        <v>4708</v>
      </c>
      <c r="N1350" s="12">
        <v>336000000</v>
      </c>
      <c r="O1350" t="s">
        <v>3633</v>
      </c>
      <c r="P1350" s="6" t="s">
        <v>36</v>
      </c>
      <c r="R1350" t="s">
        <v>38</v>
      </c>
      <c r="S1350" s="9">
        <v>3000</v>
      </c>
      <c r="T1350" s="9">
        <v>112000</v>
      </c>
      <c r="U1350" s="9">
        <v>336000000</v>
      </c>
      <c r="V1350" s="6" t="s">
        <v>39</v>
      </c>
      <c r="W1350" t="s">
        <v>40</v>
      </c>
      <c r="X1350">
        <v>7810687137</v>
      </c>
      <c r="Y1350">
        <v>781401001</v>
      </c>
      <c r="Z1350" s="3">
        <v>45866.697222222225</v>
      </c>
      <c r="AA1350" s="6">
        <v>2025</v>
      </c>
      <c r="AB1350" s="1">
        <v>46022</v>
      </c>
    </row>
    <row r="1351" spans="1:28" x14ac:dyDescent="0.3">
      <c r="A1351" t="s">
        <v>4709</v>
      </c>
      <c r="B1351" s="6" t="s">
        <v>1171</v>
      </c>
      <c r="C1351" s="6" t="s">
        <v>1172</v>
      </c>
      <c r="D1351">
        <v>5260101352</v>
      </c>
      <c r="E1351">
        <v>526001001</v>
      </c>
      <c r="F1351" t="s">
        <v>94</v>
      </c>
      <c r="G1351" t="s">
        <v>4710</v>
      </c>
      <c r="H1351" s="1">
        <v>45861</v>
      </c>
      <c r="J1351" s="8">
        <v>45866</v>
      </c>
      <c r="K1351" s="1" t="s">
        <v>4530</v>
      </c>
      <c r="L1351" t="s">
        <v>4711</v>
      </c>
      <c r="M1351" t="s">
        <v>4712</v>
      </c>
      <c r="N1351" s="12">
        <v>389850</v>
      </c>
      <c r="O1351" t="s">
        <v>4063</v>
      </c>
      <c r="P1351" s="6" t="s">
        <v>36</v>
      </c>
      <c r="R1351" t="s">
        <v>38</v>
      </c>
      <c r="S1351" s="9">
        <v>3390</v>
      </c>
      <c r="T1351" s="9">
        <v>115</v>
      </c>
      <c r="U1351" s="9">
        <v>389850</v>
      </c>
      <c r="V1351" s="6" t="s">
        <v>111</v>
      </c>
      <c r="W1351" t="s">
        <v>59</v>
      </c>
      <c r="X1351">
        <v>5262258091</v>
      </c>
      <c r="Y1351">
        <v>526001001</v>
      </c>
      <c r="Z1351" s="3">
        <v>45866.313194444447</v>
      </c>
      <c r="AA1351" s="6">
        <v>2025</v>
      </c>
      <c r="AB1351" s="1">
        <v>46424</v>
      </c>
    </row>
    <row r="1352" spans="1:28" x14ac:dyDescent="0.3">
      <c r="A1352" t="s">
        <v>4713</v>
      </c>
      <c r="B1352" s="6" t="s">
        <v>68</v>
      </c>
      <c r="C1352" s="6" t="s">
        <v>69</v>
      </c>
      <c r="D1352">
        <v>8300010526</v>
      </c>
      <c r="E1352">
        <v>298301001</v>
      </c>
      <c r="F1352" t="s">
        <v>149</v>
      </c>
      <c r="G1352" t="s">
        <v>4714</v>
      </c>
      <c r="H1352" s="1">
        <v>45861</v>
      </c>
      <c r="I1352" t="s">
        <v>4715</v>
      </c>
      <c r="J1352" s="8">
        <v>45866</v>
      </c>
      <c r="K1352" s="1" t="s">
        <v>4530</v>
      </c>
      <c r="L1352" t="s">
        <v>4716</v>
      </c>
      <c r="M1352" t="s">
        <v>377</v>
      </c>
      <c r="N1352" s="12">
        <v>2367400</v>
      </c>
      <c r="O1352" t="s">
        <v>4078</v>
      </c>
      <c r="P1352" s="6" t="s">
        <v>36</v>
      </c>
      <c r="R1352" t="s">
        <v>38</v>
      </c>
      <c r="S1352" s="9">
        <v>3800</v>
      </c>
      <c r="T1352" s="9">
        <v>623</v>
      </c>
      <c r="U1352" s="9">
        <v>2367400</v>
      </c>
      <c r="V1352" s="6" t="s">
        <v>39</v>
      </c>
      <c r="W1352" t="s">
        <v>40</v>
      </c>
      <c r="X1352">
        <v>7810687137</v>
      </c>
      <c r="Y1352">
        <v>781401001</v>
      </c>
      <c r="Z1352" s="3">
        <v>45866.563888888886</v>
      </c>
      <c r="AA1352" s="6">
        <v>2025</v>
      </c>
      <c r="AB1352" s="1">
        <v>46021</v>
      </c>
    </row>
    <row r="1353" spans="1:28" x14ac:dyDescent="0.3">
      <c r="A1353" t="s">
        <v>4717</v>
      </c>
      <c r="B1353" s="6" t="s">
        <v>910</v>
      </c>
      <c r="C1353" s="6" t="s">
        <v>911</v>
      </c>
      <c r="D1353">
        <v>1200000881</v>
      </c>
      <c r="E1353">
        <v>121501001</v>
      </c>
      <c r="F1353" t="s">
        <v>94</v>
      </c>
      <c r="G1353" t="s">
        <v>4718</v>
      </c>
      <c r="H1353" s="1">
        <v>45862</v>
      </c>
      <c r="J1353" s="8">
        <v>45867</v>
      </c>
      <c r="K1353" s="1" t="s">
        <v>4530</v>
      </c>
      <c r="L1353" t="s">
        <v>4719</v>
      </c>
      <c r="M1353" t="s">
        <v>3572</v>
      </c>
      <c r="N1353" s="12">
        <v>4897000</v>
      </c>
      <c r="O1353" t="s">
        <v>3633</v>
      </c>
      <c r="P1353" s="6" t="s">
        <v>36</v>
      </c>
      <c r="R1353" t="s">
        <v>38</v>
      </c>
      <c r="S1353" s="9">
        <v>2950</v>
      </c>
      <c r="T1353" s="9">
        <v>1660</v>
      </c>
      <c r="U1353" s="9">
        <v>4897000</v>
      </c>
      <c r="V1353" s="6" t="s">
        <v>111</v>
      </c>
      <c r="W1353" t="s">
        <v>59</v>
      </c>
      <c r="X1353">
        <v>5262258091</v>
      </c>
      <c r="Y1353">
        <v>526001001</v>
      </c>
      <c r="Z1353" s="3">
        <v>45867.392361111109</v>
      </c>
      <c r="AA1353" s="6">
        <v>2025</v>
      </c>
      <c r="AB1353" s="1">
        <v>46022</v>
      </c>
    </row>
    <row r="1354" spans="1:28" x14ac:dyDescent="0.3">
      <c r="A1354" t="s">
        <v>4720</v>
      </c>
      <c r="B1354" s="6" t="s">
        <v>327</v>
      </c>
      <c r="C1354" s="6" t="s">
        <v>213</v>
      </c>
      <c r="D1354">
        <v>1659011711</v>
      </c>
      <c r="E1354">
        <v>165901001</v>
      </c>
      <c r="F1354" t="s">
        <v>52</v>
      </c>
      <c r="G1354" t="s">
        <v>4721</v>
      </c>
      <c r="H1354" s="1">
        <v>45856</v>
      </c>
      <c r="I1354" t="s">
        <v>4722</v>
      </c>
      <c r="J1354" s="8">
        <v>45867</v>
      </c>
      <c r="K1354" s="1" t="s">
        <v>4530</v>
      </c>
      <c r="L1354" t="s">
        <v>4723</v>
      </c>
      <c r="M1354" t="s">
        <v>331</v>
      </c>
      <c r="N1354" s="12">
        <v>720000</v>
      </c>
      <c r="O1354" t="s">
        <v>3633</v>
      </c>
      <c r="P1354" s="6" t="s">
        <v>36</v>
      </c>
      <c r="R1354" t="s">
        <v>38</v>
      </c>
      <c r="S1354" s="9">
        <v>4000</v>
      </c>
      <c r="T1354" s="9">
        <v>180</v>
      </c>
      <c r="U1354" s="9">
        <v>720000</v>
      </c>
      <c r="V1354" s="6" t="s">
        <v>111</v>
      </c>
      <c r="W1354" t="s">
        <v>59</v>
      </c>
      <c r="X1354">
        <v>5262258091</v>
      </c>
      <c r="Y1354">
        <v>526001001</v>
      </c>
      <c r="Z1354" s="3">
        <v>45868.4375</v>
      </c>
      <c r="AA1354" s="6">
        <v>2025</v>
      </c>
      <c r="AB1354" s="1">
        <v>46022</v>
      </c>
    </row>
    <row r="1355" spans="1:28" x14ac:dyDescent="0.3">
      <c r="A1355" t="s">
        <v>4724</v>
      </c>
      <c r="B1355" s="6" t="s">
        <v>234</v>
      </c>
      <c r="C1355" s="6" t="s">
        <v>235</v>
      </c>
      <c r="D1355">
        <v>1501024759</v>
      </c>
      <c r="E1355">
        <v>151601001</v>
      </c>
      <c r="F1355" t="s">
        <v>94</v>
      </c>
      <c r="G1355" t="s">
        <v>4725</v>
      </c>
      <c r="H1355" s="1">
        <v>45862</v>
      </c>
      <c r="I1355" t="s">
        <v>4726</v>
      </c>
      <c r="J1355" s="8">
        <v>45867</v>
      </c>
      <c r="K1355" s="1" t="s">
        <v>4530</v>
      </c>
      <c r="L1355" t="s">
        <v>4725</v>
      </c>
      <c r="M1355" t="s">
        <v>4705</v>
      </c>
      <c r="N1355" s="12">
        <v>432000</v>
      </c>
      <c r="O1355" t="s">
        <v>3815</v>
      </c>
      <c r="P1355" s="6" t="s">
        <v>3758</v>
      </c>
      <c r="Q1355" t="s">
        <v>37</v>
      </c>
      <c r="R1355" t="s">
        <v>38</v>
      </c>
      <c r="S1355" s="9">
        <v>4320</v>
      </c>
      <c r="T1355" s="9">
        <v>100</v>
      </c>
      <c r="U1355" s="9">
        <v>432000</v>
      </c>
      <c r="V1355" s="6" t="s">
        <v>352</v>
      </c>
      <c r="W1355" t="s">
        <v>40</v>
      </c>
      <c r="X1355">
        <v>7843014747</v>
      </c>
      <c r="Y1355">
        <v>781401001</v>
      </c>
      <c r="Z1355" s="3">
        <v>45867.348611111112</v>
      </c>
      <c r="AA1355" s="6">
        <v>2025</v>
      </c>
      <c r="AB1355" s="1">
        <v>46022</v>
      </c>
    </row>
    <row r="1356" spans="1:28" x14ac:dyDescent="0.3">
      <c r="A1356" t="s">
        <v>4727</v>
      </c>
      <c r="B1356" s="6" t="s">
        <v>276</v>
      </c>
      <c r="C1356" s="6" t="s">
        <v>277</v>
      </c>
      <c r="D1356">
        <v>9102012869</v>
      </c>
      <c r="E1356">
        <v>910201001</v>
      </c>
      <c r="F1356" t="s">
        <v>149</v>
      </c>
      <c r="G1356" t="s">
        <v>4728</v>
      </c>
      <c r="H1356" s="1">
        <v>45862</v>
      </c>
      <c r="J1356" s="8">
        <v>45867</v>
      </c>
      <c r="K1356" s="1" t="s">
        <v>4530</v>
      </c>
      <c r="L1356" t="s">
        <v>4728</v>
      </c>
      <c r="M1356" t="s">
        <v>377</v>
      </c>
      <c r="N1356" s="12">
        <v>1765950</v>
      </c>
      <c r="O1356" t="s">
        <v>3613</v>
      </c>
      <c r="P1356" s="6" t="s">
        <v>2277</v>
      </c>
      <c r="Q1356" t="s">
        <v>37</v>
      </c>
      <c r="R1356" t="s">
        <v>38</v>
      </c>
      <c r="S1356" s="9">
        <v>4575</v>
      </c>
      <c r="T1356" s="9">
        <v>386</v>
      </c>
      <c r="U1356" s="9">
        <v>1765950</v>
      </c>
      <c r="V1356" s="6" t="s">
        <v>39</v>
      </c>
      <c r="W1356" t="s">
        <v>40</v>
      </c>
      <c r="X1356">
        <v>7810687137</v>
      </c>
      <c r="Y1356">
        <v>781401001</v>
      </c>
      <c r="Z1356" s="3">
        <v>45867.652777777781</v>
      </c>
      <c r="AA1356" s="6">
        <v>2025</v>
      </c>
      <c r="AB1356" s="1">
        <v>46021</v>
      </c>
    </row>
    <row r="1357" spans="1:28" x14ac:dyDescent="0.3">
      <c r="A1357" s="4" t="s">
        <v>4729</v>
      </c>
      <c r="B1357" s="6" t="s">
        <v>876</v>
      </c>
      <c r="C1357" s="6" t="s">
        <v>877</v>
      </c>
      <c r="D1357">
        <v>2540018454</v>
      </c>
      <c r="E1357">
        <v>254001001</v>
      </c>
      <c r="F1357" t="s">
        <v>52</v>
      </c>
      <c r="G1357" t="s">
        <v>4730</v>
      </c>
      <c r="H1357" s="1">
        <v>45859</v>
      </c>
      <c r="J1357" s="8">
        <v>45870</v>
      </c>
      <c r="K1357" s="1" t="s">
        <v>4530</v>
      </c>
      <c r="L1357" t="s">
        <v>4730</v>
      </c>
      <c r="M1357" t="s">
        <v>377</v>
      </c>
      <c r="N1357" s="12">
        <v>7955974.5</v>
      </c>
      <c r="O1357" t="s">
        <v>4652</v>
      </c>
      <c r="P1357" s="6" t="s">
        <v>2277</v>
      </c>
      <c r="R1357" t="s">
        <v>38</v>
      </c>
      <c r="S1357" s="9">
        <v>3119.99</v>
      </c>
      <c r="T1357" s="9">
        <v>2550</v>
      </c>
      <c r="U1357" s="9">
        <v>7955974.5</v>
      </c>
      <c r="V1357" s="6" t="s">
        <v>4731</v>
      </c>
      <c r="W1357" t="s">
        <v>2503</v>
      </c>
      <c r="X1357">
        <v>9707031480</v>
      </c>
      <c r="Y1357">
        <v>772901001</v>
      </c>
      <c r="Z1357" s="3">
        <v>45870.351388888892</v>
      </c>
      <c r="AA1357" s="6">
        <v>2025</v>
      </c>
      <c r="AB1357" s="1">
        <v>46022</v>
      </c>
    </row>
    <row r="1358" spans="1:28" x14ac:dyDescent="0.3">
      <c r="A1358" t="s">
        <v>4732</v>
      </c>
      <c r="B1358" s="6" t="s">
        <v>220</v>
      </c>
      <c r="C1358" s="6" t="s">
        <v>221</v>
      </c>
      <c r="D1358">
        <v>5024068656</v>
      </c>
      <c r="E1358">
        <v>502401001</v>
      </c>
      <c r="F1358" t="s">
        <v>52</v>
      </c>
      <c r="G1358" t="s">
        <v>4733</v>
      </c>
      <c r="H1358" s="1">
        <v>45859</v>
      </c>
      <c r="J1358" s="8">
        <v>45870</v>
      </c>
      <c r="K1358" s="1" t="s">
        <v>4530</v>
      </c>
      <c r="L1358" t="s">
        <v>4733</v>
      </c>
      <c r="M1358" t="s">
        <v>4734</v>
      </c>
      <c r="N1358" s="12">
        <v>91606.68</v>
      </c>
      <c r="O1358" t="s">
        <v>3633</v>
      </c>
      <c r="P1358" s="6" t="s">
        <v>36</v>
      </c>
      <c r="R1358" t="s">
        <v>38</v>
      </c>
      <c r="S1358" s="9">
        <v>3392.84</v>
      </c>
      <c r="T1358" s="9">
        <v>27</v>
      </c>
      <c r="U1358" s="9">
        <v>91606.68</v>
      </c>
      <c r="V1358" s="6" t="s">
        <v>128</v>
      </c>
      <c r="W1358" t="s">
        <v>129</v>
      </c>
      <c r="X1358">
        <v>274110679</v>
      </c>
      <c r="Y1358">
        <v>500801001</v>
      </c>
      <c r="Z1358" s="3">
        <v>45870.657638888886</v>
      </c>
      <c r="AA1358" s="6">
        <v>2025</v>
      </c>
      <c r="AB1358" s="1">
        <v>46020</v>
      </c>
    </row>
    <row r="1359" spans="1:28" x14ac:dyDescent="0.3">
      <c r="A1359" t="s">
        <v>4735</v>
      </c>
      <c r="B1359" s="6" t="s">
        <v>1088</v>
      </c>
      <c r="C1359" s="6" t="s">
        <v>355</v>
      </c>
      <c r="D1359">
        <v>2466212607</v>
      </c>
      <c r="E1359">
        <v>246601001</v>
      </c>
      <c r="F1359" t="s">
        <v>52</v>
      </c>
      <c r="G1359" t="s">
        <v>4736</v>
      </c>
      <c r="H1359" s="1">
        <v>45860</v>
      </c>
      <c r="I1359" t="s">
        <v>4737</v>
      </c>
      <c r="J1359" s="8">
        <v>45873</v>
      </c>
      <c r="K1359" s="1" t="s">
        <v>4530</v>
      </c>
      <c r="L1359" t="s">
        <v>4738</v>
      </c>
      <c r="M1359" t="s">
        <v>4739</v>
      </c>
      <c r="N1359" s="12">
        <v>25276604.18</v>
      </c>
      <c r="O1359" t="s">
        <v>3815</v>
      </c>
      <c r="P1359" s="6" t="s">
        <v>3758</v>
      </c>
      <c r="Q1359" t="s">
        <v>3258</v>
      </c>
      <c r="R1359" t="s">
        <v>38</v>
      </c>
      <c r="S1359" s="9">
        <v>4041.67</v>
      </c>
      <c r="T1359" s="9">
        <v>1000</v>
      </c>
      <c r="U1359" s="9">
        <v>4041670</v>
      </c>
      <c r="V1359" s="6" t="s">
        <v>39</v>
      </c>
      <c r="W1359" t="s">
        <v>40</v>
      </c>
      <c r="X1359">
        <v>7810687137</v>
      </c>
      <c r="Y1359">
        <v>781401001</v>
      </c>
      <c r="Z1359" s="3">
        <v>45874.260416666664</v>
      </c>
      <c r="AA1359" s="6">
        <v>2025</v>
      </c>
      <c r="AB1359" s="1">
        <v>46021</v>
      </c>
    </row>
    <row r="1360" spans="1:28" x14ac:dyDescent="0.3">
      <c r="A1360" t="s">
        <v>4735</v>
      </c>
      <c r="B1360" s="6" t="s">
        <v>1088</v>
      </c>
      <c r="C1360" s="6" t="s">
        <v>355</v>
      </c>
      <c r="D1360">
        <v>2466212607</v>
      </c>
      <c r="E1360">
        <v>246601001</v>
      </c>
      <c r="F1360" t="s">
        <v>52</v>
      </c>
      <c r="G1360" t="s">
        <v>4736</v>
      </c>
      <c r="H1360" s="1">
        <v>45860</v>
      </c>
      <c r="I1360" t="s">
        <v>4737</v>
      </c>
      <c r="J1360" s="8">
        <v>45873</v>
      </c>
      <c r="K1360" s="1" t="s">
        <v>4530</v>
      </c>
      <c r="L1360" t="s">
        <v>4738</v>
      </c>
      <c r="M1360" t="s">
        <v>4739</v>
      </c>
      <c r="N1360" s="12">
        <v>25276604.18</v>
      </c>
      <c r="O1360" t="s">
        <v>3633</v>
      </c>
      <c r="P1360" s="6" t="s">
        <v>36</v>
      </c>
      <c r="Q1360" t="s">
        <v>3258</v>
      </c>
      <c r="R1360" t="s">
        <v>38</v>
      </c>
      <c r="S1360" s="9">
        <v>4041.67</v>
      </c>
      <c r="T1360" s="9">
        <v>2254</v>
      </c>
      <c r="U1360" s="9">
        <v>9109924.1799999997</v>
      </c>
      <c r="V1360" s="6" t="s">
        <v>39</v>
      </c>
      <c r="W1360" t="s">
        <v>40</v>
      </c>
      <c r="X1360">
        <v>7810687137</v>
      </c>
      <c r="Y1360">
        <v>781401001</v>
      </c>
      <c r="Z1360" s="3">
        <v>45874.260416666664</v>
      </c>
      <c r="AA1360" s="6">
        <v>2025</v>
      </c>
      <c r="AB1360" s="1">
        <v>46021</v>
      </c>
    </row>
    <row r="1361" spans="1:28" x14ac:dyDescent="0.3">
      <c r="A1361" t="s">
        <v>4735</v>
      </c>
      <c r="B1361" s="6" t="s">
        <v>1088</v>
      </c>
      <c r="C1361" s="6" t="s">
        <v>355</v>
      </c>
      <c r="D1361">
        <v>2466212607</v>
      </c>
      <c r="E1361">
        <v>246601001</v>
      </c>
      <c r="F1361" t="s">
        <v>52</v>
      </c>
      <c r="G1361" t="s">
        <v>4736</v>
      </c>
      <c r="H1361" s="1">
        <v>45860</v>
      </c>
      <c r="I1361" t="s">
        <v>4737</v>
      </c>
      <c r="J1361" s="8">
        <v>45873</v>
      </c>
      <c r="K1361" s="1" t="s">
        <v>4530</v>
      </c>
      <c r="L1361" t="s">
        <v>4738</v>
      </c>
      <c r="M1361" t="s">
        <v>4739</v>
      </c>
      <c r="N1361" s="12">
        <v>25276604.18</v>
      </c>
      <c r="O1361" t="s">
        <v>4022</v>
      </c>
      <c r="P1361" s="6" t="s">
        <v>2941</v>
      </c>
      <c r="Q1361" t="s">
        <v>3258</v>
      </c>
      <c r="R1361" t="s">
        <v>38</v>
      </c>
      <c r="S1361" s="9">
        <v>4041.67</v>
      </c>
      <c r="T1361" s="9">
        <v>3000</v>
      </c>
      <c r="U1361" s="9">
        <v>12125010</v>
      </c>
      <c r="V1361" s="6" t="s">
        <v>39</v>
      </c>
      <c r="W1361" t="s">
        <v>40</v>
      </c>
      <c r="X1361">
        <v>7810687137</v>
      </c>
      <c r="Y1361">
        <v>781401001</v>
      </c>
      <c r="Z1361" s="3">
        <v>45874.260416666664</v>
      </c>
      <c r="AA1361" s="6">
        <v>2025</v>
      </c>
      <c r="AB1361" s="1">
        <v>46021</v>
      </c>
    </row>
    <row r="1362" spans="1:28" x14ac:dyDescent="0.3">
      <c r="A1362" t="s">
        <v>4740</v>
      </c>
      <c r="B1362" s="6" t="s">
        <v>29</v>
      </c>
      <c r="C1362" s="6" t="s">
        <v>30</v>
      </c>
      <c r="D1362">
        <v>3201000327</v>
      </c>
      <c r="E1362">
        <v>325701001</v>
      </c>
      <c r="F1362" t="s">
        <v>52</v>
      </c>
      <c r="G1362" t="s">
        <v>4741</v>
      </c>
      <c r="H1362" s="1">
        <v>45861</v>
      </c>
      <c r="J1362" s="8">
        <v>45873</v>
      </c>
      <c r="K1362" s="1" t="s">
        <v>4530</v>
      </c>
      <c r="L1362" t="s">
        <v>4741</v>
      </c>
      <c r="M1362" t="s">
        <v>4742</v>
      </c>
      <c r="N1362" s="12">
        <v>3053434.65</v>
      </c>
      <c r="O1362" t="s">
        <v>4022</v>
      </c>
      <c r="P1362" s="6" t="s">
        <v>2941</v>
      </c>
      <c r="R1362" t="s">
        <v>38</v>
      </c>
      <c r="S1362" s="9">
        <v>4537.05</v>
      </c>
      <c r="T1362" s="9">
        <v>373</v>
      </c>
      <c r="U1362" s="9">
        <v>1692319.65</v>
      </c>
      <c r="V1362" s="6" t="s">
        <v>39</v>
      </c>
      <c r="W1362" t="s">
        <v>40</v>
      </c>
      <c r="X1362">
        <v>7810687137</v>
      </c>
      <c r="Y1362">
        <v>781401001</v>
      </c>
      <c r="Z1362" s="3">
        <v>45873.378472222219</v>
      </c>
      <c r="AA1362" s="6">
        <v>2025</v>
      </c>
      <c r="AB1362" s="1">
        <v>46022</v>
      </c>
    </row>
    <row r="1363" spans="1:28" x14ac:dyDescent="0.3">
      <c r="A1363" t="s">
        <v>4740</v>
      </c>
      <c r="B1363" s="6" t="s">
        <v>29</v>
      </c>
      <c r="C1363" s="6" t="s">
        <v>30</v>
      </c>
      <c r="D1363">
        <v>3201000327</v>
      </c>
      <c r="E1363">
        <v>325701001</v>
      </c>
      <c r="F1363" t="s">
        <v>52</v>
      </c>
      <c r="G1363" t="s">
        <v>4741</v>
      </c>
      <c r="H1363" s="1">
        <v>45861</v>
      </c>
      <c r="J1363" s="8">
        <v>45873</v>
      </c>
      <c r="K1363" s="1" t="s">
        <v>4530</v>
      </c>
      <c r="L1363" t="s">
        <v>4741</v>
      </c>
      <c r="M1363" t="s">
        <v>4742</v>
      </c>
      <c r="N1363" s="12">
        <v>3053434.65</v>
      </c>
      <c r="O1363" t="s">
        <v>3633</v>
      </c>
      <c r="P1363" s="6" t="s">
        <v>2941</v>
      </c>
      <c r="R1363" t="s">
        <v>38</v>
      </c>
      <c r="S1363" s="9">
        <v>4537.05</v>
      </c>
      <c r="T1363" s="9">
        <v>300</v>
      </c>
      <c r="U1363" s="9">
        <v>1361115</v>
      </c>
      <c r="V1363" s="6" t="s">
        <v>39</v>
      </c>
      <c r="W1363" t="s">
        <v>40</v>
      </c>
      <c r="X1363">
        <v>7810687137</v>
      </c>
      <c r="Y1363">
        <v>781401001</v>
      </c>
      <c r="Z1363" s="3">
        <v>45873.378472222219</v>
      </c>
      <c r="AA1363" s="6">
        <v>2025</v>
      </c>
      <c r="AB1363" s="1">
        <v>46022</v>
      </c>
    </row>
    <row r="1364" spans="1:28" x14ac:dyDescent="0.3">
      <c r="A1364" t="s">
        <v>4743</v>
      </c>
      <c r="B1364" s="6" t="s">
        <v>29</v>
      </c>
      <c r="C1364" s="6" t="s">
        <v>30</v>
      </c>
      <c r="D1364">
        <v>3201000327</v>
      </c>
      <c r="E1364">
        <v>325701001</v>
      </c>
      <c r="F1364" t="s">
        <v>52</v>
      </c>
      <c r="G1364" t="s">
        <v>4744</v>
      </c>
      <c r="H1364" s="1">
        <v>45861</v>
      </c>
      <c r="J1364" s="8">
        <v>45873</v>
      </c>
      <c r="K1364" s="1" t="s">
        <v>4530</v>
      </c>
      <c r="L1364" t="s">
        <v>4744</v>
      </c>
      <c r="M1364" t="s">
        <v>4745</v>
      </c>
      <c r="N1364" s="12">
        <v>8065594.3200000003</v>
      </c>
      <c r="O1364" t="s">
        <v>3633</v>
      </c>
      <c r="P1364" s="6" t="s">
        <v>36</v>
      </c>
      <c r="R1364" t="s">
        <v>38</v>
      </c>
      <c r="S1364" s="9">
        <v>4733.33</v>
      </c>
      <c r="T1364" s="9">
        <v>704</v>
      </c>
      <c r="U1364" s="9">
        <v>3332264.32</v>
      </c>
      <c r="V1364" s="6" t="s">
        <v>39</v>
      </c>
      <c r="W1364" t="s">
        <v>40</v>
      </c>
      <c r="X1364">
        <v>7810687137</v>
      </c>
      <c r="Y1364">
        <v>781401001</v>
      </c>
      <c r="Z1364" s="3">
        <v>45873.378472222219</v>
      </c>
      <c r="AA1364" s="6">
        <v>2025</v>
      </c>
      <c r="AB1364" s="1">
        <v>46022</v>
      </c>
    </row>
    <row r="1365" spans="1:28" x14ac:dyDescent="0.3">
      <c r="A1365" t="s">
        <v>4743</v>
      </c>
      <c r="B1365" s="6" t="s">
        <v>29</v>
      </c>
      <c r="C1365" s="6" t="s">
        <v>30</v>
      </c>
      <c r="D1365">
        <v>3201000327</v>
      </c>
      <c r="E1365">
        <v>325701001</v>
      </c>
      <c r="F1365" t="s">
        <v>52</v>
      </c>
      <c r="G1365" t="s">
        <v>4744</v>
      </c>
      <c r="H1365" s="1">
        <v>45861</v>
      </c>
      <c r="J1365" s="8">
        <v>45873</v>
      </c>
      <c r="K1365" s="1" t="s">
        <v>4530</v>
      </c>
      <c r="L1365" t="s">
        <v>4744</v>
      </c>
      <c r="M1365" t="s">
        <v>4745</v>
      </c>
      <c r="N1365" s="12">
        <v>8065594.3200000003</v>
      </c>
      <c r="O1365" t="s">
        <v>4022</v>
      </c>
      <c r="P1365" s="6" t="s">
        <v>36</v>
      </c>
      <c r="R1365" t="s">
        <v>38</v>
      </c>
      <c r="S1365" s="9">
        <v>4733.33</v>
      </c>
      <c r="T1365" s="9">
        <v>1000</v>
      </c>
      <c r="U1365" s="9">
        <v>4733330</v>
      </c>
      <c r="V1365" s="6" t="s">
        <v>39</v>
      </c>
      <c r="W1365" t="s">
        <v>40</v>
      </c>
      <c r="X1365">
        <v>7810687137</v>
      </c>
      <c r="Y1365">
        <v>781401001</v>
      </c>
      <c r="Z1365" s="3">
        <v>45873.378472222219</v>
      </c>
      <c r="AA1365" s="6">
        <v>2025</v>
      </c>
      <c r="AB1365" s="1">
        <v>46022</v>
      </c>
    </row>
    <row r="1366" spans="1:28" x14ac:dyDescent="0.3">
      <c r="A1366" t="s">
        <v>4746</v>
      </c>
      <c r="B1366" s="6" t="s">
        <v>1368</v>
      </c>
      <c r="C1366" s="6" t="s">
        <v>1048</v>
      </c>
      <c r="D1366">
        <v>2901070303</v>
      </c>
      <c r="E1366">
        <v>290101001</v>
      </c>
      <c r="F1366" t="s">
        <v>52</v>
      </c>
      <c r="G1366" t="s">
        <v>4747</v>
      </c>
      <c r="H1366" s="1">
        <v>45860</v>
      </c>
      <c r="I1366" t="s">
        <v>4737</v>
      </c>
      <c r="J1366" s="8">
        <v>45873</v>
      </c>
      <c r="K1366" s="1" t="s">
        <v>4530</v>
      </c>
      <c r="L1366" t="s">
        <v>4748</v>
      </c>
      <c r="M1366" t="s">
        <v>3502</v>
      </c>
      <c r="N1366" s="12">
        <v>55536600</v>
      </c>
      <c r="O1366" t="s">
        <v>3613</v>
      </c>
      <c r="P1366" s="6" t="s">
        <v>3758</v>
      </c>
      <c r="Q1366" t="s">
        <v>37</v>
      </c>
      <c r="R1366" t="s">
        <v>38</v>
      </c>
      <c r="S1366" s="9">
        <v>4900</v>
      </c>
      <c r="T1366" s="9">
        <v>5667</v>
      </c>
      <c r="U1366" s="9">
        <v>27768300</v>
      </c>
      <c r="V1366" s="6" t="s">
        <v>3992</v>
      </c>
      <c r="W1366" t="s">
        <v>59</v>
      </c>
      <c r="X1366">
        <v>9731077333</v>
      </c>
      <c r="Y1366">
        <v>773101001</v>
      </c>
      <c r="Z1366" s="3">
        <v>45873.620833333334</v>
      </c>
      <c r="AA1366" s="6">
        <v>2026</v>
      </c>
      <c r="AB1366" s="1">
        <v>46356</v>
      </c>
    </row>
    <row r="1367" spans="1:28" x14ac:dyDescent="0.3">
      <c r="A1367" s="4" t="s">
        <v>4749</v>
      </c>
      <c r="B1367" s="6" t="s">
        <v>1368</v>
      </c>
      <c r="C1367" s="6" t="s">
        <v>1048</v>
      </c>
      <c r="D1367">
        <v>2901070303</v>
      </c>
      <c r="E1367">
        <v>290101001</v>
      </c>
      <c r="F1367" t="s">
        <v>52</v>
      </c>
      <c r="G1367" t="s">
        <v>4750</v>
      </c>
      <c r="H1367" s="1">
        <v>45860</v>
      </c>
      <c r="I1367" t="s">
        <v>4737</v>
      </c>
      <c r="J1367" s="8">
        <v>45873</v>
      </c>
      <c r="K1367" s="1" t="s">
        <v>4530</v>
      </c>
      <c r="L1367" t="s">
        <v>4751</v>
      </c>
      <c r="M1367" t="s">
        <v>2588</v>
      </c>
      <c r="N1367" s="12">
        <v>37592800</v>
      </c>
      <c r="O1367" t="s">
        <v>3633</v>
      </c>
      <c r="P1367" s="6" t="s">
        <v>36</v>
      </c>
      <c r="R1367" t="s">
        <v>38</v>
      </c>
      <c r="S1367" s="9">
        <v>4900</v>
      </c>
      <c r="T1367" s="9">
        <v>7672</v>
      </c>
      <c r="U1367" s="9">
        <v>37592800</v>
      </c>
      <c r="V1367" s="6" t="s">
        <v>58</v>
      </c>
      <c r="W1367" t="s">
        <v>59</v>
      </c>
      <c r="X1367">
        <v>5262222144</v>
      </c>
      <c r="Y1367">
        <v>526001001</v>
      </c>
      <c r="Z1367" s="3">
        <v>45873.447222222225</v>
      </c>
      <c r="AA1367" s="6">
        <v>2025</v>
      </c>
      <c r="AB1367" s="1">
        <v>46356</v>
      </c>
    </row>
    <row r="1368" spans="1:28" x14ac:dyDescent="0.3">
      <c r="A1368" t="s">
        <v>4746</v>
      </c>
      <c r="B1368" s="6" t="s">
        <v>1368</v>
      </c>
      <c r="C1368" s="6" t="s">
        <v>1048</v>
      </c>
      <c r="D1368">
        <v>2901070303</v>
      </c>
      <c r="E1368">
        <v>290101001</v>
      </c>
      <c r="F1368" t="s">
        <v>52</v>
      </c>
      <c r="G1368" t="s">
        <v>4747</v>
      </c>
      <c r="H1368" s="1">
        <v>45860</v>
      </c>
      <c r="I1368" t="s">
        <v>4737</v>
      </c>
      <c r="J1368" s="8">
        <v>45873</v>
      </c>
      <c r="K1368" s="1" t="s">
        <v>4530</v>
      </c>
      <c r="L1368" t="s">
        <v>4748</v>
      </c>
      <c r="M1368" t="s">
        <v>3502</v>
      </c>
      <c r="N1368" s="12">
        <v>55536600</v>
      </c>
      <c r="O1368" t="s">
        <v>4003</v>
      </c>
      <c r="P1368" s="6" t="s">
        <v>2277</v>
      </c>
      <c r="Q1368" t="s">
        <v>37</v>
      </c>
      <c r="R1368" t="s">
        <v>38</v>
      </c>
      <c r="S1368" s="9">
        <v>4900</v>
      </c>
      <c r="T1368" s="9">
        <v>5667</v>
      </c>
      <c r="U1368" s="9">
        <v>27768300</v>
      </c>
      <c r="V1368" s="6" t="s">
        <v>3992</v>
      </c>
      <c r="W1368" t="s">
        <v>59</v>
      </c>
      <c r="X1368">
        <v>9731077333</v>
      </c>
      <c r="Y1368">
        <v>773101001</v>
      </c>
      <c r="Z1368" s="3">
        <v>45873.620833333334</v>
      </c>
      <c r="AA1368" s="6">
        <v>2026</v>
      </c>
      <c r="AB1368" s="1">
        <v>46356</v>
      </c>
    </row>
    <row r="1369" spans="1:28" x14ac:dyDescent="0.3">
      <c r="A1369" s="4" t="s">
        <v>4752</v>
      </c>
      <c r="B1369" s="6" t="s">
        <v>234</v>
      </c>
      <c r="C1369" s="6" t="s">
        <v>235</v>
      </c>
      <c r="D1369">
        <v>1501024759</v>
      </c>
      <c r="E1369">
        <v>151601001</v>
      </c>
      <c r="F1369" t="s">
        <v>52</v>
      </c>
      <c r="G1369" t="s">
        <v>4753</v>
      </c>
      <c r="H1369" s="1">
        <v>45866</v>
      </c>
      <c r="I1369" t="s">
        <v>4754</v>
      </c>
      <c r="J1369" s="8">
        <v>45877</v>
      </c>
      <c r="K1369" s="1" t="s">
        <v>4530</v>
      </c>
      <c r="L1369" t="s">
        <v>4753</v>
      </c>
      <c r="M1369" t="s">
        <v>4705</v>
      </c>
      <c r="N1369" s="12">
        <v>36617256.899999999</v>
      </c>
      <c r="O1369" t="s">
        <v>3815</v>
      </c>
      <c r="P1369" s="6" t="s">
        <v>3758</v>
      </c>
      <c r="Q1369" t="s">
        <v>37</v>
      </c>
      <c r="R1369" t="s">
        <v>38</v>
      </c>
      <c r="S1369" s="9">
        <v>4446.54</v>
      </c>
      <c r="T1369" s="9">
        <v>2985</v>
      </c>
      <c r="U1369" s="9">
        <v>13272921.9</v>
      </c>
      <c r="V1369" s="6" t="s">
        <v>586</v>
      </c>
      <c r="W1369" t="s">
        <v>40</v>
      </c>
      <c r="X1369">
        <v>1513008247</v>
      </c>
      <c r="Y1369">
        <v>151301001</v>
      </c>
      <c r="Z1369" s="3">
        <v>45877.637499999997</v>
      </c>
      <c r="AA1369" s="6">
        <v>2025</v>
      </c>
      <c r="AB1369" s="1">
        <v>46022</v>
      </c>
    </row>
    <row r="1370" spans="1:28" x14ac:dyDescent="0.3">
      <c r="A1370" t="s">
        <v>4755</v>
      </c>
      <c r="B1370" s="6" t="s">
        <v>234</v>
      </c>
      <c r="C1370" s="6" t="s">
        <v>235</v>
      </c>
      <c r="D1370">
        <v>1501024759</v>
      </c>
      <c r="E1370">
        <v>151601001</v>
      </c>
      <c r="F1370" t="s">
        <v>52</v>
      </c>
      <c r="G1370" t="s">
        <v>4753</v>
      </c>
      <c r="H1370" s="1">
        <v>45866</v>
      </c>
      <c r="I1370" t="s">
        <v>4754</v>
      </c>
      <c r="J1370" s="8">
        <v>45877</v>
      </c>
      <c r="K1370" s="1" t="s">
        <v>4530</v>
      </c>
      <c r="L1370" t="s">
        <v>4753</v>
      </c>
      <c r="M1370" t="s">
        <v>4705</v>
      </c>
      <c r="N1370" s="12">
        <v>36617256.899999999</v>
      </c>
      <c r="O1370" t="s">
        <v>3648</v>
      </c>
      <c r="P1370" s="6" t="s">
        <v>2277</v>
      </c>
      <c r="Q1370" t="s">
        <v>37</v>
      </c>
      <c r="R1370" t="s">
        <v>38</v>
      </c>
      <c r="S1370" s="9">
        <v>4446.54</v>
      </c>
      <c r="T1370" s="9">
        <v>2000</v>
      </c>
      <c r="U1370" s="9">
        <v>8893080</v>
      </c>
      <c r="V1370" s="6" t="s">
        <v>586</v>
      </c>
      <c r="W1370" t="s">
        <v>40</v>
      </c>
      <c r="X1370">
        <v>1513008247</v>
      </c>
      <c r="Y1370">
        <v>151301001</v>
      </c>
      <c r="Z1370" s="3">
        <v>45877.637499999997</v>
      </c>
      <c r="AA1370" s="6">
        <v>2025</v>
      </c>
      <c r="AB1370" s="1">
        <v>46022</v>
      </c>
    </row>
    <row r="1371" spans="1:28" x14ac:dyDescent="0.3">
      <c r="A1371" t="s">
        <v>4755</v>
      </c>
      <c r="B1371" s="6" t="s">
        <v>234</v>
      </c>
      <c r="C1371" s="6" t="s">
        <v>235</v>
      </c>
      <c r="D1371">
        <v>1501024759</v>
      </c>
      <c r="E1371">
        <v>151601001</v>
      </c>
      <c r="F1371" t="s">
        <v>52</v>
      </c>
      <c r="G1371" t="s">
        <v>4753</v>
      </c>
      <c r="H1371" s="1">
        <v>45866</v>
      </c>
      <c r="I1371" t="s">
        <v>4754</v>
      </c>
      <c r="J1371" s="8">
        <v>45877</v>
      </c>
      <c r="K1371" s="1" t="s">
        <v>4530</v>
      </c>
      <c r="L1371" t="s">
        <v>4753</v>
      </c>
      <c r="M1371" t="s">
        <v>4705</v>
      </c>
      <c r="N1371" s="12">
        <v>36617256.899999999</v>
      </c>
      <c r="O1371" t="s">
        <v>3643</v>
      </c>
      <c r="P1371" s="6" t="s">
        <v>1814</v>
      </c>
      <c r="Q1371" t="s">
        <v>37</v>
      </c>
      <c r="R1371" t="s">
        <v>38</v>
      </c>
      <c r="S1371" s="9">
        <v>4446.54</v>
      </c>
      <c r="T1371" s="9">
        <v>3250</v>
      </c>
      <c r="U1371" s="9">
        <v>14451255</v>
      </c>
      <c r="V1371" s="6" t="s">
        <v>586</v>
      </c>
      <c r="W1371" t="s">
        <v>40</v>
      </c>
      <c r="X1371">
        <v>1513008247</v>
      </c>
      <c r="Y1371">
        <v>151301001</v>
      </c>
      <c r="Z1371" s="3">
        <v>45877.637499999997</v>
      </c>
      <c r="AA1371" s="6">
        <v>2025</v>
      </c>
      <c r="AB1371" s="1">
        <v>46022</v>
      </c>
    </row>
    <row r="1372" spans="1:28" x14ac:dyDescent="0.3">
      <c r="A1372" t="s">
        <v>4756</v>
      </c>
      <c r="B1372" s="6" t="s">
        <v>491</v>
      </c>
      <c r="C1372" s="6" t="s">
        <v>492</v>
      </c>
      <c r="D1372">
        <v>2724041260</v>
      </c>
      <c r="E1372">
        <v>272101001</v>
      </c>
      <c r="F1372" t="s">
        <v>94</v>
      </c>
      <c r="G1372" t="s">
        <v>4757</v>
      </c>
      <c r="H1372" s="1">
        <v>45874</v>
      </c>
      <c r="I1372" t="s">
        <v>4758</v>
      </c>
      <c r="J1372" s="8">
        <v>45877</v>
      </c>
      <c r="K1372" s="1" t="s">
        <v>4530</v>
      </c>
      <c r="L1372" t="s">
        <v>4757</v>
      </c>
      <c r="M1372" t="s">
        <v>4221</v>
      </c>
      <c r="N1372" s="12">
        <v>29610000</v>
      </c>
      <c r="O1372" t="s">
        <v>3815</v>
      </c>
      <c r="P1372" s="6" t="s">
        <v>3758</v>
      </c>
      <c r="Q1372" t="s">
        <v>37</v>
      </c>
      <c r="R1372" t="s">
        <v>38</v>
      </c>
      <c r="S1372" s="9">
        <v>8400</v>
      </c>
      <c r="T1372" s="9">
        <v>1750</v>
      </c>
      <c r="U1372" s="9">
        <v>14700000</v>
      </c>
      <c r="V1372" s="6" t="s">
        <v>3816</v>
      </c>
      <c r="W1372" t="s">
        <v>3817</v>
      </c>
      <c r="X1372">
        <v>2540059700</v>
      </c>
      <c r="Y1372">
        <v>253701001</v>
      </c>
      <c r="Z1372" s="3">
        <v>45877.369444444441</v>
      </c>
      <c r="AA1372" s="6">
        <v>2025</v>
      </c>
      <c r="AB1372" s="1">
        <v>46052</v>
      </c>
    </row>
    <row r="1373" spans="1:28" x14ac:dyDescent="0.3">
      <c r="A1373" t="s">
        <v>4756</v>
      </c>
      <c r="B1373" s="6" t="s">
        <v>491</v>
      </c>
      <c r="C1373" s="6" t="s">
        <v>492</v>
      </c>
      <c r="D1373">
        <v>2724041260</v>
      </c>
      <c r="E1373" s="4">
        <v>272101001</v>
      </c>
      <c r="F1373" t="s">
        <v>94</v>
      </c>
      <c r="G1373" t="s">
        <v>4757</v>
      </c>
      <c r="H1373" s="1">
        <v>45874</v>
      </c>
      <c r="I1373" t="s">
        <v>4758</v>
      </c>
      <c r="J1373" s="8">
        <v>45877</v>
      </c>
      <c r="K1373" s="1" t="s">
        <v>4530</v>
      </c>
      <c r="L1373" t="s">
        <v>4757</v>
      </c>
      <c r="M1373" t="s">
        <v>4221</v>
      </c>
      <c r="N1373" s="12">
        <v>29610000</v>
      </c>
      <c r="O1373" t="s">
        <v>3648</v>
      </c>
      <c r="P1373" s="6" t="s">
        <v>2277</v>
      </c>
      <c r="Q1373" t="s">
        <v>37</v>
      </c>
      <c r="R1373" t="s">
        <v>38</v>
      </c>
      <c r="S1373" s="9">
        <v>8400</v>
      </c>
      <c r="T1373" s="9">
        <v>1775</v>
      </c>
      <c r="U1373" s="9">
        <v>14910000</v>
      </c>
      <c r="V1373" s="6" t="s">
        <v>3816</v>
      </c>
      <c r="W1373" t="s">
        <v>3817</v>
      </c>
      <c r="X1373">
        <v>2540059700</v>
      </c>
      <c r="Y1373">
        <v>253701001</v>
      </c>
      <c r="Z1373" s="3">
        <v>45877.369444444441</v>
      </c>
      <c r="AA1373" s="6">
        <v>2025</v>
      </c>
      <c r="AB1373" s="1">
        <v>46052</v>
      </c>
    </row>
    <row r="1374" spans="1:28" x14ac:dyDescent="0.3">
      <c r="A1374" t="s">
        <v>4759</v>
      </c>
      <c r="B1374" s="6" t="s">
        <v>121</v>
      </c>
      <c r="C1374" s="6" t="s">
        <v>122</v>
      </c>
      <c r="D1374">
        <v>5402155123</v>
      </c>
      <c r="E1374">
        <v>540201001</v>
      </c>
      <c r="F1374" t="s">
        <v>52</v>
      </c>
      <c r="G1374" t="s">
        <v>4760</v>
      </c>
      <c r="H1374" s="1">
        <v>45868</v>
      </c>
      <c r="I1374" t="s">
        <v>4761</v>
      </c>
      <c r="J1374" s="8">
        <v>45880</v>
      </c>
      <c r="K1374" s="1" t="s">
        <v>4530</v>
      </c>
      <c r="L1374" t="s">
        <v>4762</v>
      </c>
      <c r="M1374" t="s">
        <v>4763</v>
      </c>
      <c r="N1374" s="12">
        <v>1842048</v>
      </c>
      <c r="O1374" t="s">
        <v>3633</v>
      </c>
      <c r="P1374" s="6" t="s">
        <v>36</v>
      </c>
      <c r="R1374" t="s">
        <v>38</v>
      </c>
      <c r="S1374" s="9">
        <v>1968</v>
      </c>
      <c r="T1374" s="9">
        <v>936</v>
      </c>
      <c r="U1374" s="9">
        <v>1842048</v>
      </c>
      <c r="V1374" s="6" t="s">
        <v>1594</v>
      </c>
      <c r="W1374" t="s">
        <v>59</v>
      </c>
      <c r="X1374">
        <v>7716871971</v>
      </c>
      <c r="Y1374">
        <v>450001001</v>
      </c>
      <c r="Z1374" s="3">
        <v>45880.417361111111</v>
      </c>
      <c r="AA1374" s="6">
        <v>2025</v>
      </c>
      <c r="AB1374" s="1">
        <v>45991</v>
      </c>
    </row>
    <row r="1375" spans="1:28" x14ac:dyDescent="0.3">
      <c r="A1375" t="s">
        <v>4764</v>
      </c>
      <c r="B1375" s="6" t="s">
        <v>1263</v>
      </c>
      <c r="C1375" s="6" t="s">
        <v>1225</v>
      </c>
      <c r="D1375">
        <v>2309053058</v>
      </c>
      <c r="E1375">
        <v>231001001</v>
      </c>
      <c r="F1375" t="s">
        <v>52</v>
      </c>
      <c r="G1375" t="s">
        <v>4765</v>
      </c>
      <c r="H1375" s="1">
        <v>45869</v>
      </c>
      <c r="I1375" t="s">
        <v>4766</v>
      </c>
      <c r="J1375" s="8">
        <v>45880</v>
      </c>
      <c r="K1375" s="1" t="s">
        <v>4530</v>
      </c>
      <c r="L1375" t="s">
        <v>4767</v>
      </c>
      <c r="M1375" t="s">
        <v>4768</v>
      </c>
      <c r="N1375" s="12">
        <v>201628790</v>
      </c>
      <c r="O1375" t="s">
        <v>3613</v>
      </c>
      <c r="P1375" s="6" t="s">
        <v>36</v>
      </c>
      <c r="R1375" t="s">
        <v>38</v>
      </c>
      <c r="S1375" s="9">
        <v>3980</v>
      </c>
      <c r="T1375" s="9">
        <v>37708</v>
      </c>
      <c r="U1375" s="9">
        <v>150077840</v>
      </c>
      <c r="V1375" s="6" t="s">
        <v>1497</v>
      </c>
      <c r="W1375" t="s">
        <v>1269</v>
      </c>
      <c r="X1375">
        <v>234606565699</v>
      </c>
      <c r="Z1375" s="3">
        <v>45880.35</v>
      </c>
      <c r="AA1375" s="6">
        <v>2026</v>
      </c>
      <c r="AB1375" s="1">
        <v>46380</v>
      </c>
    </row>
    <row r="1376" spans="1:28" x14ac:dyDescent="0.3">
      <c r="A1376" t="s">
        <v>4769</v>
      </c>
      <c r="B1376" s="6" t="s">
        <v>1263</v>
      </c>
      <c r="C1376" s="6" t="s">
        <v>1225</v>
      </c>
      <c r="D1376">
        <v>2309053058</v>
      </c>
      <c r="E1376">
        <v>231001001</v>
      </c>
      <c r="F1376" t="s">
        <v>52</v>
      </c>
      <c r="G1376" t="s">
        <v>4770</v>
      </c>
      <c r="H1376" s="1">
        <v>45869</v>
      </c>
      <c r="I1376" t="s">
        <v>4766</v>
      </c>
      <c r="J1376" s="8">
        <v>45880</v>
      </c>
      <c r="K1376" s="1" t="s">
        <v>4530</v>
      </c>
      <c r="L1376" t="s">
        <v>4771</v>
      </c>
      <c r="M1376" t="s">
        <v>4772</v>
      </c>
      <c r="N1376" s="12">
        <v>278293042.5</v>
      </c>
      <c r="O1376" t="s">
        <v>3613</v>
      </c>
      <c r="P1376" s="6" t="s">
        <v>3758</v>
      </c>
      <c r="Q1376" t="s">
        <v>37</v>
      </c>
      <c r="R1376" t="s">
        <v>38</v>
      </c>
      <c r="S1376" s="9">
        <v>5472.5</v>
      </c>
      <c r="T1376" s="9">
        <v>47173</v>
      </c>
      <c r="U1376" s="9">
        <v>258154242.5</v>
      </c>
      <c r="V1376" s="6" t="s">
        <v>1497</v>
      </c>
      <c r="W1376" t="s">
        <v>1269</v>
      </c>
      <c r="X1376">
        <v>234606565699</v>
      </c>
      <c r="Z1376" s="3">
        <v>45880.359722222223</v>
      </c>
      <c r="AA1376" s="6">
        <v>2026</v>
      </c>
      <c r="AB1376" s="1">
        <v>46380</v>
      </c>
    </row>
    <row r="1377" spans="1:28" x14ac:dyDescent="0.3">
      <c r="A1377" t="s">
        <v>4769</v>
      </c>
      <c r="B1377" s="6" t="s">
        <v>1263</v>
      </c>
      <c r="C1377" s="6" t="s">
        <v>1225</v>
      </c>
      <c r="D1377">
        <v>2309053058</v>
      </c>
      <c r="E1377">
        <v>231001001</v>
      </c>
      <c r="F1377" t="s">
        <v>52</v>
      </c>
      <c r="G1377" t="s">
        <v>4770</v>
      </c>
      <c r="H1377" s="1">
        <v>45869</v>
      </c>
      <c r="I1377" t="s">
        <v>4766</v>
      </c>
      <c r="J1377" s="8">
        <v>45880</v>
      </c>
      <c r="K1377" s="1" t="s">
        <v>4530</v>
      </c>
      <c r="L1377" t="s">
        <v>4771</v>
      </c>
      <c r="M1377" t="s">
        <v>4772</v>
      </c>
      <c r="N1377" s="12">
        <v>278293042.5</v>
      </c>
      <c r="O1377" t="s">
        <v>3613</v>
      </c>
      <c r="P1377" s="6" t="s">
        <v>2277</v>
      </c>
      <c r="Q1377" t="s">
        <v>37</v>
      </c>
      <c r="R1377" t="s">
        <v>38</v>
      </c>
      <c r="S1377" s="9">
        <v>5472.5</v>
      </c>
      <c r="T1377" s="9">
        <v>3680</v>
      </c>
      <c r="U1377" s="9">
        <v>20138800</v>
      </c>
      <c r="V1377" s="6" t="s">
        <v>1497</v>
      </c>
      <c r="W1377" t="s">
        <v>1269</v>
      </c>
      <c r="X1377">
        <v>234606565699</v>
      </c>
      <c r="Z1377" s="3">
        <v>45880.359722222223</v>
      </c>
      <c r="AA1377" s="6">
        <v>2026</v>
      </c>
      <c r="AB1377" s="1">
        <v>46380</v>
      </c>
    </row>
    <row r="1378" spans="1:28" x14ac:dyDescent="0.3">
      <c r="A1378" t="s">
        <v>4764</v>
      </c>
      <c r="B1378" s="6" t="s">
        <v>1263</v>
      </c>
      <c r="C1378" s="6" t="s">
        <v>1225</v>
      </c>
      <c r="D1378">
        <v>2309053058</v>
      </c>
      <c r="E1378">
        <v>231001001</v>
      </c>
      <c r="F1378" t="s">
        <v>52</v>
      </c>
      <c r="G1378" t="s">
        <v>4765</v>
      </c>
      <c r="H1378" s="1">
        <v>45869</v>
      </c>
      <c r="I1378" t="s">
        <v>4766</v>
      </c>
      <c r="J1378" s="8">
        <v>45880</v>
      </c>
      <c r="K1378" s="1" t="s">
        <v>4530</v>
      </c>
      <c r="L1378" t="s">
        <v>4767</v>
      </c>
      <c r="M1378" t="s">
        <v>4768</v>
      </c>
      <c r="N1378" s="12">
        <v>201628790</v>
      </c>
      <c r="O1378" t="s">
        <v>3613</v>
      </c>
      <c r="P1378" s="6" t="s">
        <v>36</v>
      </c>
      <c r="R1378" t="s">
        <v>38</v>
      </c>
      <c r="S1378" s="9">
        <v>9120.8333333333339</v>
      </c>
      <c r="T1378" s="9">
        <v>2520</v>
      </c>
      <c r="U1378" s="9">
        <v>22984500</v>
      </c>
      <c r="V1378" s="6" t="s">
        <v>1497</v>
      </c>
      <c r="W1378" t="s">
        <v>1269</v>
      </c>
      <c r="X1378">
        <v>234606565699</v>
      </c>
      <c r="Z1378" s="3">
        <v>45880.35</v>
      </c>
      <c r="AA1378" s="6">
        <v>2026</v>
      </c>
      <c r="AB1378" s="1">
        <v>46380</v>
      </c>
    </row>
    <row r="1379" spans="1:28" x14ac:dyDescent="0.3">
      <c r="A1379" s="4" t="s">
        <v>4773</v>
      </c>
      <c r="B1379" s="6" t="s">
        <v>1263</v>
      </c>
      <c r="C1379" s="6" t="s">
        <v>1225</v>
      </c>
      <c r="D1379">
        <v>2309053058</v>
      </c>
      <c r="E1379">
        <v>231001001</v>
      </c>
      <c r="F1379" t="s">
        <v>52</v>
      </c>
      <c r="G1379" t="s">
        <v>4765</v>
      </c>
      <c r="H1379" s="1">
        <v>45869</v>
      </c>
      <c r="I1379" t="s">
        <v>4766</v>
      </c>
      <c r="J1379" s="8">
        <v>45880</v>
      </c>
      <c r="K1379" s="1" t="s">
        <v>4530</v>
      </c>
      <c r="L1379" t="s">
        <v>4767</v>
      </c>
      <c r="M1379" t="s">
        <v>4768</v>
      </c>
      <c r="N1379" s="12">
        <v>201628790</v>
      </c>
      <c r="O1379" t="s">
        <v>4774</v>
      </c>
      <c r="P1379" s="6" t="s">
        <v>2941</v>
      </c>
      <c r="R1379" t="s">
        <v>38</v>
      </c>
      <c r="S1379" s="9">
        <v>9120.8333333333339</v>
      </c>
      <c r="T1379" s="9">
        <v>3132</v>
      </c>
      <c r="U1379" s="9">
        <v>28566450</v>
      </c>
      <c r="V1379" s="6" t="s">
        <v>1497</v>
      </c>
      <c r="W1379" t="s">
        <v>1269</v>
      </c>
      <c r="X1379">
        <v>234606565699</v>
      </c>
      <c r="Z1379" s="3">
        <v>45880.35</v>
      </c>
      <c r="AA1379" s="6">
        <v>2026</v>
      </c>
      <c r="AB1379" s="1">
        <v>46380</v>
      </c>
    </row>
    <row r="1380" spans="1:28" x14ac:dyDescent="0.3">
      <c r="A1380" t="s">
        <v>4775</v>
      </c>
      <c r="B1380" s="6" t="s">
        <v>959</v>
      </c>
      <c r="C1380" s="6" t="s">
        <v>960</v>
      </c>
      <c r="D1380">
        <v>105023439</v>
      </c>
      <c r="E1380">
        <v>10501001</v>
      </c>
      <c r="F1380" t="s">
        <v>52</v>
      </c>
      <c r="G1380" t="s">
        <v>4776</v>
      </c>
      <c r="H1380" s="1">
        <v>45870</v>
      </c>
      <c r="J1380" s="8">
        <v>45881</v>
      </c>
      <c r="K1380" s="1" t="s">
        <v>4530</v>
      </c>
      <c r="L1380" t="s">
        <v>4777</v>
      </c>
      <c r="M1380" t="s">
        <v>416</v>
      </c>
      <c r="N1380" s="12">
        <v>9916746.7599999998</v>
      </c>
      <c r="O1380" t="s">
        <v>3633</v>
      </c>
      <c r="P1380" s="6" t="s">
        <v>36</v>
      </c>
      <c r="R1380" t="s">
        <v>38</v>
      </c>
      <c r="S1380" s="9">
        <v>3303.38</v>
      </c>
      <c r="T1380" s="9">
        <v>1770</v>
      </c>
      <c r="U1380" s="9">
        <v>5846982.5999999996</v>
      </c>
      <c r="V1380" s="6" t="s">
        <v>39</v>
      </c>
      <c r="W1380" t="s">
        <v>40</v>
      </c>
      <c r="X1380">
        <v>7810687137</v>
      </c>
      <c r="Y1380">
        <v>781401001</v>
      </c>
      <c r="Z1380" s="3">
        <v>45882.472222222219</v>
      </c>
      <c r="AA1380" s="6">
        <v>2025</v>
      </c>
      <c r="AB1380" s="1">
        <v>46022</v>
      </c>
    </row>
    <row r="1381" spans="1:28" x14ac:dyDescent="0.3">
      <c r="A1381" t="s">
        <v>4775</v>
      </c>
      <c r="B1381" s="6" t="s">
        <v>959</v>
      </c>
      <c r="C1381" s="6" t="s">
        <v>960</v>
      </c>
      <c r="D1381">
        <v>105023439</v>
      </c>
      <c r="E1381">
        <v>10501001</v>
      </c>
      <c r="F1381" t="s">
        <v>52</v>
      </c>
      <c r="G1381" t="s">
        <v>4776</v>
      </c>
      <c r="H1381" s="1">
        <v>45870</v>
      </c>
      <c r="J1381" s="8">
        <v>45881</v>
      </c>
      <c r="K1381" s="1" t="s">
        <v>4530</v>
      </c>
      <c r="L1381" t="s">
        <v>4777</v>
      </c>
      <c r="M1381" t="s">
        <v>416</v>
      </c>
      <c r="N1381" s="12">
        <v>9916746.7599999998</v>
      </c>
      <c r="O1381" t="s">
        <v>4022</v>
      </c>
      <c r="P1381" s="6" t="s">
        <v>2941</v>
      </c>
      <c r="R1381" t="s">
        <v>38</v>
      </c>
      <c r="S1381" s="9">
        <v>3303.38</v>
      </c>
      <c r="T1381" s="9">
        <v>1232</v>
      </c>
      <c r="U1381" s="9">
        <v>4069764.16</v>
      </c>
      <c r="V1381" s="6" t="s">
        <v>39</v>
      </c>
      <c r="W1381" t="s">
        <v>40</v>
      </c>
      <c r="X1381">
        <v>7810687137</v>
      </c>
      <c r="Y1381">
        <v>781401001</v>
      </c>
      <c r="Z1381" s="3">
        <v>45882.472222222219</v>
      </c>
      <c r="AA1381" s="6">
        <v>2025</v>
      </c>
      <c r="AB1381" s="1">
        <v>46022</v>
      </c>
    </row>
    <row r="1382" spans="1:28" x14ac:dyDescent="0.3">
      <c r="A1382" t="s">
        <v>4778</v>
      </c>
      <c r="B1382" s="6" t="s">
        <v>276</v>
      </c>
      <c r="C1382" s="6" t="s">
        <v>277</v>
      </c>
      <c r="D1382" s="4">
        <v>9102012869</v>
      </c>
      <c r="E1382">
        <v>910201001</v>
      </c>
      <c r="F1382" t="s">
        <v>149</v>
      </c>
      <c r="G1382" t="s">
        <v>4779</v>
      </c>
      <c r="H1382" s="1">
        <v>45876</v>
      </c>
      <c r="I1382" t="s">
        <v>4780</v>
      </c>
      <c r="J1382" s="8">
        <v>45881</v>
      </c>
      <c r="K1382" s="1" t="s">
        <v>4530</v>
      </c>
      <c r="L1382" t="s">
        <v>4779</v>
      </c>
      <c r="M1382" t="s">
        <v>377</v>
      </c>
      <c r="N1382" s="12">
        <v>1180350</v>
      </c>
      <c r="O1382" t="s">
        <v>3613</v>
      </c>
      <c r="P1382" s="6" t="s">
        <v>891</v>
      </c>
      <c r="Q1382" t="s">
        <v>37</v>
      </c>
      <c r="R1382" t="s">
        <v>38</v>
      </c>
      <c r="S1382" s="9">
        <v>4575</v>
      </c>
      <c r="T1382" s="9">
        <v>258</v>
      </c>
      <c r="U1382" s="9">
        <v>1180350</v>
      </c>
      <c r="V1382" s="6" t="s">
        <v>39</v>
      </c>
      <c r="W1382" t="s">
        <v>40</v>
      </c>
      <c r="X1382">
        <v>7810687137</v>
      </c>
      <c r="Y1382">
        <v>781401001</v>
      </c>
      <c r="Z1382" s="3">
        <v>45881.594444444447</v>
      </c>
      <c r="AA1382" s="6">
        <v>2025</v>
      </c>
      <c r="AB1382" s="1">
        <v>46021</v>
      </c>
    </row>
    <row r="1383" spans="1:28" x14ac:dyDescent="0.3">
      <c r="A1383" t="s">
        <v>4781</v>
      </c>
      <c r="B1383" s="6" t="s">
        <v>197</v>
      </c>
      <c r="C1383" s="6" t="s">
        <v>198</v>
      </c>
      <c r="D1383">
        <v>1001046786</v>
      </c>
      <c r="E1383">
        <v>100101001</v>
      </c>
      <c r="F1383" t="s">
        <v>94</v>
      </c>
      <c r="G1383" t="s">
        <v>4782</v>
      </c>
      <c r="H1383" s="1">
        <v>45880</v>
      </c>
      <c r="I1383" t="s">
        <v>4783</v>
      </c>
      <c r="J1383" s="8">
        <v>45883</v>
      </c>
      <c r="K1383" s="1" t="s">
        <v>4530</v>
      </c>
      <c r="L1383" t="s">
        <v>4784</v>
      </c>
      <c r="M1383" t="s">
        <v>4785</v>
      </c>
      <c r="N1383" s="12">
        <v>1470000</v>
      </c>
      <c r="O1383" t="s">
        <v>3633</v>
      </c>
      <c r="P1383" s="6" t="s">
        <v>36</v>
      </c>
      <c r="R1383" t="s">
        <v>38</v>
      </c>
      <c r="S1383" s="9">
        <v>3500</v>
      </c>
      <c r="T1383" s="9">
        <v>420</v>
      </c>
      <c r="U1383" s="9">
        <v>1470000</v>
      </c>
      <c r="V1383" s="6" t="s">
        <v>39</v>
      </c>
      <c r="W1383" t="s">
        <v>40</v>
      </c>
      <c r="X1383">
        <v>7810687137</v>
      </c>
      <c r="Y1383">
        <v>781401001</v>
      </c>
      <c r="Z1383" s="3">
        <v>45884.382638888892</v>
      </c>
      <c r="AA1383" s="6">
        <v>2025</v>
      </c>
      <c r="AB1383" s="1">
        <v>46022</v>
      </c>
    </row>
    <row r="1384" spans="1:28" x14ac:dyDescent="0.3">
      <c r="A1384" t="s">
        <v>4786</v>
      </c>
      <c r="B1384" s="6" t="s">
        <v>361</v>
      </c>
      <c r="C1384" s="6" t="s">
        <v>164</v>
      </c>
      <c r="D1384">
        <v>7714338609</v>
      </c>
      <c r="E1384">
        <v>771401001</v>
      </c>
      <c r="F1384" t="s">
        <v>94</v>
      </c>
      <c r="G1384" t="s">
        <v>4787</v>
      </c>
      <c r="H1384" s="1">
        <v>45880</v>
      </c>
      <c r="J1384" s="8">
        <v>45883</v>
      </c>
      <c r="K1384" s="1" t="s">
        <v>4530</v>
      </c>
      <c r="L1384" t="s">
        <v>4788</v>
      </c>
      <c r="M1384" t="s">
        <v>4789</v>
      </c>
      <c r="N1384" s="12">
        <v>650000</v>
      </c>
      <c r="O1384" t="s">
        <v>4790</v>
      </c>
      <c r="P1384" s="6" t="s">
        <v>1814</v>
      </c>
      <c r="R1384" t="s">
        <v>38</v>
      </c>
      <c r="S1384" s="9">
        <v>6250</v>
      </c>
      <c r="T1384" s="9">
        <v>104</v>
      </c>
      <c r="U1384" s="9">
        <v>650000</v>
      </c>
      <c r="V1384" s="6" t="s">
        <v>545</v>
      </c>
      <c r="W1384" t="s">
        <v>40</v>
      </c>
      <c r="X1384">
        <v>7713655588</v>
      </c>
      <c r="Y1384">
        <v>773001001</v>
      </c>
      <c r="Z1384" s="3">
        <v>45884.364583333336</v>
      </c>
      <c r="AA1384" s="6">
        <v>2025</v>
      </c>
      <c r="AB1384" s="1">
        <v>45950</v>
      </c>
    </row>
    <row r="1385" spans="1:28" x14ac:dyDescent="0.3">
      <c r="A1385" t="s">
        <v>4791</v>
      </c>
      <c r="B1385" s="6" t="s">
        <v>418</v>
      </c>
      <c r="C1385" s="6" t="s">
        <v>148</v>
      </c>
      <c r="D1385">
        <v>274157821</v>
      </c>
      <c r="E1385">
        <v>27401001</v>
      </c>
      <c r="F1385" t="s">
        <v>52</v>
      </c>
      <c r="G1385" t="s">
        <v>4792</v>
      </c>
      <c r="H1385" s="1">
        <v>45869</v>
      </c>
      <c r="J1385" s="8">
        <v>45884</v>
      </c>
      <c r="K1385" s="1" t="s">
        <v>4530</v>
      </c>
      <c r="L1385" t="s">
        <v>4792</v>
      </c>
      <c r="M1385" t="s">
        <v>3787</v>
      </c>
      <c r="N1385" s="12">
        <v>52052742</v>
      </c>
      <c r="O1385" t="s">
        <v>3633</v>
      </c>
      <c r="P1385" s="6" t="s">
        <v>36</v>
      </c>
      <c r="R1385" t="s">
        <v>38</v>
      </c>
      <c r="S1385" s="9">
        <v>1701.07</v>
      </c>
      <c r="T1385" s="9">
        <v>30600</v>
      </c>
      <c r="U1385" s="9">
        <v>52052742</v>
      </c>
      <c r="V1385" s="6" t="s">
        <v>128</v>
      </c>
      <c r="W1385" t="s">
        <v>129</v>
      </c>
      <c r="X1385">
        <v>274110679</v>
      </c>
      <c r="Y1385">
        <v>500801001</v>
      </c>
      <c r="Z1385" s="3">
        <v>45887.479861111111</v>
      </c>
      <c r="AA1385" s="6">
        <v>2025</v>
      </c>
      <c r="AB1385" s="1">
        <v>46022</v>
      </c>
    </row>
    <row r="1386" spans="1:28" x14ac:dyDescent="0.3">
      <c r="A1386" t="s">
        <v>4793</v>
      </c>
      <c r="B1386" s="6" t="s">
        <v>2467</v>
      </c>
      <c r="C1386" s="6" t="s">
        <v>904</v>
      </c>
      <c r="D1386">
        <v>3525010519</v>
      </c>
      <c r="E1386">
        <v>352501001</v>
      </c>
      <c r="F1386" t="s">
        <v>94</v>
      </c>
      <c r="G1386" t="s">
        <v>4794</v>
      </c>
      <c r="H1386" s="1">
        <v>45881</v>
      </c>
      <c r="J1386" s="8">
        <v>45884</v>
      </c>
      <c r="K1386" s="1" t="s">
        <v>4530</v>
      </c>
      <c r="L1386" t="s">
        <v>4795</v>
      </c>
      <c r="M1386" t="s">
        <v>4796</v>
      </c>
      <c r="N1386" s="12">
        <v>155000</v>
      </c>
      <c r="O1386" t="s">
        <v>3633</v>
      </c>
      <c r="P1386" s="6" t="s">
        <v>36</v>
      </c>
      <c r="R1386" t="s">
        <v>38</v>
      </c>
      <c r="S1386" s="9">
        <v>3100</v>
      </c>
      <c r="T1386" s="9">
        <v>50</v>
      </c>
      <c r="U1386" s="9">
        <v>155000</v>
      </c>
      <c r="V1386" s="6" t="s">
        <v>352</v>
      </c>
      <c r="W1386" t="s">
        <v>40</v>
      </c>
      <c r="X1386">
        <v>7843014747</v>
      </c>
      <c r="Y1386">
        <v>781401001</v>
      </c>
      <c r="Z1386" s="3">
        <v>45884.409722222219</v>
      </c>
      <c r="AA1386" s="6">
        <v>2025</v>
      </c>
      <c r="AB1386" s="1">
        <v>45916</v>
      </c>
    </row>
    <row r="1387" spans="1:28" x14ac:dyDescent="0.3">
      <c r="A1387" s="4" t="s">
        <v>4797</v>
      </c>
      <c r="B1387" s="6" t="s">
        <v>478</v>
      </c>
      <c r="C1387" s="6" t="s">
        <v>479</v>
      </c>
      <c r="D1387">
        <v>5503053520</v>
      </c>
      <c r="E1387">
        <v>550301001</v>
      </c>
      <c r="F1387" t="s">
        <v>149</v>
      </c>
      <c r="G1387" t="s">
        <v>4798</v>
      </c>
      <c r="H1387" s="1">
        <v>45881</v>
      </c>
      <c r="J1387" s="8">
        <v>45884</v>
      </c>
      <c r="K1387" s="1" t="s">
        <v>4530</v>
      </c>
      <c r="L1387" t="s">
        <v>4799</v>
      </c>
      <c r="M1387" t="s">
        <v>377</v>
      </c>
      <c r="N1387" s="12">
        <v>3069180</v>
      </c>
      <c r="O1387" t="s">
        <v>3633</v>
      </c>
      <c r="P1387" s="6" t="s">
        <v>36</v>
      </c>
      <c r="R1387" t="s">
        <v>38</v>
      </c>
      <c r="S1387" s="9">
        <v>3410.2</v>
      </c>
      <c r="T1387" s="9">
        <v>900</v>
      </c>
      <c r="U1387" s="9">
        <v>3069180</v>
      </c>
      <c r="V1387" s="6" t="s">
        <v>58</v>
      </c>
      <c r="W1387" t="s">
        <v>59</v>
      </c>
      <c r="X1387">
        <v>5262222144</v>
      </c>
      <c r="Y1387">
        <v>526001001</v>
      </c>
      <c r="Z1387" s="3">
        <v>45884.572916666664</v>
      </c>
      <c r="AA1387" s="6">
        <v>2025</v>
      </c>
      <c r="AB1387" s="1">
        <v>46022</v>
      </c>
    </row>
    <row r="1388" spans="1:28" x14ac:dyDescent="0.3">
      <c r="A1388" t="s">
        <v>4800</v>
      </c>
      <c r="B1388" s="6" t="s">
        <v>131</v>
      </c>
      <c r="C1388" s="6" t="s">
        <v>132</v>
      </c>
      <c r="D1388">
        <v>6027053995</v>
      </c>
      <c r="E1388">
        <v>602701001</v>
      </c>
      <c r="F1388" t="s">
        <v>52</v>
      </c>
      <c r="G1388" t="s">
        <v>4801</v>
      </c>
      <c r="H1388" s="1">
        <v>45870</v>
      </c>
      <c r="I1388" t="s">
        <v>4802</v>
      </c>
      <c r="J1388" s="8">
        <v>45884</v>
      </c>
      <c r="K1388" s="1" t="s">
        <v>4530</v>
      </c>
      <c r="L1388" t="s">
        <v>4803</v>
      </c>
      <c r="M1388" t="s">
        <v>4804</v>
      </c>
      <c r="N1388" s="12">
        <v>8270955</v>
      </c>
      <c r="O1388" t="s">
        <v>3633</v>
      </c>
      <c r="P1388" s="6" t="s">
        <v>36</v>
      </c>
      <c r="R1388" t="s">
        <v>38</v>
      </c>
      <c r="S1388" s="9">
        <v>3797.5</v>
      </c>
      <c r="T1388" s="9">
        <v>2178</v>
      </c>
      <c r="U1388" s="9">
        <v>8270955</v>
      </c>
      <c r="V1388" s="6" t="s">
        <v>39</v>
      </c>
      <c r="W1388" t="s">
        <v>40</v>
      </c>
      <c r="X1388">
        <v>7810687137</v>
      </c>
      <c r="Y1388">
        <v>781401001</v>
      </c>
      <c r="Z1388" s="3">
        <v>45884.481249999997</v>
      </c>
      <c r="AA1388" s="6">
        <v>2025</v>
      </c>
      <c r="AB1388" s="1">
        <v>46022</v>
      </c>
    </row>
    <row r="1389" spans="1:28" x14ac:dyDescent="0.3">
      <c r="A1389" t="s">
        <v>4805</v>
      </c>
      <c r="B1389" s="6" t="s">
        <v>758</v>
      </c>
      <c r="C1389" s="6" t="s">
        <v>759</v>
      </c>
      <c r="D1389">
        <v>6731018660</v>
      </c>
      <c r="E1389">
        <v>673101001</v>
      </c>
      <c r="F1389" t="s">
        <v>52</v>
      </c>
      <c r="G1389" t="s">
        <v>4806</v>
      </c>
      <c r="H1389" s="1">
        <v>45873</v>
      </c>
      <c r="J1389" s="8">
        <v>45887</v>
      </c>
      <c r="K1389" s="1" t="s">
        <v>4530</v>
      </c>
      <c r="L1389" t="s">
        <v>4807</v>
      </c>
      <c r="M1389" t="s">
        <v>4808</v>
      </c>
      <c r="N1389" s="12">
        <v>7098150</v>
      </c>
      <c r="O1389" t="s">
        <v>3633</v>
      </c>
      <c r="P1389" s="6" t="s">
        <v>36</v>
      </c>
      <c r="R1389" t="s">
        <v>38</v>
      </c>
      <c r="S1389" s="9">
        <v>2995</v>
      </c>
      <c r="T1389" s="9">
        <v>2370</v>
      </c>
      <c r="U1389" s="9">
        <v>7098150</v>
      </c>
      <c r="V1389" s="6" t="s">
        <v>352</v>
      </c>
      <c r="W1389" t="s">
        <v>40</v>
      </c>
      <c r="X1389">
        <v>7843014747</v>
      </c>
      <c r="Y1389">
        <v>781401001</v>
      </c>
      <c r="Z1389" s="3">
        <v>45887.55972222222</v>
      </c>
      <c r="AA1389" s="6">
        <v>2025</v>
      </c>
      <c r="AB1389" s="1">
        <v>46053</v>
      </c>
    </row>
    <row r="1390" spans="1:28" x14ac:dyDescent="0.3">
      <c r="A1390" t="s">
        <v>4809</v>
      </c>
      <c r="B1390" s="6" t="s">
        <v>740</v>
      </c>
      <c r="C1390" s="6" t="s">
        <v>105</v>
      </c>
      <c r="D1390">
        <v>6661002199</v>
      </c>
      <c r="E1390">
        <v>667101001</v>
      </c>
      <c r="F1390" t="s">
        <v>52</v>
      </c>
      <c r="G1390" t="s">
        <v>4810</v>
      </c>
      <c r="H1390" s="1">
        <v>45875</v>
      </c>
      <c r="J1390" s="8">
        <v>45887</v>
      </c>
      <c r="K1390" s="1" t="s">
        <v>4530</v>
      </c>
      <c r="L1390" t="s">
        <v>4810</v>
      </c>
      <c r="M1390" t="s">
        <v>1496</v>
      </c>
      <c r="N1390" s="12">
        <v>949500</v>
      </c>
      <c r="O1390" t="s">
        <v>3633</v>
      </c>
      <c r="P1390" s="6" t="s">
        <v>36</v>
      </c>
      <c r="R1390" t="s">
        <v>38</v>
      </c>
      <c r="S1390" s="9">
        <v>3165</v>
      </c>
      <c r="T1390" s="9">
        <v>200</v>
      </c>
      <c r="U1390" s="9">
        <v>633000</v>
      </c>
      <c r="V1390" s="6" t="s">
        <v>111</v>
      </c>
      <c r="W1390" t="s">
        <v>59</v>
      </c>
      <c r="X1390">
        <v>5262258091</v>
      </c>
      <c r="Y1390">
        <v>526001001</v>
      </c>
      <c r="Z1390" s="3">
        <v>45888.440972222219</v>
      </c>
      <c r="AA1390" s="6">
        <v>2025</v>
      </c>
      <c r="AB1390" s="1">
        <v>46112</v>
      </c>
    </row>
    <row r="1391" spans="1:28" x14ac:dyDescent="0.3">
      <c r="A1391" t="s">
        <v>4809</v>
      </c>
      <c r="B1391" s="6" t="s">
        <v>740</v>
      </c>
      <c r="C1391" s="6" t="s">
        <v>105</v>
      </c>
      <c r="D1391">
        <v>6661002199</v>
      </c>
      <c r="E1391">
        <v>667101001</v>
      </c>
      <c r="F1391" t="s">
        <v>52</v>
      </c>
      <c r="G1391" t="s">
        <v>4810</v>
      </c>
      <c r="H1391" s="1">
        <v>45875</v>
      </c>
      <c r="J1391" s="8">
        <v>45887</v>
      </c>
      <c r="K1391" s="1" t="s">
        <v>4530</v>
      </c>
      <c r="L1391" t="s">
        <v>4810</v>
      </c>
      <c r="M1391" t="s">
        <v>1496</v>
      </c>
      <c r="N1391" s="12">
        <v>949500</v>
      </c>
      <c r="O1391" t="s">
        <v>3633</v>
      </c>
      <c r="P1391" s="6" t="s">
        <v>36</v>
      </c>
      <c r="R1391" t="s">
        <v>38</v>
      </c>
      <c r="S1391" s="9">
        <v>3165</v>
      </c>
      <c r="T1391" s="9">
        <v>100</v>
      </c>
      <c r="U1391" s="9">
        <v>316500</v>
      </c>
      <c r="V1391" s="6" t="s">
        <v>111</v>
      </c>
      <c r="W1391" t="s">
        <v>59</v>
      </c>
      <c r="X1391">
        <v>5262258091</v>
      </c>
      <c r="Y1391">
        <v>526001001</v>
      </c>
      <c r="Z1391" s="3">
        <v>45888.440972222219</v>
      </c>
      <c r="AA1391" s="6">
        <v>2026</v>
      </c>
      <c r="AB1391" s="1">
        <v>46112</v>
      </c>
    </row>
    <row r="1392" spans="1:28" x14ac:dyDescent="0.3">
      <c r="A1392" t="s">
        <v>4811</v>
      </c>
      <c r="B1392" s="6" t="s">
        <v>121</v>
      </c>
      <c r="C1392" s="6" t="s">
        <v>122</v>
      </c>
      <c r="D1392">
        <v>5402155123</v>
      </c>
      <c r="E1392">
        <v>540201001</v>
      </c>
      <c r="F1392" t="s">
        <v>52</v>
      </c>
      <c r="G1392" t="s">
        <v>4812</v>
      </c>
      <c r="H1392" s="1">
        <v>45875</v>
      </c>
      <c r="I1392" t="s">
        <v>4813</v>
      </c>
      <c r="J1392" s="8">
        <v>45887</v>
      </c>
      <c r="K1392" s="1" t="s">
        <v>4530</v>
      </c>
      <c r="L1392" t="s">
        <v>4814</v>
      </c>
      <c r="M1392" t="s">
        <v>4815</v>
      </c>
      <c r="N1392" s="12">
        <v>5184000</v>
      </c>
      <c r="O1392" t="s">
        <v>3633</v>
      </c>
      <c r="P1392" s="6" t="s">
        <v>36</v>
      </c>
      <c r="R1392" t="s">
        <v>38</v>
      </c>
      <c r="S1392" s="9">
        <v>3200</v>
      </c>
      <c r="T1392" s="9">
        <v>1620</v>
      </c>
      <c r="U1392" s="9">
        <v>5184000</v>
      </c>
      <c r="V1392" s="6" t="s">
        <v>1594</v>
      </c>
      <c r="W1392" t="s">
        <v>59</v>
      </c>
      <c r="X1392">
        <v>7716871971</v>
      </c>
      <c r="Y1392">
        <v>450001001</v>
      </c>
      <c r="Z1392" s="3">
        <v>45887.306250000001</v>
      </c>
      <c r="AA1392" s="6">
        <v>2025</v>
      </c>
      <c r="AB1392" s="1">
        <v>45991</v>
      </c>
    </row>
    <row r="1393" spans="1:28" x14ac:dyDescent="0.3">
      <c r="A1393" t="s">
        <v>4816</v>
      </c>
      <c r="B1393" s="6" t="s">
        <v>1088</v>
      </c>
      <c r="C1393" s="6" t="s">
        <v>355</v>
      </c>
      <c r="D1393">
        <v>2466212607</v>
      </c>
      <c r="E1393">
        <v>246601001</v>
      </c>
      <c r="F1393" t="s">
        <v>52</v>
      </c>
      <c r="G1393" t="s">
        <v>4817</v>
      </c>
      <c r="H1393" s="1">
        <v>45876</v>
      </c>
      <c r="I1393" t="s">
        <v>4818</v>
      </c>
      <c r="J1393" s="8">
        <v>45887</v>
      </c>
      <c r="K1393" s="1" t="s">
        <v>4530</v>
      </c>
      <c r="L1393" t="s">
        <v>4819</v>
      </c>
      <c r="M1393" t="s">
        <v>4820</v>
      </c>
      <c r="N1393" s="12">
        <v>24250020</v>
      </c>
      <c r="O1393" t="s">
        <v>3648</v>
      </c>
      <c r="P1393" s="6" t="s">
        <v>2277</v>
      </c>
      <c r="R1393" t="s">
        <v>38</v>
      </c>
      <c r="S1393" s="9">
        <v>4041.67</v>
      </c>
      <c r="T1393" s="9">
        <v>6000</v>
      </c>
      <c r="U1393" s="9">
        <v>24250020</v>
      </c>
      <c r="V1393" s="6" t="s">
        <v>39</v>
      </c>
      <c r="W1393" t="s">
        <v>40</v>
      </c>
      <c r="X1393">
        <v>7810687137</v>
      </c>
      <c r="Y1393">
        <v>781401001</v>
      </c>
      <c r="Z1393" s="3">
        <v>45888.263888888891</v>
      </c>
      <c r="AA1393" s="6">
        <v>2025</v>
      </c>
      <c r="AB1393" s="1">
        <v>46022</v>
      </c>
    </row>
    <row r="1394" spans="1:28" x14ac:dyDescent="0.3">
      <c r="A1394" s="4" t="s">
        <v>4821</v>
      </c>
      <c r="B1394" s="6" t="s">
        <v>946</v>
      </c>
      <c r="C1394" s="6" t="s">
        <v>947</v>
      </c>
      <c r="D1394">
        <v>7325000951</v>
      </c>
      <c r="E1394">
        <v>732501001</v>
      </c>
      <c r="F1394" t="s">
        <v>94</v>
      </c>
      <c r="G1394" t="s">
        <v>4822</v>
      </c>
      <c r="H1394" s="1">
        <v>45883</v>
      </c>
      <c r="J1394" s="8">
        <v>45888</v>
      </c>
      <c r="K1394" s="1" t="s">
        <v>4530</v>
      </c>
      <c r="L1394" t="s">
        <v>4822</v>
      </c>
      <c r="M1394" t="s">
        <v>377</v>
      </c>
      <c r="N1394" s="12">
        <v>9834000</v>
      </c>
      <c r="O1394" t="s">
        <v>3648</v>
      </c>
      <c r="P1394" s="6" t="s">
        <v>2277</v>
      </c>
      <c r="R1394" t="s">
        <v>38</v>
      </c>
      <c r="S1394" s="9">
        <v>2980</v>
      </c>
      <c r="T1394" s="9">
        <v>1300</v>
      </c>
      <c r="U1394" s="9">
        <v>3874000</v>
      </c>
      <c r="V1394" s="6" t="s">
        <v>39</v>
      </c>
      <c r="W1394" t="s">
        <v>40</v>
      </c>
      <c r="X1394">
        <v>7810687137</v>
      </c>
      <c r="Y1394">
        <v>781401001</v>
      </c>
      <c r="Z1394" s="3">
        <v>45888.636805555558</v>
      </c>
      <c r="AA1394" s="6">
        <v>2025</v>
      </c>
      <c r="AB1394" s="1">
        <v>46022</v>
      </c>
    </row>
    <row r="1395" spans="1:28" x14ac:dyDescent="0.3">
      <c r="A1395" t="s">
        <v>4823</v>
      </c>
      <c r="B1395" s="6" t="s">
        <v>946</v>
      </c>
      <c r="C1395" s="6" t="s">
        <v>947</v>
      </c>
      <c r="D1395">
        <v>7325000951</v>
      </c>
      <c r="E1395">
        <v>732501001</v>
      </c>
      <c r="F1395" t="s">
        <v>94</v>
      </c>
      <c r="G1395" t="s">
        <v>4822</v>
      </c>
      <c r="H1395" s="1">
        <v>45883</v>
      </c>
      <c r="J1395" s="8">
        <v>45888</v>
      </c>
      <c r="K1395" s="1" t="s">
        <v>4530</v>
      </c>
      <c r="L1395" t="s">
        <v>4822</v>
      </c>
      <c r="M1395" t="s">
        <v>377</v>
      </c>
      <c r="N1395" s="12">
        <v>9834000</v>
      </c>
      <c r="O1395" t="s">
        <v>3633</v>
      </c>
      <c r="P1395" s="6" t="s">
        <v>36</v>
      </c>
      <c r="R1395" t="s">
        <v>38</v>
      </c>
      <c r="S1395" s="9">
        <v>2980</v>
      </c>
      <c r="T1395" s="9">
        <v>2000</v>
      </c>
      <c r="U1395" s="9">
        <v>5960000</v>
      </c>
      <c r="V1395" s="6" t="s">
        <v>39</v>
      </c>
      <c r="W1395" t="s">
        <v>40</v>
      </c>
      <c r="X1395">
        <v>7810687137</v>
      </c>
      <c r="Y1395">
        <v>781401001</v>
      </c>
      <c r="Z1395" s="3">
        <v>45888.636805555558</v>
      </c>
      <c r="AA1395" s="6">
        <v>2025</v>
      </c>
      <c r="AB1395" s="1">
        <v>46022</v>
      </c>
    </row>
    <row r="1396" spans="1:28" x14ac:dyDescent="0.3">
      <c r="A1396" t="s">
        <v>4824</v>
      </c>
      <c r="B1396" s="6" t="s">
        <v>2467</v>
      </c>
      <c r="C1396" s="6" t="s">
        <v>904</v>
      </c>
      <c r="D1396">
        <v>3525010519</v>
      </c>
      <c r="E1396">
        <v>352501001</v>
      </c>
      <c r="F1396" t="s">
        <v>94</v>
      </c>
      <c r="G1396" t="s">
        <v>4825</v>
      </c>
      <c r="H1396" s="1">
        <v>45887</v>
      </c>
      <c r="J1396" s="8">
        <v>45890</v>
      </c>
      <c r="K1396" s="1" t="s">
        <v>4530</v>
      </c>
      <c r="L1396" t="s">
        <v>4826</v>
      </c>
      <c r="M1396" t="s">
        <v>1496</v>
      </c>
      <c r="N1396" s="12">
        <v>1218000</v>
      </c>
      <c r="O1396" t="s">
        <v>4022</v>
      </c>
      <c r="P1396" s="6" t="s">
        <v>2941</v>
      </c>
      <c r="R1396" t="s">
        <v>38</v>
      </c>
      <c r="S1396" s="15">
        <v>2900</v>
      </c>
      <c r="T1396" s="9">
        <v>420</v>
      </c>
      <c r="U1396" s="9">
        <v>1218000</v>
      </c>
      <c r="V1396" s="6" t="s">
        <v>4615</v>
      </c>
      <c r="W1396" t="s">
        <v>4616</v>
      </c>
      <c r="X1396">
        <v>7707443828</v>
      </c>
      <c r="Y1396">
        <v>770701001</v>
      </c>
      <c r="Z1396" s="3">
        <v>45890.589583333334</v>
      </c>
      <c r="AA1396" s="6">
        <v>2025</v>
      </c>
      <c r="AB1396" s="1">
        <v>45936</v>
      </c>
    </row>
    <row r="1397" spans="1:28" x14ac:dyDescent="0.3">
      <c r="A1397" s="4" t="s">
        <v>4827</v>
      </c>
      <c r="B1397" s="6" t="s">
        <v>964</v>
      </c>
      <c r="C1397" s="6" t="s">
        <v>965</v>
      </c>
      <c r="D1397">
        <v>7021021653</v>
      </c>
      <c r="E1397">
        <v>701701001</v>
      </c>
      <c r="F1397" t="s">
        <v>149</v>
      </c>
      <c r="G1397" t="s">
        <v>4828</v>
      </c>
      <c r="H1397" s="1">
        <v>45888</v>
      </c>
      <c r="J1397" s="8">
        <v>45891</v>
      </c>
      <c r="K1397" s="1" t="s">
        <v>4530</v>
      </c>
      <c r="L1397" t="s">
        <v>4829</v>
      </c>
      <c r="M1397" t="s">
        <v>377</v>
      </c>
      <c r="N1397" s="12">
        <v>4998000</v>
      </c>
      <c r="O1397" t="s">
        <v>3613</v>
      </c>
      <c r="P1397" s="6" t="s">
        <v>36</v>
      </c>
      <c r="R1397" t="s">
        <v>38</v>
      </c>
      <c r="S1397" s="9">
        <v>2975</v>
      </c>
      <c r="T1397" s="9">
        <v>1680</v>
      </c>
      <c r="U1397" s="9">
        <v>4998000</v>
      </c>
      <c r="V1397" s="6" t="s">
        <v>58</v>
      </c>
      <c r="W1397" t="s">
        <v>59</v>
      </c>
      <c r="X1397">
        <v>5262222144</v>
      </c>
      <c r="Y1397">
        <v>526001001</v>
      </c>
      <c r="Z1397" s="3">
        <v>45891.348611111112</v>
      </c>
      <c r="AA1397" s="6">
        <v>2025</v>
      </c>
      <c r="AB1397" s="1">
        <v>46022</v>
      </c>
    </row>
    <row r="1398" spans="1:28" x14ac:dyDescent="0.3">
      <c r="A1398" t="s">
        <v>4830</v>
      </c>
      <c r="B1398" s="6" t="s">
        <v>1003</v>
      </c>
      <c r="C1398" s="6" t="s">
        <v>1004</v>
      </c>
      <c r="D1398" s="4">
        <v>816025842</v>
      </c>
      <c r="E1398">
        <v>81601001</v>
      </c>
      <c r="F1398" t="s">
        <v>149</v>
      </c>
      <c r="G1398" t="s">
        <v>4831</v>
      </c>
      <c r="H1398" s="1">
        <v>45888</v>
      </c>
      <c r="J1398" s="8">
        <v>45891</v>
      </c>
      <c r="K1398" s="1" t="s">
        <v>4530</v>
      </c>
      <c r="L1398" t="s">
        <v>4832</v>
      </c>
      <c r="M1398" t="s">
        <v>377</v>
      </c>
      <c r="N1398" s="12">
        <v>1197000</v>
      </c>
      <c r="O1398" t="s">
        <v>3633</v>
      </c>
      <c r="P1398" s="6" t="s">
        <v>36</v>
      </c>
      <c r="R1398" t="s">
        <v>38</v>
      </c>
      <c r="S1398" s="9">
        <v>3000</v>
      </c>
      <c r="T1398" s="9">
        <v>399</v>
      </c>
      <c r="U1398" s="9">
        <v>1197000</v>
      </c>
      <c r="V1398" s="6" t="s">
        <v>1009</v>
      </c>
      <c r="W1398" t="s">
        <v>40</v>
      </c>
      <c r="X1398">
        <v>3443142095</v>
      </c>
      <c r="Y1398">
        <v>344301001</v>
      </c>
      <c r="Z1398" s="3">
        <v>45894.522222222222</v>
      </c>
      <c r="AA1398" s="6">
        <v>2025</v>
      </c>
      <c r="AB1398" s="1">
        <v>45961</v>
      </c>
    </row>
    <row r="1399" spans="1:28" x14ac:dyDescent="0.3">
      <c r="A1399" s="4" t="s">
        <v>4833</v>
      </c>
      <c r="B1399" s="6" t="s">
        <v>1399</v>
      </c>
      <c r="C1399" s="6" t="s">
        <v>93</v>
      </c>
      <c r="D1399">
        <v>4501025099</v>
      </c>
      <c r="E1399">
        <v>450101001</v>
      </c>
      <c r="F1399" t="s">
        <v>149</v>
      </c>
      <c r="G1399" t="s">
        <v>4834</v>
      </c>
      <c r="H1399" s="1">
        <v>45888</v>
      </c>
      <c r="J1399" s="8">
        <v>45891</v>
      </c>
      <c r="K1399" s="1" t="s">
        <v>4530</v>
      </c>
      <c r="L1399" t="s">
        <v>4835</v>
      </c>
      <c r="M1399" t="s">
        <v>377</v>
      </c>
      <c r="N1399" s="12">
        <v>70000</v>
      </c>
      <c r="O1399" t="s">
        <v>3613</v>
      </c>
      <c r="P1399" s="6" t="s">
        <v>36</v>
      </c>
      <c r="R1399" t="s">
        <v>38</v>
      </c>
      <c r="S1399" s="9">
        <v>3500</v>
      </c>
      <c r="T1399" s="9">
        <v>20</v>
      </c>
      <c r="U1399" s="9">
        <v>70000</v>
      </c>
      <c r="V1399" s="6" t="s">
        <v>39</v>
      </c>
      <c r="W1399" t="s">
        <v>40</v>
      </c>
      <c r="X1399">
        <v>7810687137</v>
      </c>
      <c r="Y1399">
        <v>781401001</v>
      </c>
      <c r="Z1399" s="3">
        <v>45891.623611111114</v>
      </c>
      <c r="AA1399" s="6">
        <v>2025</v>
      </c>
      <c r="AB1399" s="1">
        <v>45961</v>
      </c>
    </row>
    <row r="1400" spans="1:28" x14ac:dyDescent="0.3">
      <c r="A1400" t="s">
        <v>4836</v>
      </c>
      <c r="B1400" s="6" t="s">
        <v>782</v>
      </c>
      <c r="C1400" s="6" t="s">
        <v>783</v>
      </c>
      <c r="D1400">
        <v>6231025123</v>
      </c>
      <c r="E1400">
        <v>623401001</v>
      </c>
      <c r="F1400" t="s">
        <v>94</v>
      </c>
      <c r="G1400" t="s">
        <v>4837</v>
      </c>
      <c r="H1400" s="1">
        <v>45889</v>
      </c>
      <c r="J1400" s="8">
        <v>45894</v>
      </c>
      <c r="K1400" s="1" t="s">
        <v>4530</v>
      </c>
      <c r="L1400" t="s">
        <v>4838</v>
      </c>
      <c r="M1400" t="s">
        <v>1519</v>
      </c>
      <c r="N1400" s="12">
        <v>696000</v>
      </c>
      <c r="O1400" t="s">
        <v>3613</v>
      </c>
      <c r="P1400" s="6" t="s">
        <v>3758</v>
      </c>
      <c r="Q1400" t="s">
        <v>37</v>
      </c>
      <c r="R1400" t="s">
        <v>38</v>
      </c>
      <c r="S1400" s="9">
        <v>2900</v>
      </c>
      <c r="T1400" s="9">
        <v>120</v>
      </c>
      <c r="U1400" s="9">
        <v>348000</v>
      </c>
      <c r="V1400" s="6" t="s">
        <v>111</v>
      </c>
      <c r="W1400" t="s">
        <v>59</v>
      </c>
      <c r="X1400">
        <v>5262258091</v>
      </c>
      <c r="Y1400">
        <v>526001001</v>
      </c>
      <c r="Z1400" s="3">
        <v>45895.722222222219</v>
      </c>
      <c r="AA1400" s="6">
        <v>2025</v>
      </c>
      <c r="AB1400" s="1">
        <v>45983</v>
      </c>
    </row>
    <row r="1401" spans="1:28" x14ac:dyDescent="0.3">
      <c r="A1401" t="s">
        <v>4836</v>
      </c>
      <c r="B1401" s="6" t="s">
        <v>782</v>
      </c>
      <c r="C1401" s="6" t="s">
        <v>783</v>
      </c>
      <c r="D1401">
        <v>6231025123</v>
      </c>
      <c r="E1401">
        <v>623401001</v>
      </c>
      <c r="F1401" t="s">
        <v>94</v>
      </c>
      <c r="G1401" t="s">
        <v>4837</v>
      </c>
      <c r="H1401" s="1">
        <v>45889</v>
      </c>
      <c r="J1401" s="8">
        <v>45894</v>
      </c>
      <c r="K1401" s="1" t="s">
        <v>4530</v>
      </c>
      <c r="L1401" t="s">
        <v>4838</v>
      </c>
      <c r="M1401" t="s">
        <v>1519</v>
      </c>
      <c r="N1401" s="12">
        <v>696000</v>
      </c>
      <c r="O1401" t="s">
        <v>3633</v>
      </c>
      <c r="P1401" s="6" t="s">
        <v>36</v>
      </c>
      <c r="Q1401" t="s">
        <v>37</v>
      </c>
      <c r="R1401" t="s">
        <v>38</v>
      </c>
      <c r="S1401" s="9">
        <v>2900</v>
      </c>
      <c r="T1401" s="9">
        <v>120</v>
      </c>
      <c r="U1401" s="9">
        <v>348000</v>
      </c>
      <c r="V1401" s="6" t="s">
        <v>111</v>
      </c>
      <c r="W1401" t="s">
        <v>59</v>
      </c>
      <c r="X1401">
        <v>5262258091</v>
      </c>
      <c r="Y1401">
        <v>526001001</v>
      </c>
      <c r="Z1401" s="3">
        <v>45895.722222222219</v>
      </c>
      <c r="AA1401" s="6">
        <v>2025</v>
      </c>
      <c r="AB1401" s="1">
        <v>45983</v>
      </c>
    </row>
    <row r="1402" spans="1:28" x14ac:dyDescent="0.3">
      <c r="A1402" s="4" t="s">
        <v>4839</v>
      </c>
      <c r="B1402" s="6" t="s">
        <v>946</v>
      </c>
      <c r="C1402" s="6" t="s">
        <v>947</v>
      </c>
      <c r="D1402">
        <v>7325000951</v>
      </c>
      <c r="E1402">
        <v>732501001</v>
      </c>
      <c r="F1402" t="s">
        <v>52</v>
      </c>
      <c r="G1402" t="s">
        <v>4840</v>
      </c>
      <c r="H1402" s="1">
        <v>45882</v>
      </c>
      <c r="J1402" s="8">
        <v>45894</v>
      </c>
      <c r="K1402" s="1" t="s">
        <v>4530</v>
      </c>
      <c r="L1402" t="s">
        <v>4840</v>
      </c>
      <c r="M1402" t="s">
        <v>377</v>
      </c>
      <c r="N1402" s="12">
        <v>1140000</v>
      </c>
      <c r="O1402" t="s">
        <v>4022</v>
      </c>
      <c r="P1402" s="6" t="s">
        <v>2941</v>
      </c>
      <c r="R1402" t="s">
        <v>38</v>
      </c>
      <c r="S1402" s="9">
        <v>3000</v>
      </c>
      <c r="T1402" s="9">
        <v>190</v>
      </c>
      <c r="U1402" s="9">
        <v>570000</v>
      </c>
      <c r="V1402" s="6" t="s">
        <v>39</v>
      </c>
      <c r="W1402" t="s">
        <v>40</v>
      </c>
      <c r="X1402">
        <v>7810687137</v>
      </c>
      <c r="Y1402">
        <v>781401001</v>
      </c>
      <c r="Z1402" s="3">
        <v>45895.404861111114</v>
      </c>
      <c r="AA1402" s="6">
        <v>2025</v>
      </c>
      <c r="AB1402" s="1">
        <v>46022</v>
      </c>
    </row>
    <row r="1403" spans="1:28" x14ac:dyDescent="0.3">
      <c r="A1403" t="s">
        <v>4841</v>
      </c>
      <c r="B1403" s="6" t="s">
        <v>946</v>
      </c>
      <c r="C1403" s="6" t="s">
        <v>947</v>
      </c>
      <c r="D1403">
        <v>7325000951</v>
      </c>
      <c r="E1403">
        <v>732501001</v>
      </c>
      <c r="F1403" t="s">
        <v>52</v>
      </c>
      <c r="G1403" t="s">
        <v>4840</v>
      </c>
      <c r="H1403" s="1">
        <v>45882</v>
      </c>
      <c r="J1403" s="8">
        <v>45894</v>
      </c>
      <c r="K1403" s="1" t="s">
        <v>4530</v>
      </c>
      <c r="L1403" t="s">
        <v>4840</v>
      </c>
      <c r="M1403" t="s">
        <v>377</v>
      </c>
      <c r="N1403" s="12">
        <v>1140000</v>
      </c>
      <c r="O1403" t="s">
        <v>3633</v>
      </c>
      <c r="P1403" s="6" t="s">
        <v>36</v>
      </c>
      <c r="R1403" t="s">
        <v>38</v>
      </c>
      <c r="S1403" s="9">
        <v>3000</v>
      </c>
      <c r="T1403" s="9">
        <v>190</v>
      </c>
      <c r="U1403" s="9">
        <v>570000</v>
      </c>
      <c r="V1403" s="6" t="s">
        <v>39</v>
      </c>
      <c r="W1403" t="s">
        <v>40</v>
      </c>
      <c r="X1403">
        <v>7810687137</v>
      </c>
      <c r="Y1403">
        <v>781401001</v>
      </c>
      <c r="Z1403" s="3">
        <v>45895.404861111114</v>
      </c>
      <c r="AA1403" s="6">
        <v>2025</v>
      </c>
      <c r="AB1403" s="1">
        <v>46022</v>
      </c>
    </row>
    <row r="1404" spans="1:28" x14ac:dyDescent="0.3">
      <c r="A1404" t="s">
        <v>4842</v>
      </c>
      <c r="B1404" s="6" t="s">
        <v>1362</v>
      </c>
      <c r="C1404" s="6" t="s">
        <v>164</v>
      </c>
      <c r="D1404">
        <v>7716035705</v>
      </c>
      <c r="E1404">
        <v>771601001</v>
      </c>
      <c r="F1404" t="s">
        <v>149</v>
      </c>
      <c r="G1404" t="s">
        <v>4843</v>
      </c>
      <c r="H1404" s="1">
        <v>45890</v>
      </c>
      <c r="J1404" s="8">
        <v>45895</v>
      </c>
      <c r="K1404" s="1" t="s">
        <v>4530</v>
      </c>
      <c r="L1404" t="s">
        <v>4844</v>
      </c>
      <c r="M1404" t="s">
        <v>377</v>
      </c>
      <c r="N1404" s="12">
        <v>260000</v>
      </c>
      <c r="O1404" t="s">
        <v>3981</v>
      </c>
      <c r="P1404" s="6" t="s">
        <v>36</v>
      </c>
      <c r="R1404" t="s">
        <v>38</v>
      </c>
      <c r="S1404" s="9">
        <v>3250</v>
      </c>
      <c r="T1404" s="9">
        <v>80</v>
      </c>
      <c r="U1404" s="9">
        <v>260000</v>
      </c>
      <c r="V1404" s="6" t="s">
        <v>190</v>
      </c>
      <c r="W1404" t="s">
        <v>129</v>
      </c>
      <c r="X1404">
        <v>5027264000</v>
      </c>
      <c r="Y1404">
        <v>502701001</v>
      </c>
      <c r="Z1404" s="3">
        <v>45898.468055555553</v>
      </c>
      <c r="AA1404" s="6">
        <v>2025</v>
      </c>
      <c r="AB1404" s="1">
        <v>46018</v>
      </c>
    </row>
    <row r="1405" spans="1:28" x14ac:dyDescent="0.3">
      <c r="A1405" t="s">
        <v>4845</v>
      </c>
      <c r="B1405" s="6" t="s">
        <v>3451</v>
      </c>
      <c r="C1405" s="6" t="s">
        <v>3452</v>
      </c>
      <c r="D1405">
        <v>9001024530</v>
      </c>
      <c r="E1405">
        <v>900101001</v>
      </c>
      <c r="F1405" t="s">
        <v>149</v>
      </c>
      <c r="G1405" t="s">
        <v>4846</v>
      </c>
      <c r="H1405" s="1">
        <v>45891</v>
      </c>
      <c r="J1405" s="8">
        <v>45896</v>
      </c>
      <c r="K1405" s="1" t="s">
        <v>4530</v>
      </c>
      <c r="L1405" t="s">
        <v>4846</v>
      </c>
      <c r="M1405" t="s">
        <v>377</v>
      </c>
      <c r="N1405" s="12">
        <v>4920000</v>
      </c>
      <c r="O1405" t="s">
        <v>3613</v>
      </c>
      <c r="P1405" s="6" t="s">
        <v>464</v>
      </c>
      <c r="R1405" t="s">
        <v>38</v>
      </c>
      <c r="S1405" s="9">
        <v>4100</v>
      </c>
      <c r="T1405" s="9">
        <v>1200</v>
      </c>
      <c r="U1405" s="9">
        <v>4920000</v>
      </c>
      <c r="V1405" s="6" t="s">
        <v>3456</v>
      </c>
      <c r="W1405" t="s">
        <v>3457</v>
      </c>
      <c r="X1405">
        <v>9102048375</v>
      </c>
      <c r="Y1405">
        <v>910201001</v>
      </c>
      <c r="Z1405" s="3">
        <v>45896.549305555556</v>
      </c>
      <c r="AA1405" s="6">
        <v>2026</v>
      </c>
      <c r="AB1405" s="1">
        <v>46387</v>
      </c>
    </row>
    <row r="1406" spans="1:28" x14ac:dyDescent="0.3">
      <c r="A1406" s="4" t="s">
        <v>4847</v>
      </c>
      <c r="B1406" s="6" t="s">
        <v>3451</v>
      </c>
      <c r="C1406" s="6" t="s">
        <v>3452</v>
      </c>
      <c r="D1406">
        <v>9001024530</v>
      </c>
      <c r="E1406">
        <v>900101001</v>
      </c>
      <c r="F1406" t="s">
        <v>149</v>
      </c>
      <c r="G1406" t="s">
        <v>4848</v>
      </c>
      <c r="H1406" s="1">
        <v>45891</v>
      </c>
      <c r="I1406" t="s">
        <v>4849</v>
      </c>
      <c r="J1406" s="8">
        <v>45896</v>
      </c>
      <c r="K1406" s="1" t="s">
        <v>4530</v>
      </c>
      <c r="L1406" t="s">
        <v>4848</v>
      </c>
      <c r="M1406" t="s">
        <v>377</v>
      </c>
      <c r="N1406" s="12">
        <v>120000</v>
      </c>
      <c r="O1406" t="s">
        <v>3613</v>
      </c>
      <c r="P1406" s="6" t="s">
        <v>2941</v>
      </c>
      <c r="R1406" t="s">
        <v>38</v>
      </c>
      <c r="S1406" s="9">
        <v>5000</v>
      </c>
      <c r="T1406" s="9">
        <v>24</v>
      </c>
      <c r="U1406" s="9">
        <v>120000</v>
      </c>
      <c r="V1406" s="6" t="s">
        <v>3456</v>
      </c>
      <c r="W1406" t="s">
        <v>3457</v>
      </c>
      <c r="X1406">
        <v>9102048375</v>
      </c>
      <c r="Y1406">
        <v>910201001</v>
      </c>
      <c r="Z1406" s="3">
        <v>45896.551388888889</v>
      </c>
      <c r="AA1406" s="6">
        <v>2026</v>
      </c>
      <c r="AB1406" s="1">
        <v>46387</v>
      </c>
    </row>
    <row r="1407" spans="1:28" x14ac:dyDescent="0.3">
      <c r="A1407" t="s">
        <v>4850</v>
      </c>
      <c r="B1407" s="6" t="s">
        <v>3451</v>
      </c>
      <c r="C1407" s="6" t="s">
        <v>3452</v>
      </c>
      <c r="D1407">
        <v>9001024530</v>
      </c>
      <c r="E1407">
        <v>900101001</v>
      </c>
      <c r="F1407" t="s">
        <v>149</v>
      </c>
      <c r="G1407" t="s">
        <v>4851</v>
      </c>
      <c r="H1407" s="1">
        <v>45891</v>
      </c>
      <c r="J1407" s="8">
        <v>45896</v>
      </c>
      <c r="K1407" s="1" t="s">
        <v>4530</v>
      </c>
      <c r="L1407" t="s">
        <v>4851</v>
      </c>
      <c r="M1407" t="s">
        <v>377</v>
      </c>
      <c r="N1407" s="12">
        <v>50000</v>
      </c>
      <c r="O1407" t="s">
        <v>3613</v>
      </c>
      <c r="P1407" s="6" t="s">
        <v>2941</v>
      </c>
      <c r="R1407" t="s">
        <v>38</v>
      </c>
      <c r="S1407" s="9">
        <v>5000</v>
      </c>
      <c r="T1407" s="9">
        <v>10</v>
      </c>
      <c r="U1407" s="9">
        <v>50000</v>
      </c>
      <c r="V1407" s="6" t="s">
        <v>3456</v>
      </c>
      <c r="W1407" t="s">
        <v>3457</v>
      </c>
      <c r="X1407">
        <v>9102048375</v>
      </c>
      <c r="Y1407">
        <v>910201001</v>
      </c>
      <c r="Z1407" s="3">
        <v>45896.55</v>
      </c>
      <c r="AA1407" s="6">
        <v>2025</v>
      </c>
      <c r="AB1407" s="1">
        <v>46022</v>
      </c>
    </row>
    <row r="1408" spans="1:28" x14ac:dyDescent="0.3">
      <c r="A1408" s="4" t="s">
        <v>4852</v>
      </c>
      <c r="B1408" s="6" t="s">
        <v>964</v>
      </c>
      <c r="C1408" s="6" t="s">
        <v>965</v>
      </c>
      <c r="D1408">
        <v>7021021653</v>
      </c>
      <c r="E1408">
        <v>701701001</v>
      </c>
      <c r="F1408" t="s">
        <v>149</v>
      </c>
      <c r="G1408" t="s">
        <v>4853</v>
      </c>
      <c r="H1408" s="1">
        <v>45894</v>
      </c>
      <c r="J1408" s="8">
        <v>45897</v>
      </c>
      <c r="K1408" s="1" t="s">
        <v>4530</v>
      </c>
      <c r="L1408" t="s">
        <v>4854</v>
      </c>
      <c r="M1408" t="s">
        <v>377</v>
      </c>
      <c r="N1408" s="12">
        <v>4997300</v>
      </c>
      <c r="O1408" t="s">
        <v>3613</v>
      </c>
      <c r="P1408" s="6" t="s">
        <v>36</v>
      </c>
      <c r="R1408" t="s">
        <v>38</v>
      </c>
      <c r="S1408" s="9">
        <v>2950</v>
      </c>
      <c r="T1408" s="9">
        <v>1694</v>
      </c>
      <c r="U1408" s="9">
        <v>4997300</v>
      </c>
      <c r="V1408" s="6" t="s">
        <v>58</v>
      </c>
      <c r="W1408" t="s">
        <v>59</v>
      </c>
      <c r="X1408">
        <v>5262222144</v>
      </c>
      <c r="Y1408">
        <v>526001001</v>
      </c>
      <c r="Z1408" s="3">
        <v>45897.506944444445</v>
      </c>
      <c r="AA1408" s="6">
        <v>2025</v>
      </c>
      <c r="AB1408" s="1">
        <v>46022</v>
      </c>
    </row>
    <row r="1409" spans="1:28" x14ac:dyDescent="0.3">
      <c r="A1409" t="s">
        <v>4855</v>
      </c>
      <c r="B1409" s="6" t="s">
        <v>1926</v>
      </c>
      <c r="C1409" s="6" t="s">
        <v>731</v>
      </c>
      <c r="D1409">
        <v>5835108606</v>
      </c>
      <c r="E1409">
        <v>583501001</v>
      </c>
      <c r="F1409" t="s">
        <v>52</v>
      </c>
      <c r="G1409" t="s">
        <v>4856</v>
      </c>
      <c r="H1409" s="1">
        <v>45887</v>
      </c>
      <c r="J1409" s="8">
        <v>45898</v>
      </c>
      <c r="K1409" s="1" t="s">
        <v>4530</v>
      </c>
      <c r="L1409" t="s">
        <v>4857</v>
      </c>
      <c r="M1409" t="s">
        <v>534</v>
      </c>
      <c r="N1409" s="12">
        <v>2854170</v>
      </c>
      <c r="O1409" t="s">
        <v>3633</v>
      </c>
      <c r="P1409" s="6" t="s">
        <v>36</v>
      </c>
      <c r="R1409" t="s">
        <v>38</v>
      </c>
      <c r="S1409" s="9">
        <v>3069</v>
      </c>
      <c r="T1409" s="9">
        <v>465</v>
      </c>
      <c r="U1409" s="9">
        <v>1427085</v>
      </c>
      <c r="V1409" s="6" t="s">
        <v>58</v>
      </c>
      <c r="W1409" t="s">
        <v>59</v>
      </c>
      <c r="X1409">
        <v>5262222144</v>
      </c>
      <c r="Y1409">
        <v>526001001</v>
      </c>
      <c r="Z1409" s="3">
        <v>45898.542361111111</v>
      </c>
      <c r="AA1409" s="6">
        <v>2025</v>
      </c>
      <c r="AB1409" s="1">
        <v>45954</v>
      </c>
    </row>
    <row r="1410" spans="1:28" x14ac:dyDescent="0.3">
      <c r="A1410" t="s">
        <v>4855</v>
      </c>
      <c r="B1410" s="6" t="s">
        <v>1926</v>
      </c>
      <c r="C1410" s="6" t="s">
        <v>731</v>
      </c>
      <c r="D1410">
        <v>5835108606</v>
      </c>
      <c r="E1410">
        <v>583501001</v>
      </c>
      <c r="F1410" t="s">
        <v>52</v>
      </c>
      <c r="G1410" t="s">
        <v>4856</v>
      </c>
      <c r="H1410" s="1">
        <v>45887</v>
      </c>
      <c r="J1410" s="8">
        <v>45898</v>
      </c>
      <c r="K1410" s="1" t="s">
        <v>4530</v>
      </c>
      <c r="L1410" t="s">
        <v>4857</v>
      </c>
      <c r="M1410" t="s">
        <v>534</v>
      </c>
      <c r="N1410" s="12">
        <v>2854170</v>
      </c>
      <c r="O1410" t="s">
        <v>4036</v>
      </c>
      <c r="P1410" s="6" t="s">
        <v>2941</v>
      </c>
      <c r="R1410" t="s">
        <v>38</v>
      </c>
      <c r="S1410" s="9">
        <v>3069</v>
      </c>
      <c r="T1410" s="9">
        <v>465</v>
      </c>
      <c r="U1410" s="9">
        <v>1427085</v>
      </c>
      <c r="V1410" s="6" t="s">
        <v>58</v>
      </c>
      <c r="W1410" t="s">
        <v>59</v>
      </c>
      <c r="X1410">
        <v>5262222144</v>
      </c>
      <c r="Y1410">
        <v>526001001</v>
      </c>
      <c r="Z1410" s="3">
        <v>45898.542361111111</v>
      </c>
      <c r="AA1410" s="6">
        <v>2025</v>
      </c>
      <c r="AB1410" s="1">
        <v>45954</v>
      </c>
    </row>
    <row r="1411" spans="1:28" x14ac:dyDescent="0.3">
      <c r="A1411" t="s">
        <v>4858</v>
      </c>
      <c r="B1411" s="6" t="s">
        <v>1399</v>
      </c>
      <c r="C1411" s="6" t="s">
        <v>93</v>
      </c>
      <c r="D1411">
        <v>4501025099</v>
      </c>
      <c r="E1411">
        <v>450101001</v>
      </c>
      <c r="F1411" t="s">
        <v>149</v>
      </c>
      <c r="G1411" t="s">
        <v>4859</v>
      </c>
      <c r="H1411" s="1">
        <v>45895</v>
      </c>
      <c r="J1411" s="8">
        <v>45898</v>
      </c>
      <c r="K1411" s="1" t="s">
        <v>4530</v>
      </c>
      <c r="L1411" t="s">
        <v>4860</v>
      </c>
      <c r="M1411" t="s">
        <v>377</v>
      </c>
      <c r="N1411" s="12">
        <v>1497600</v>
      </c>
      <c r="O1411" t="s">
        <v>3613</v>
      </c>
      <c r="P1411" s="6" t="s">
        <v>36</v>
      </c>
      <c r="R1411" t="s">
        <v>38</v>
      </c>
      <c r="S1411" s="9">
        <v>3200</v>
      </c>
      <c r="T1411" s="9">
        <v>468</v>
      </c>
      <c r="U1411" s="9">
        <v>1497600</v>
      </c>
      <c r="V1411" s="6" t="s">
        <v>39</v>
      </c>
      <c r="W1411" t="s">
        <v>40</v>
      </c>
      <c r="X1411">
        <v>7810687137</v>
      </c>
      <c r="Y1411">
        <v>781401001</v>
      </c>
      <c r="Z1411" s="3">
        <v>45902.573611111111</v>
      </c>
      <c r="AA1411" s="6">
        <v>2025</v>
      </c>
      <c r="AB1411" s="1">
        <v>46022</v>
      </c>
    </row>
    <row r="1412" spans="1:28" x14ac:dyDescent="0.3">
      <c r="A1412" t="s">
        <v>4861</v>
      </c>
      <c r="B1412" s="6" t="s">
        <v>418</v>
      </c>
      <c r="C1412" s="6" t="s">
        <v>148</v>
      </c>
      <c r="D1412">
        <v>274157821</v>
      </c>
      <c r="E1412">
        <v>27401001</v>
      </c>
      <c r="F1412" t="s">
        <v>52</v>
      </c>
      <c r="G1412" t="s">
        <v>4862</v>
      </c>
      <c r="H1412" s="1">
        <v>45887</v>
      </c>
      <c r="J1412" s="8">
        <v>45898</v>
      </c>
      <c r="K1412" s="1" t="s">
        <v>4530</v>
      </c>
      <c r="L1412" t="s">
        <v>4862</v>
      </c>
      <c r="M1412" t="s">
        <v>3787</v>
      </c>
      <c r="N1412" s="12">
        <v>1506594.6</v>
      </c>
      <c r="O1412" t="s">
        <v>3745</v>
      </c>
      <c r="P1412" s="6" t="s">
        <v>2277</v>
      </c>
      <c r="R1412" t="s">
        <v>38</v>
      </c>
      <c r="S1412" s="9">
        <v>3587.13</v>
      </c>
      <c r="T1412" s="9">
        <v>420</v>
      </c>
      <c r="U1412" s="9">
        <v>1506594.6</v>
      </c>
      <c r="V1412" s="6" t="s">
        <v>90</v>
      </c>
      <c r="W1412" t="s">
        <v>59</v>
      </c>
      <c r="X1412">
        <v>5259153331</v>
      </c>
      <c r="Y1412">
        <v>525901001</v>
      </c>
      <c r="Z1412" s="3">
        <v>45901.368055555555</v>
      </c>
      <c r="AA1412" s="6">
        <v>2025</v>
      </c>
      <c r="AB1412" s="1">
        <v>46022</v>
      </c>
    </row>
    <row r="1413" spans="1:28" x14ac:dyDescent="0.3">
      <c r="A1413" s="4" t="s">
        <v>4863</v>
      </c>
      <c r="B1413" s="6" t="s">
        <v>491</v>
      </c>
      <c r="C1413" s="6" t="s">
        <v>492</v>
      </c>
      <c r="D1413">
        <v>2724041260</v>
      </c>
      <c r="E1413">
        <v>272101001</v>
      </c>
      <c r="F1413" t="s">
        <v>149</v>
      </c>
      <c r="G1413" t="s">
        <v>4864</v>
      </c>
      <c r="H1413" s="1">
        <v>45895</v>
      </c>
      <c r="J1413" s="8">
        <v>45898</v>
      </c>
      <c r="K1413" s="1" t="s">
        <v>4530</v>
      </c>
      <c r="L1413" t="s">
        <v>4865</v>
      </c>
      <c r="M1413" t="s">
        <v>377</v>
      </c>
      <c r="N1413" s="12">
        <v>1285700</v>
      </c>
      <c r="O1413" t="s">
        <v>3633</v>
      </c>
      <c r="P1413" s="6" t="s">
        <v>36</v>
      </c>
      <c r="R1413" t="s">
        <v>38</v>
      </c>
      <c r="S1413" s="9">
        <v>4300</v>
      </c>
      <c r="T1413" s="9">
        <v>299</v>
      </c>
      <c r="U1413" s="9">
        <v>1285700</v>
      </c>
      <c r="V1413" s="6" t="s">
        <v>3816</v>
      </c>
      <c r="W1413" t="s">
        <v>3817</v>
      </c>
      <c r="X1413">
        <v>2540059700</v>
      </c>
      <c r="Y1413">
        <v>253701001</v>
      </c>
      <c r="Z1413" s="3">
        <v>45901.109027777777</v>
      </c>
      <c r="AA1413" s="6">
        <v>2025</v>
      </c>
      <c r="AB1413" s="1">
        <v>45961</v>
      </c>
    </row>
    <row r="1414" spans="1:28" x14ac:dyDescent="0.3">
      <c r="A1414" t="s">
        <v>4866</v>
      </c>
      <c r="B1414" s="6" t="s">
        <v>573</v>
      </c>
      <c r="C1414" s="6" t="s">
        <v>405</v>
      </c>
      <c r="D1414">
        <v>562044550</v>
      </c>
      <c r="E1414">
        <v>57201001</v>
      </c>
      <c r="F1414" t="s">
        <v>52</v>
      </c>
      <c r="G1414" t="s">
        <v>4867</v>
      </c>
      <c r="H1414" s="1">
        <v>45888</v>
      </c>
      <c r="I1414" t="s">
        <v>4868</v>
      </c>
      <c r="J1414" s="8">
        <v>45901</v>
      </c>
      <c r="K1414" s="1" t="s">
        <v>4530</v>
      </c>
      <c r="L1414" t="s">
        <v>4867</v>
      </c>
      <c r="M1414" t="s">
        <v>4242</v>
      </c>
      <c r="N1414" s="12">
        <v>12754820.949999999</v>
      </c>
      <c r="O1414" t="s">
        <v>3815</v>
      </c>
      <c r="P1414" s="6" t="s">
        <v>3758</v>
      </c>
      <c r="Q1414" t="s">
        <v>37</v>
      </c>
      <c r="R1414" t="s">
        <v>38</v>
      </c>
      <c r="S1414" s="9">
        <v>3433.33</v>
      </c>
      <c r="T1414" s="9">
        <v>1200</v>
      </c>
      <c r="U1414" s="9">
        <v>4119996</v>
      </c>
      <c r="V1414" s="6" t="s">
        <v>352</v>
      </c>
      <c r="W1414" t="s">
        <v>40</v>
      </c>
      <c r="X1414">
        <v>7843014747</v>
      </c>
      <c r="Y1414">
        <v>781401001</v>
      </c>
      <c r="Z1414" s="3">
        <v>45902.493055555555</v>
      </c>
      <c r="AA1414" s="6">
        <v>2025</v>
      </c>
      <c r="AB1414" s="1">
        <v>46022</v>
      </c>
    </row>
    <row r="1415" spans="1:28" x14ac:dyDescent="0.3">
      <c r="A1415" t="s">
        <v>4866</v>
      </c>
      <c r="B1415" s="6" t="s">
        <v>573</v>
      </c>
      <c r="C1415" s="6" t="s">
        <v>405</v>
      </c>
      <c r="D1415">
        <v>562044550</v>
      </c>
      <c r="E1415">
        <v>57201001</v>
      </c>
      <c r="F1415" t="s">
        <v>52</v>
      </c>
      <c r="G1415" t="s">
        <v>4867</v>
      </c>
      <c r="H1415" s="1">
        <v>45888</v>
      </c>
      <c r="I1415" t="s">
        <v>4868</v>
      </c>
      <c r="J1415" s="8">
        <v>45901</v>
      </c>
      <c r="K1415" s="1" t="s">
        <v>4530</v>
      </c>
      <c r="L1415" t="s">
        <v>4867</v>
      </c>
      <c r="M1415" t="s">
        <v>4242</v>
      </c>
      <c r="N1415" s="12">
        <v>12754820.949999999</v>
      </c>
      <c r="O1415" t="s">
        <v>3633</v>
      </c>
      <c r="P1415" s="6" t="s">
        <v>36</v>
      </c>
      <c r="Q1415" t="s">
        <v>37</v>
      </c>
      <c r="R1415" t="s">
        <v>38</v>
      </c>
      <c r="S1415" s="9">
        <v>3433.33</v>
      </c>
      <c r="T1415" s="9">
        <v>2515</v>
      </c>
      <c r="U1415" s="9">
        <v>8634824.9499999993</v>
      </c>
      <c r="V1415" s="6" t="s">
        <v>352</v>
      </c>
      <c r="W1415" t="s">
        <v>40</v>
      </c>
      <c r="X1415">
        <v>7843014747</v>
      </c>
      <c r="Y1415">
        <v>781401001</v>
      </c>
      <c r="Z1415" s="3">
        <v>45902.493055555555</v>
      </c>
      <c r="AA1415" s="6">
        <v>2025</v>
      </c>
      <c r="AB1415" s="1">
        <v>46022</v>
      </c>
    </row>
    <row r="1416" spans="1:28" x14ac:dyDescent="0.3">
      <c r="A1416" t="s">
        <v>4869</v>
      </c>
      <c r="B1416" s="6" t="s">
        <v>212</v>
      </c>
      <c r="C1416" s="6" t="s">
        <v>213</v>
      </c>
      <c r="D1416">
        <v>1659013660</v>
      </c>
      <c r="E1416" s="4">
        <v>165901001</v>
      </c>
      <c r="F1416" t="s">
        <v>52</v>
      </c>
      <c r="G1416" t="s">
        <v>4870</v>
      </c>
      <c r="H1416" s="1">
        <v>45891</v>
      </c>
      <c r="J1416" s="8">
        <v>45902</v>
      </c>
      <c r="K1416" s="1" t="s">
        <v>4530</v>
      </c>
      <c r="L1416" t="s">
        <v>4871</v>
      </c>
      <c r="M1416" t="s">
        <v>4872</v>
      </c>
      <c r="N1416" s="12">
        <v>198900</v>
      </c>
      <c r="O1416" t="s">
        <v>4873</v>
      </c>
      <c r="P1416" s="6" t="s">
        <v>36</v>
      </c>
      <c r="R1416" t="s">
        <v>48</v>
      </c>
      <c r="S1416" s="9">
        <v>5100</v>
      </c>
      <c r="T1416" s="9">
        <v>39</v>
      </c>
      <c r="U1416" s="9">
        <v>198900</v>
      </c>
      <c r="V1416" s="6" t="s">
        <v>111</v>
      </c>
      <c r="W1416" t="s">
        <v>59</v>
      </c>
      <c r="X1416">
        <v>5262258091</v>
      </c>
      <c r="Y1416">
        <v>526001001</v>
      </c>
      <c r="Z1416" s="3">
        <v>45902.575694444444</v>
      </c>
      <c r="AA1416" s="6">
        <v>2025</v>
      </c>
      <c r="AB1416" s="1">
        <v>46021</v>
      </c>
    </row>
    <row r="1417" spans="1:28" x14ac:dyDescent="0.3">
      <c r="A1417" t="s">
        <v>4874</v>
      </c>
      <c r="B1417" s="6" t="s">
        <v>404</v>
      </c>
      <c r="C1417" s="6" t="s">
        <v>405</v>
      </c>
      <c r="D1417">
        <v>560020779</v>
      </c>
      <c r="E1417">
        <v>57301001</v>
      </c>
      <c r="F1417" t="s">
        <v>52</v>
      </c>
      <c r="G1417" t="s">
        <v>4875</v>
      </c>
      <c r="H1417" s="1">
        <v>45891</v>
      </c>
      <c r="I1417" t="s">
        <v>4876</v>
      </c>
      <c r="J1417" s="8">
        <v>45904</v>
      </c>
      <c r="K1417" s="1" t="s">
        <v>4530</v>
      </c>
      <c r="L1417" t="s">
        <v>4877</v>
      </c>
      <c r="M1417" t="s">
        <v>409</v>
      </c>
      <c r="N1417" s="12">
        <v>165000</v>
      </c>
      <c r="O1417" t="s">
        <v>3633</v>
      </c>
      <c r="P1417" s="6" t="s">
        <v>36</v>
      </c>
      <c r="R1417" t="s">
        <v>38</v>
      </c>
      <c r="S1417" s="9">
        <v>3000</v>
      </c>
      <c r="T1417" s="9">
        <v>55</v>
      </c>
      <c r="U1417" s="9">
        <v>165000</v>
      </c>
      <c r="V1417" s="6" t="s">
        <v>352</v>
      </c>
      <c r="W1417" t="s">
        <v>40</v>
      </c>
      <c r="X1417">
        <v>7843014747</v>
      </c>
      <c r="Y1417">
        <v>781401001</v>
      </c>
      <c r="Z1417" s="3">
        <v>45904.434027777781</v>
      </c>
      <c r="AA1417" s="6">
        <v>2026</v>
      </c>
      <c r="AB1417" s="1">
        <v>46386</v>
      </c>
    </row>
    <row r="1418" spans="1:28" x14ac:dyDescent="0.3">
      <c r="A1418" s="4" t="s">
        <v>4878</v>
      </c>
      <c r="B1418" s="6" t="s">
        <v>4879</v>
      </c>
      <c r="C1418" s="6" t="s">
        <v>1104</v>
      </c>
      <c r="D1418">
        <v>4347010475</v>
      </c>
      <c r="E1418">
        <v>434501001</v>
      </c>
      <c r="F1418" t="s">
        <v>94</v>
      </c>
      <c r="G1418" t="s">
        <v>4880</v>
      </c>
      <c r="H1418" s="1">
        <v>45901</v>
      </c>
      <c r="J1418" s="8">
        <v>45904</v>
      </c>
      <c r="K1418" s="1" t="s">
        <v>4530</v>
      </c>
      <c r="L1418" t="s">
        <v>4881</v>
      </c>
      <c r="M1418" t="s">
        <v>4882</v>
      </c>
      <c r="N1418" s="12">
        <v>480000</v>
      </c>
      <c r="O1418" t="s">
        <v>3633</v>
      </c>
      <c r="P1418" s="6" t="s">
        <v>36</v>
      </c>
      <c r="R1418" t="s">
        <v>38</v>
      </c>
      <c r="S1418" s="9">
        <v>3200</v>
      </c>
      <c r="T1418" s="9">
        <v>150</v>
      </c>
      <c r="U1418" s="9">
        <v>480000</v>
      </c>
      <c r="V1418" s="6" t="s">
        <v>58</v>
      </c>
      <c r="W1418" t="s">
        <v>59</v>
      </c>
      <c r="X1418">
        <v>5262222144</v>
      </c>
      <c r="Y1418">
        <v>526001001</v>
      </c>
      <c r="Z1418" s="3">
        <v>45904.563194444447</v>
      </c>
      <c r="AA1418" s="6">
        <v>2026</v>
      </c>
      <c r="AB1418" s="1">
        <v>46387</v>
      </c>
    </row>
    <row r="1419" spans="1:28" x14ac:dyDescent="0.3">
      <c r="A1419" t="s">
        <v>4883</v>
      </c>
      <c r="B1419" s="6" t="s">
        <v>361</v>
      </c>
      <c r="C1419" s="6" t="s">
        <v>164</v>
      </c>
      <c r="D1419">
        <v>7714338609</v>
      </c>
      <c r="E1419">
        <v>771401001</v>
      </c>
      <c r="F1419" t="s">
        <v>94</v>
      </c>
      <c r="G1419" t="s">
        <v>4884</v>
      </c>
      <c r="H1419" s="1">
        <v>45901</v>
      </c>
      <c r="J1419" s="8">
        <v>45904</v>
      </c>
      <c r="K1419" s="1" t="s">
        <v>4530</v>
      </c>
      <c r="L1419" t="s">
        <v>4885</v>
      </c>
      <c r="M1419" t="s">
        <v>4886</v>
      </c>
      <c r="N1419" s="12">
        <v>650000</v>
      </c>
      <c r="O1419" t="s">
        <v>4790</v>
      </c>
      <c r="P1419" s="6" t="s">
        <v>1814</v>
      </c>
      <c r="R1419" t="s">
        <v>38</v>
      </c>
      <c r="S1419" s="9">
        <v>6250</v>
      </c>
      <c r="T1419" s="9">
        <v>104</v>
      </c>
      <c r="U1419" s="9">
        <v>650000</v>
      </c>
      <c r="V1419" s="6" t="s">
        <v>545</v>
      </c>
      <c r="W1419" t="s">
        <v>40</v>
      </c>
      <c r="X1419">
        <v>7713655588</v>
      </c>
      <c r="Y1419">
        <v>773001001</v>
      </c>
      <c r="Z1419" s="3">
        <v>45908.425694444442</v>
      </c>
      <c r="AA1419" s="6">
        <v>2025</v>
      </c>
      <c r="AB1419" s="1">
        <v>45971</v>
      </c>
    </row>
    <row r="1420" spans="1:28" x14ac:dyDescent="0.3">
      <c r="A1420" t="s">
        <v>4887</v>
      </c>
      <c r="B1420" s="6" t="s">
        <v>818</v>
      </c>
      <c r="C1420" s="6" t="s">
        <v>965</v>
      </c>
      <c r="D1420">
        <v>7018013613</v>
      </c>
      <c r="E1420">
        <v>701701001</v>
      </c>
      <c r="F1420" t="s">
        <v>149</v>
      </c>
      <c r="G1420" t="s">
        <v>4888</v>
      </c>
      <c r="H1420" s="1">
        <v>45902</v>
      </c>
      <c r="J1420" s="8">
        <v>45905</v>
      </c>
      <c r="K1420" s="1" t="s">
        <v>4530</v>
      </c>
      <c r="L1420" t="s">
        <v>4889</v>
      </c>
      <c r="M1420" t="s">
        <v>377</v>
      </c>
      <c r="N1420" s="12">
        <v>214500</v>
      </c>
      <c r="O1420" t="s">
        <v>3613</v>
      </c>
      <c r="P1420" s="6" t="s">
        <v>36</v>
      </c>
      <c r="R1420" t="s">
        <v>38</v>
      </c>
      <c r="S1420" s="9">
        <v>3300</v>
      </c>
      <c r="T1420" s="9">
        <v>65</v>
      </c>
      <c r="U1420" s="9">
        <v>214500</v>
      </c>
      <c r="V1420" s="6" t="s">
        <v>58</v>
      </c>
      <c r="W1420" t="s">
        <v>59</v>
      </c>
      <c r="X1420">
        <v>5262222144</v>
      </c>
      <c r="Y1420">
        <v>526001001</v>
      </c>
      <c r="Z1420" s="3">
        <v>45905.188194444447</v>
      </c>
      <c r="AA1420" s="6">
        <v>2025</v>
      </c>
      <c r="AB1420" s="1">
        <v>45947</v>
      </c>
    </row>
    <row r="1421" spans="1:28" x14ac:dyDescent="0.3">
      <c r="A1421" t="s">
        <v>4890</v>
      </c>
      <c r="B1421" s="6" t="s">
        <v>538</v>
      </c>
      <c r="C1421" s="6" t="s">
        <v>539</v>
      </c>
      <c r="D1421">
        <v>7808043833</v>
      </c>
      <c r="E1421">
        <v>784101001</v>
      </c>
      <c r="F1421" t="s">
        <v>52</v>
      </c>
      <c r="G1421" t="s">
        <v>4891</v>
      </c>
      <c r="H1421" s="1">
        <v>45895</v>
      </c>
      <c r="J1421" s="8">
        <v>45908</v>
      </c>
      <c r="K1421" s="1" t="s">
        <v>4530</v>
      </c>
      <c r="L1421" t="s">
        <v>4892</v>
      </c>
      <c r="M1421" t="s">
        <v>4893</v>
      </c>
      <c r="N1421" s="12">
        <v>94962000</v>
      </c>
      <c r="O1421" t="s">
        <v>3633</v>
      </c>
      <c r="P1421" s="6" t="s">
        <v>36</v>
      </c>
      <c r="R1421" t="s">
        <v>38</v>
      </c>
      <c r="S1421" s="9">
        <v>2499</v>
      </c>
      <c r="T1421" s="9">
        <v>38000</v>
      </c>
      <c r="U1421" s="9">
        <v>94962000</v>
      </c>
      <c r="V1421" s="6" t="s">
        <v>39</v>
      </c>
      <c r="W1421" t="s">
        <v>40</v>
      </c>
      <c r="X1421">
        <v>7810687137</v>
      </c>
      <c r="Y1421">
        <v>781401001</v>
      </c>
      <c r="Z1421" s="3">
        <v>45909.661805555559</v>
      </c>
      <c r="AA1421" s="6">
        <v>2025</v>
      </c>
      <c r="AB1421" s="1">
        <v>46022</v>
      </c>
    </row>
    <row r="1422" spans="1:28" x14ac:dyDescent="0.3">
      <c r="A1422" t="s">
        <v>4894</v>
      </c>
      <c r="B1422" s="6" t="s">
        <v>2724</v>
      </c>
      <c r="C1422" s="6" t="s">
        <v>427</v>
      </c>
      <c r="D1422">
        <v>5190800114</v>
      </c>
      <c r="E1422">
        <v>519001001</v>
      </c>
      <c r="F1422" t="s">
        <v>52</v>
      </c>
      <c r="G1422" t="s">
        <v>4895</v>
      </c>
      <c r="H1422" s="1">
        <v>45895</v>
      </c>
      <c r="I1422" t="s">
        <v>4896</v>
      </c>
      <c r="J1422" s="8">
        <v>45908</v>
      </c>
      <c r="K1422" s="1" t="s">
        <v>4530</v>
      </c>
      <c r="L1422" t="s">
        <v>4897</v>
      </c>
      <c r="M1422" t="s">
        <v>4020</v>
      </c>
      <c r="N1422" s="12">
        <v>193123.8</v>
      </c>
      <c r="O1422" t="s">
        <v>3633</v>
      </c>
      <c r="P1422" s="6" t="s">
        <v>36</v>
      </c>
      <c r="R1422" t="s">
        <v>38</v>
      </c>
      <c r="S1422" s="9">
        <v>4291.6400000000003</v>
      </c>
      <c r="T1422" s="9">
        <v>45</v>
      </c>
      <c r="U1422" s="9">
        <v>193123.8</v>
      </c>
      <c r="V1422" s="6" t="s">
        <v>39</v>
      </c>
      <c r="W1422" t="s">
        <v>40</v>
      </c>
      <c r="X1422">
        <v>7810687137</v>
      </c>
      <c r="Y1422">
        <v>781401001</v>
      </c>
      <c r="Z1422" s="3">
        <v>45909.657638888886</v>
      </c>
      <c r="AA1422" s="6">
        <v>2026</v>
      </c>
      <c r="AB1422" s="1">
        <v>46387</v>
      </c>
    </row>
    <row r="1423" spans="1:28" x14ac:dyDescent="0.3">
      <c r="A1423" t="s">
        <v>4898</v>
      </c>
      <c r="B1423" s="6" t="s">
        <v>2353</v>
      </c>
      <c r="C1423" s="6" t="s">
        <v>2354</v>
      </c>
      <c r="D1423">
        <v>2801123720</v>
      </c>
      <c r="E1423">
        <v>280101001</v>
      </c>
      <c r="F1423" t="s">
        <v>4899</v>
      </c>
      <c r="G1423" t="s">
        <v>4900</v>
      </c>
      <c r="H1423" s="1">
        <v>45891</v>
      </c>
      <c r="J1423" s="8">
        <v>45909</v>
      </c>
      <c r="K1423" s="1" t="s">
        <v>4530</v>
      </c>
      <c r="L1423" t="s">
        <v>4901</v>
      </c>
      <c r="M1423" t="s">
        <v>4902</v>
      </c>
      <c r="N1423" s="12">
        <v>425614247.75</v>
      </c>
      <c r="O1423" t="s">
        <v>3613</v>
      </c>
      <c r="P1423" s="6" t="s">
        <v>2277</v>
      </c>
      <c r="R1423" t="s">
        <v>38</v>
      </c>
      <c r="S1423" s="9">
        <v>3870.64</v>
      </c>
      <c r="T1423" s="9">
        <v>15450</v>
      </c>
      <c r="U1423" s="9">
        <v>59801388</v>
      </c>
      <c r="V1423" s="6" t="s">
        <v>4731</v>
      </c>
      <c r="W1423" t="s">
        <v>2503</v>
      </c>
      <c r="X1423">
        <v>9707031480</v>
      </c>
      <c r="Y1423">
        <v>772901001</v>
      </c>
      <c r="Z1423" s="3">
        <v>45910.353472222225</v>
      </c>
      <c r="AA1423" s="6">
        <v>2027</v>
      </c>
      <c r="AB1423" s="1">
        <v>49309</v>
      </c>
    </row>
    <row r="1424" spans="1:28" x14ac:dyDescent="0.3">
      <c r="A1424" t="s">
        <v>4898</v>
      </c>
      <c r="B1424" s="6" t="s">
        <v>2353</v>
      </c>
      <c r="C1424" s="6" t="s">
        <v>2354</v>
      </c>
      <c r="D1424">
        <v>2801123720</v>
      </c>
      <c r="E1424">
        <v>280101001</v>
      </c>
      <c r="F1424" t="s">
        <v>4899</v>
      </c>
      <c r="G1424" t="s">
        <v>4900</v>
      </c>
      <c r="H1424" s="1">
        <v>45891</v>
      </c>
      <c r="J1424" s="8">
        <v>45909</v>
      </c>
      <c r="K1424" s="1" t="s">
        <v>4530</v>
      </c>
      <c r="L1424" t="s">
        <v>4901</v>
      </c>
      <c r="M1424" t="s">
        <v>4902</v>
      </c>
      <c r="N1424" s="12">
        <v>425614247.75</v>
      </c>
      <c r="O1424" t="s">
        <v>3613</v>
      </c>
      <c r="P1424" s="6" t="s">
        <v>2277</v>
      </c>
      <c r="R1424" t="s">
        <v>38</v>
      </c>
      <c r="S1424" s="9">
        <v>4025.47</v>
      </c>
      <c r="T1424" s="9">
        <v>15750</v>
      </c>
      <c r="U1424" s="9">
        <v>63401152.5</v>
      </c>
      <c r="V1424" s="6" t="s">
        <v>4731</v>
      </c>
      <c r="W1424" t="s">
        <v>2503</v>
      </c>
      <c r="X1424">
        <v>9707031480</v>
      </c>
      <c r="Y1424">
        <v>772901001</v>
      </c>
      <c r="Z1424" s="3">
        <v>45910.353472222225</v>
      </c>
      <c r="AA1424" s="6">
        <v>2028</v>
      </c>
      <c r="AB1424" s="1">
        <v>49309</v>
      </c>
    </row>
    <row r="1425" spans="1:28" x14ac:dyDescent="0.3">
      <c r="A1425" t="s">
        <v>4898</v>
      </c>
      <c r="B1425" s="6" t="s">
        <v>2353</v>
      </c>
      <c r="C1425" s="6" t="s">
        <v>2354</v>
      </c>
      <c r="D1425">
        <v>2801123720</v>
      </c>
      <c r="E1425">
        <v>280101001</v>
      </c>
      <c r="F1425" t="s">
        <v>4899</v>
      </c>
      <c r="G1425" t="s">
        <v>4900</v>
      </c>
      <c r="H1425" s="1">
        <v>45891</v>
      </c>
      <c r="J1425" s="8">
        <v>45909</v>
      </c>
      <c r="K1425" s="1" t="s">
        <v>4530</v>
      </c>
      <c r="L1425" t="s">
        <v>4901</v>
      </c>
      <c r="M1425" t="s">
        <v>4902</v>
      </c>
      <c r="N1425" s="12">
        <v>425614247.75</v>
      </c>
      <c r="O1425" t="s">
        <v>3613</v>
      </c>
      <c r="P1425" s="6" t="s">
        <v>2277</v>
      </c>
      <c r="R1425" t="s">
        <v>38</v>
      </c>
      <c r="S1425" s="9">
        <v>4528.1099999999997</v>
      </c>
      <c r="T1425" s="9">
        <v>8525</v>
      </c>
      <c r="U1425" s="9">
        <v>38602137.75</v>
      </c>
      <c r="V1425" s="6" t="s">
        <v>4731</v>
      </c>
      <c r="W1425" t="s">
        <v>2503</v>
      </c>
      <c r="X1425">
        <v>9707031480</v>
      </c>
      <c r="Y1425">
        <v>772901001</v>
      </c>
      <c r="Z1425" s="3">
        <v>45910.353472222225</v>
      </c>
      <c r="AA1425" s="6">
        <v>2029</v>
      </c>
      <c r="AB1425" s="1">
        <v>49309</v>
      </c>
    </row>
    <row r="1426" spans="1:28" x14ac:dyDescent="0.3">
      <c r="A1426" t="s">
        <v>4898</v>
      </c>
      <c r="B1426" s="6" t="s">
        <v>2353</v>
      </c>
      <c r="C1426" s="6" t="s">
        <v>2354</v>
      </c>
      <c r="D1426">
        <v>2801123720</v>
      </c>
      <c r="E1426">
        <v>280101001</v>
      </c>
      <c r="F1426" t="s">
        <v>4899</v>
      </c>
      <c r="G1426" t="s">
        <v>4900</v>
      </c>
      <c r="H1426" s="1">
        <v>45891</v>
      </c>
      <c r="J1426" s="8">
        <v>45909</v>
      </c>
      <c r="K1426" s="1" t="s">
        <v>4530</v>
      </c>
      <c r="L1426" t="s">
        <v>4901</v>
      </c>
      <c r="M1426" t="s">
        <v>4902</v>
      </c>
      <c r="N1426" s="12">
        <v>425614247.75</v>
      </c>
      <c r="O1426" t="s">
        <v>3613</v>
      </c>
      <c r="P1426" s="6" t="s">
        <v>2277</v>
      </c>
      <c r="R1426" t="s">
        <v>38</v>
      </c>
      <c r="S1426" s="9">
        <v>4709.2299999999996</v>
      </c>
      <c r="T1426" s="9">
        <v>8525</v>
      </c>
      <c r="U1426" s="9">
        <v>40146185.75</v>
      </c>
      <c r="V1426" s="6" t="s">
        <v>4731</v>
      </c>
      <c r="W1426" t="s">
        <v>2503</v>
      </c>
      <c r="X1426">
        <v>9707031480</v>
      </c>
      <c r="Y1426">
        <v>772901001</v>
      </c>
      <c r="Z1426" s="3">
        <v>45910.353472222225</v>
      </c>
      <c r="AA1426" s="6">
        <v>2030</v>
      </c>
      <c r="AB1426" s="1">
        <v>49309</v>
      </c>
    </row>
    <row r="1427" spans="1:28" x14ac:dyDescent="0.3">
      <c r="A1427" t="s">
        <v>4898</v>
      </c>
      <c r="B1427" s="6" t="s">
        <v>2353</v>
      </c>
      <c r="C1427" s="6" t="s">
        <v>2354</v>
      </c>
      <c r="D1427">
        <v>2801123720</v>
      </c>
      <c r="E1427">
        <v>280101001</v>
      </c>
      <c r="F1427" t="s">
        <v>4899</v>
      </c>
      <c r="G1427" t="s">
        <v>4900</v>
      </c>
      <c r="H1427" s="1">
        <v>45891</v>
      </c>
      <c r="J1427" s="8">
        <v>45909</v>
      </c>
      <c r="K1427" s="1" t="s">
        <v>4530</v>
      </c>
      <c r="L1427" t="s">
        <v>4901</v>
      </c>
      <c r="M1427" t="s">
        <v>4902</v>
      </c>
      <c r="N1427" s="12">
        <v>425614247.75</v>
      </c>
      <c r="O1427" t="s">
        <v>3613</v>
      </c>
      <c r="P1427" s="6" t="s">
        <v>2277</v>
      </c>
      <c r="R1427" t="s">
        <v>38</v>
      </c>
      <c r="S1427" s="9">
        <v>4897.6000000000004</v>
      </c>
      <c r="T1427" s="9">
        <v>8525</v>
      </c>
      <c r="U1427" s="9">
        <v>41752040</v>
      </c>
      <c r="V1427" s="6" t="s">
        <v>4731</v>
      </c>
      <c r="W1427" t="s">
        <v>2503</v>
      </c>
      <c r="X1427">
        <v>9707031480</v>
      </c>
      <c r="Y1427">
        <v>772901001</v>
      </c>
      <c r="Z1427" s="3">
        <v>45910.353472222225</v>
      </c>
      <c r="AA1427" s="6">
        <v>2031</v>
      </c>
      <c r="AB1427" s="1">
        <v>49309</v>
      </c>
    </row>
    <row r="1428" spans="1:28" x14ac:dyDescent="0.3">
      <c r="A1428" t="s">
        <v>4898</v>
      </c>
      <c r="B1428" s="6" t="s">
        <v>2353</v>
      </c>
      <c r="C1428" s="6" t="s">
        <v>2354</v>
      </c>
      <c r="D1428">
        <v>2801123720</v>
      </c>
      <c r="E1428">
        <v>280101001</v>
      </c>
      <c r="F1428" t="s">
        <v>4899</v>
      </c>
      <c r="G1428" t="s">
        <v>4900</v>
      </c>
      <c r="H1428" s="1">
        <v>45891</v>
      </c>
      <c r="J1428" s="8">
        <v>45909</v>
      </c>
      <c r="K1428" s="1" t="s">
        <v>4530</v>
      </c>
      <c r="L1428" t="s">
        <v>4901</v>
      </c>
      <c r="M1428" t="s">
        <v>4902</v>
      </c>
      <c r="N1428" s="12">
        <v>425614247.75</v>
      </c>
      <c r="O1428" t="s">
        <v>3613</v>
      </c>
      <c r="P1428" s="6" t="s">
        <v>2277</v>
      </c>
      <c r="R1428" t="s">
        <v>38</v>
      </c>
      <c r="S1428" s="9">
        <v>4186.5</v>
      </c>
      <c r="T1428" s="9">
        <v>16050</v>
      </c>
      <c r="U1428" s="9">
        <v>67193325</v>
      </c>
      <c r="V1428" s="6" t="s">
        <v>4731</v>
      </c>
      <c r="W1428" t="s">
        <v>2503</v>
      </c>
      <c r="X1428">
        <v>9707031480</v>
      </c>
      <c r="Y1428">
        <v>772901001</v>
      </c>
      <c r="Z1428" s="3">
        <v>45910.353472222225</v>
      </c>
      <c r="AA1428" s="6">
        <v>2032</v>
      </c>
      <c r="AB1428" s="1">
        <v>49309</v>
      </c>
    </row>
    <row r="1429" spans="1:28" x14ac:dyDescent="0.3">
      <c r="A1429" t="s">
        <v>4898</v>
      </c>
      <c r="B1429" s="6" t="s">
        <v>2353</v>
      </c>
      <c r="C1429" s="6" t="s">
        <v>2354</v>
      </c>
      <c r="D1429">
        <v>2801123720</v>
      </c>
      <c r="E1429">
        <v>280101001</v>
      </c>
      <c r="F1429" t="s">
        <v>4899</v>
      </c>
      <c r="G1429" t="s">
        <v>4900</v>
      </c>
      <c r="H1429" s="1">
        <v>45891</v>
      </c>
      <c r="J1429" s="8">
        <v>45909</v>
      </c>
      <c r="K1429" s="1" t="s">
        <v>4530</v>
      </c>
      <c r="L1429" t="s">
        <v>4901</v>
      </c>
      <c r="M1429" t="s">
        <v>4902</v>
      </c>
      <c r="N1429" s="12">
        <v>425614247.75</v>
      </c>
      <c r="O1429" t="s">
        <v>3613</v>
      </c>
      <c r="P1429" s="6" t="s">
        <v>2277</v>
      </c>
      <c r="R1429" t="s">
        <v>38</v>
      </c>
      <c r="S1429" s="9">
        <v>4353.95</v>
      </c>
      <c r="T1429" s="9">
        <v>16375</v>
      </c>
      <c r="U1429" s="9">
        <v>71295931.25</v>
      </c>
      <c r="V1429" s="6" t="s">
        <v>4731</v>
      </c>
      <c r="W1429" t="s">
        <v>2503</v>
      </c>
      <c r="X1429">
        <v>9707031480</v>
      </c>
      <c r="Y1429">
        <v>772901001</v>
      </c>
      <c r="Z1429" s="3">
        <v>45910.353472222225</v>
      </c>
      <c r="AA1429" s="6">
        <v>2033</v>
      </c>
      <c r="AB1429" s="1">
        <v>49309</v>
      </c>
    </row>
    <row r="1430" spans="1:28" x14ac:dyDescent="0.3">
      <c r="A1430" t="s">
        <v>4898</v>
      </c>
      <c r="B1430" s="6" t="s">
        <v>2353</v>
      </c>
      <c r="C1430" s="6" t="s">
        <v>2354</v>
      </c>
      <c r="D1430">
        <v>2801123720</v>
      </c>
      <c r="E1430">
        <v>280101001</v>
      </c>
      <c r="F1430" t="s">
        <v>4899</v>
      </c>
      <c r="G1430" t="s">
        <v>4900</v>
      </c>
      <c r="H1430" s="1">
        <v>45891</v>
      </c>
      <c r="J1430" s="8">
        <v>45909</v>
      </c>
      <c r="K1430" s="1" t="s">
        <v>4530</v>
      </c>
      <c r="L1430" t="s">
        <v>4901</v>
      </c>
      <c r="M1430" t="s">
        <v>4902</v>
      </c>
      <c r="N1430" s="12">
        <v>425614247.75</v>
      </c>
      <c r="O1430" t="s">
        <v>3613</v>
      </c>
      <c r="P1430" s="6" t="s">
        <v>2277</v>
      </c>
      <c r="R1430" t="s">
        <v>38</v>
      </c>
      <c r="S1430" s="9">
        <v>5093.5</v>
      </c>
      <c r="T1430" s="9">
        <v>8525</v>
      </c>
      <c r="U1430" s="9">
        <v>43422087.5</v>
      </c>
      <c r="V1430" s="6" t="s">
        <v>4731</v>
      </c>
      <c r="W1430" t="s">
        <v>2503</v>
      </c>
      <c r="X1430">
        <v>9707031480</v>
      </c>
      <c r="Y1430">
        <v>772901001</v>
      </c>
      <c r="Z1430" s="3">
        <v>45910.353472222225</v>
      </c>
      <c r="AA1430" s="6">
        <v>2034</v>
      </c>
      <c r="AB1430" s="1">
        <v>49309</v>
      </c>
    </row>
    <row r="1431" spans="1:28" x14ac:dyDescent="0.3">
      <c r="A1431" t="s">
        <v>4903</v>
      </c>
      <c r="B1431" s="6" t="s">
        <v>491</v>
      </c>
      <c r="C1431" s="6" t="s">
        <v>492</v>
      </c>
      <c r="D1431">
        <v>2724041260</v>
      </c>
      <c r="E1431">
        <v>272101001</v>
      </c>
      <c r="F1431" t="s">
        <v>4899</v>
      </c>
      <c r="G1431" t="s">
        <v>4900</v>
      </c>
      <c r="H1431" s="1">
        <v>45891</v>
      </c>
      <c r="I1431" t="s">
        <v>4904</v>
      </c>
      <c r="J1431" s="8">
        <v>45909</v>
      </c>
      <c r="K1431" s="1" t="s">
        <v>4530</v>
      </c>
      <c r="L1431" t="s">
        <v>4900</v>
      </c>
      <c r="M1431" t="s">
        <v>4902</v>
      </c>
      <c r="N1431" s="12">
        <v>859832848.07000005</v>
      </c>
      <c r="O1431" t="s">
        <v>3613</v>
      </c>
      <c r="P1431" s="6" t="s">
        <v>2277</v>
      </c>
      <c r="R1431" t="s">
        <v>38</v>
      </c>
      <c r="S1431" s="9">
        <v>4897.59</v>
      </c>
      <c r="T1431" s="9">
        <v>25688</v>
      </c>
      <c r="U1431" s="9">
        <v>125809291.92</v>
      </c>
      <c r="V1431" s="6" t="s">
        <v>4731</v>
      </c>
      <c r="W1431" t="s">
        <v>2503</v>
      </c>
      <c r="X1431">
        <v>9707031480</v>
      </c>
      <c r="Y1431">
        <v>772901001</v>
      </c>
      <c r="Z1431" s="3">
        <v>45916.21875</v>
      </c>
      <c r="AA1431" s="6">
        <v>2027</v>
      </c>
      <c r="AB1431" s="1">
        <v>49309</v>
      </c>
    </row>
    <row r="1432" spans="1:28" x14ac:dyDescent="0.3">
      <c r="A1432" t="s">
        <v>4903</v>
      </c>
      <c r="B1432" s="6" t="s">
        <v>491</v>
      </c>
      <c r="C1432" s="6" t="s">
        <v>492</v>
      </c>
      <c r="D1432">
        <v>2724041260</v>
      </c>
      <c r="E1432">
        <v>272101001</v>
      </c>
      <c r="F1432" t="s">
        <v>4899</v>
      </c>
      <c r="G1432" t="s">
        <v>4900</v>
      </c>
      <c r="H1432" s="1">
        <v>45891</v>
      </c>
      <c r="I1432" t="s">
        <v>4904</v>
      </c>
      <c r="J1432" s="8">
        <v>45909</v>
      </c>
      <c r="K1432" s="1" t="s">
        <v>4530</v>
      </c>
      <c r="L1432" t="s">
        <v>4900</v>
      </c>
      <c r="M1432" t="s">
        <v>4902</v>
      </c>
      <c r="N1432" s="12">
        <v>859832848.07000005</v>
      </c>
      <c r="O1432" t="s">
        <v>3613</v>
      </c>
      <c r="P1432" s="6" t="s">
        <v>2277</v>
      </c>
      <c r="R1432" t="s">
        <v>38</v>
      </c>
      <c r="S1432" s="9">
        <v>5093.5</v>
      </c>
      <c r="T1432" s="9">
        <v>26200</v>
      </c>
      <c r="U1432" s="9">
        <v>133449700</v>
      </c>
      <c r="V1432" s="6" t="s">
        <v>4731</v>
      </c>
      <c r="W1432" t="s">
        <v>2503</v>
      </c>
      <c r="X1432">
        <v>9707031480</v>
      </c>
      <c r="Y1432">
        <v>772901001</v>
      </c>
      <c r="Z1432" s="3">
        <v>45916.21875</v>
      </c>
      <c r="AA1432" s="6">
        <v>2028</v>
      </c>
      <c r="AB1432" s="1">
        <v>49309</v>
      </c>
    </row>
    <row r="1433" spans="1:28" x14ac:dyDescent="0.3">
      <c r="A1433" t="s">
        <v>4903</v>
      </c>
      <c r="B1433" s="6" t="s">
        <v>491</v>
      </c>
      <c r="C1433" s="6" t="s">
        <v>492</v>
      </c>
      <c r="D1433">
        <v>2724041260</v>
      </c>
      <c r="E1433">
        <v>272101001</v>
      </c>
      <c r="F1433" t="s">
        <v>4899</v>
      </c>
      <c r="G1433" t="s">
        <v>4900</v>
      </c>
      <c r="H1433" s="1">
        <v>45891</v>
      </c>
      <c r="I1433" t="s">
        <v>4904</v>
      </c>
      <c r="J1433" s="8">
        <v>45909</v>
      </c>
      <c r="K1433" s="1" t="s">
        <v>4530</v>
      </c>
      <c r="L1433" t="s">
        <v>4900</v>
      </c>
      <c r="M1433" t="s">
        <v>4902</v>
      </c>
      <c r="N1433" s="12">
        <v>859832848.07000005</v>
      </c>
      <c r="O1433" t="s">
        <v>3613</v>
      </c>
      <c r="P1433" s="6" t="s">
        <v>2277</v>
      </c>
      <c r="R1433" t="s">
        <v>38</v>
      </c>
      <c r="S1433" s="9">
        <v>3870.64</v>
      </c>
      <c r="T1433" s="9">
        <v>22076</v>
      </c>
      <c r="U1433" s="9">
        <v>85448248.640000001</v>
      </c>
      <c r="V1433" s="6" t="s">
        <v>4731</v>
      </c>
      <c r="W1433" t="s">
        <v>2503</v>
      </c>
      <c r="X1433">
        <v>9707031480</v>
      </c>
      <c r="Y1433">
        <v>772901001</v>
      </c>
      <c r="Z1433" s="3">
        <v>45916.21875</v>
      </c>
      <c r="AA1433" s="6">
        <v>2029</v>
      </c>
      <c r="AB1433" s="1">
        <v>49309</v>
      </c>
    </row>
    <row r="1434" spans="1:28" x14ac:dyDescent="0.3">
      <c r="A1434" t="s">
        <v>4903</v>
      </c>
      <c r="B1434" s="6" t="s">
        <v>491</v>
      </c>
      <c r="C1434" s="6" t="s">
        <v>492</v>
      </c>
      <c r="D1434">
        <v>2724041260</v>
      </c>
      <c r="E1434">
        <v>272101001</v>
      </c>
      <c r="F1434" t="s">
        <v>4899</v>
      </c>
      <c r="G1434" t="s">
        <v>4900</v>
      </c>
      <c r="H1434" s="1">
        <v>45891</v>
      </c>
      <c r="I1434" t="s">
        <v>4904</v>
      </c>
      <c r="J1434" s="8">
        <v>45909</v>
      </c>
      <c r="K1434" s="1" t="s">
        <v>4530</v>
      </c>
      <c r="L1434" t="s">
        <v>4900</v>
      </c>
      <c r="M1434" t="s">
        <v>4902</v>
      </c>
      <c r="N1434" s="12">
        <v>859832848.07000005</v>
      </c>
      <c r="O1434" t="s">
        <v>3613</v>
      </c>
      <c r="P1434" s="6" t="s">
        <v>2277</v>
      </c>
      <c r="R1434" t="s">
        <v>38</v>
      </c>
      <c r="S1434" s="9">
        <v>4186.49</v>
      </c>
      <c r="T1434" s="9">
        <v>22973</v>
      </c>
      <c r="U1434" s="9">
        <v>96176234.769999996</v>
      </c>
      <c r="V1434" s="6" t="s">
        <v>4731</v>
      </c>
      <c r="W1434" t="s">
        <v>2503</v>
      </c>
      <c r="X1434">
        <v>9707031480</v>
      </c>
      <c r="Y1434">
        <v>772901001</v>
      </c>
      <c r="Z1434" s="3">
        <v>45916.21875</v>
      </c>
      <c r="AA1434" s="6">
        <v>2030</v>
      </c>
      <c r="AB1434" s="1">
        <v>49309</v>
      </c>
    </row>
    <row r="1435" spans="1:28" x14ac:dyDescent="0.3">
      <c r="A1435" t="s">
        <v>4903</v>
      </c>
      <c r="B1435" s="6" t="s">
        <v>491</v>
      </c>
      <c r="C1435" s="6" t="s">
        <v>492</v>
      </c>
      <c r="D1435">
        <v>2724041260</v>
      </c>
      <c r="E1435">
        <v>272101001</v>
      </c>
      <c r="F1435" t="s">
        <v>4899</v>
      </c>
      <c r="G1435" t="s">
        <v>4900</v>
      </c>
      <c r="H1435" s="1">
        <v>45891</v>
      </c>
      <c r="I1435" t="s">
        <v>4904</v>
      </c>
      <c r="J1435" s="8">
        <v>45909</v>
      </c>
      <c r="K1435" s="1" t="s">
        <v>4530</v>
      </c>
      <c r="L1435" t="s">
        <v>4900</v>
      </c>
      <c r="M1435" t="s">
        <v>4902</v>
      </c>
      <c r="N1435" s="12">
        <v>859832848.07000005</v>
      </c>
      <c r="O1435" t="s">
        <v>3613</v>
      </c>
      <c r="P1435" s="6" t="s">
        <v>2277</v>
      </c>
      <c r="R1435" t="s">
        <v>38</v>
      </c>
      <c r="S1435" s="9">
        <v>4528.1000000000004</v>
      </c>
      <c r="T1435" s="9">
        <v>24123</v>
      </c>
      <c r="U1435" s="9">
        <v>109231356.3</v>
      </c>
      <c r="V1435" s="6" t="s">
        <v>4731</v>
      </c>
      <c r="W1435" t="s">
        <v>2503</v>
      </c>
      <c r="X1435">
        <v>9707031480</v>
      </c>
      <c r="Y1435">
        <v>772901001</v>
      </c>
      <c r="Z1435" s="3">
        <v>45916.21875</v>
      </c>
      <c r="AA1435" s="6">
        <v>2031</v>
      </c>
      <c r="AB1435" s="1">
        <v>49309</v>
      </c>
    </row>
    <row r="1436" spans="1:28" x14ac:dyDescent="0.3">
      <c r="A1436" t="s">
        <v>4903</v>
      </c>
      <c r="B1436" s="6" t="s">
        <v>491</v>
      </c>
      <c r="C1436" s="6" t="s">
        <v>492</v>
      </c>
      <c r="D1436">
        <v>2724041260</v>
      </c>
      <c r="E1436">
        <v>272101001</v>
      </c>
      <c r="F1436" t="s">
        <v>4899</v>
      </c>
      <c r="G1436" t="s">
        <v>4900</v>
      </c>
      <c r="H1436" s="1">
        <v>45891</v>
      </c>
      <c r="I1436" t="s">
        <v>4904</v>
      </c>
      <c r="J1436" s="8">
        <v>45909</v>
      </c>
      <c r="K1436" s="1" t="s">
        <v>4530</v>
      </c>
      <c r="L1436" t="s">
        <v>4900</v>
      </c>
      <c r="M1436" t="s">
        <v>4902</v>
      </c>
      <c r="N1436" s="12">
        <v>859832848.07000005</v>
      </c>
      <c r="O1436" t="s">
        <v>3613</v>
      </c>
      <c r="P1436" s="6" t="s">
        <v>2277</v>
      </c>
      <c r="R1436" t="s">
        <v>38</v>
      </c>
      <c r="S1436" s="9">
        <v>4709.22</v>
      </c>
      <c r="T1436" s="9">
        <v>24859</v>
      </c>
      <c r="U1436" s="9">
        <v>117066499.98</v>
      </c>
      <c r="V1436" s="6" t="s">
        <v>4731</v>
      </c>
      <c r="W1436" t="s">
        <v>2503</v>
      </c>
      <c r="X1436">
        <v>9707031480</v>
      </c>
      <c r="Y1436">
        <v>772901001</v>
      </c>
      <c r="Z1436" s="3">
        <v>45916.21875</v>
      </c>
      <c r="AA1436" s="6">
        <v>2032</v>
      </c>
      <c r="AB1436" s="1">
        <v>49309</v>
      </c>
    </row>
    <row r="1437" spans="1:28" x14ac:dyDescent="0.3">
      <c r="A1437" t="s">
        <v>4903</v>
      </c>
      <c r="B1437" s="6" t="s">
        <v>491</v>
      </c>
      <c r="C1437" s="6" t="s">
        <v>492</v>
      </c>
      <c r="D1437">
        <v>2724041260</v>
      </c>
      <c r="E1437">
        <v>272101001</v>
      </c>
      <c r="F1437" t="s">
        <v>4899</v>
      </c>
      <c r="G1437" t="s">
        <v>4900</v>
      </c>
      <c r="H1437" s="1">
        <v>45891</v>
      </c>
      <c r="I1437" t="s">
        <v>4904</v>
      </c>
      <c r="J1437" s="8">
        <v>45909</v>
      </c>
      <c r="K1437" s="1" t="s">
        <v>4530</v>
      </c>
      <c r="L1437" t="s">
        <v>4900</v>
      </c>
      <c r="M1437" t="s">
        <v>4902</v>
      </c>
      <c r="N1437" s="12">
        <v>859832848.07000005</v>
      </c>
      <c r="O1437" t="s">
        <v>3613</v>
      </c>
      <c r="P1437" s="6" t="s">
        <v>2277</v>
      </c>
      <c r="R1437" t="s">
        <v>38</v>
      </c>
      <c r="S1437" s="9">
        <v>4353.95</v>
      </c>
      <c r="T1437" s="9">
        <v>23433</v>
      </c>
      <c r="U1437" s="9">
        <v>102026110.34999999</v>
      </c>
      <c r="V1437" s="6" t="s">
        <v>4731</v>
      </c>
      <c r="W1437" t="s">
        <v>2503</v>
      </c>
      <c r="X1437">
        <v>9707031480</v>
      </c>
      <c r="Y1437">
        <v>772901001</v>
      </c>
      <c r="Z1437" s="3">
        <v>45916.21875</v>
      </c>
      <c r="AA1437" s="6">
        <v>2033</v>
      </c>
      <c r="AB1437" s="1">
        <v>49309</v>
      </c>
    </row>
    <row r="1438" spans="1:28" x14ac:dyDescent="0.3">
      <c r="A1438" t="s">
        <v>4903</v>
      </c>
      <c r="B1438" s="6" t="s">
        <v>491</v>
      </c>
      <c r="C1438" s="6" t="s">
        <v>492</v>
      </c>
      <c r="D1438">
        <v>2724041260</v>
      </c>
      <c r="E1438">
        <v>272101001</v>
      </c>
      <c r="F1438" t="s">
        <v>4899</v>
      </c>
      <c r="G1438" t="s">
        <v>4900</v>
      </c>
      <c r="H1438" s="1">
        <v>45891</v>
      </c>
      <c r="I1438" t="s">
        <v>4904</v>
      </c>
      <c r="J1438" s="8">
        <v>45909</v>
      </c>
      <c r="K1438" s="1" t="s">
        <v>4530</v>
      </c>
      <c r="L1438" t="s">
        <v>4900</v>
      </c>
      <c r="M1438" t="s">
        <v>4902</v>
      </c>
      <c r="N1438" s="12">
        <v>859832848.07000005</v>
      </c>
      <c r="O1438" t="s">
        <v>3613</v>
      </c>
      <c r="P1438" s="6" t="s">
        <v>2277</v>
      </c>
      <c r="R1438" t="s">
        <v>38</v>
      </c>
      <c r="S1438" s="9">
        <v>4025.47</v>
      </c>
      <c r="T1438" s="9">
        <v>22513</v>
      </c>
      <c r="U1438" s="9">
        <v>90625406.109999999</v>
      </c>
      <c r="V1438" s="6" t="s">
        <v>4731</v>
      </c>
      <c r="W1438" t="s">
        <v>2503</v>
      </c>
      <c r="X1438">
        <v>9707031480</v>
      </c>
      <c r="Y1438">
        <v>772901001</v>
      </c>
      <c r="Z1438" s="3">
        <v>45916.21875</v>
      </c>
      <c r="AA1438" s="6">
        <v>2034</v>
      </c>
      <c r="AB1438" s="1">
        <v>49309</v>
      </c>
    </row>
    <row r="1439" spans="1:28" x14ac:dyDescent="0.3">
      <c r="A1439" t="s">
        <v>4905</v>
      </c>
      <c r="B1439" s="6" t="s">
        <v>4906</v>
      </c>
      <c r="C1439" s="6" t="s">
        <v>1030</v>
      </c>
      <c r="D1439">
        <v>7536095695</v>
      </c>
      <c r="E1439">
        <v>753601001</v>
      </c>
      <c r="F1439" t="s">
        <v>4899</v>
      </c>
      <c r="G1439" t="s">
        <v>4900</v>
      </c>
      <c r="H1439" s="1">
        <v>45891</v>
      </c>
      <c r="J1439" s="8">
        <v>45909</v>
      </c>
      <c r="K1439" s="1" t="s">
        <v>4530</v>
      </c>
      <c r="L1439" t="s">
        <v>4907</v>
      </c>
      <c r="M1439" t="s">
        <v>4902</v>
      </c>
      <c r="N1439" s="12">
        <v>363853921.92000002</v>
      </c>
      <c r="O1439" t="s">
        <v>3613</v>
      </c>
      <c r="P1439" s="6" t="s">
        <v>2277</v>
      </c>
      <c r="R1439" t="s">
        <v>38</v>
      </c>
      <c r="S1439" s="9">
        <v>5093.5</v>
      </c>
      <c r="T1439" s="9">
        <v>10202</v>
      </c>
      <c r="U1439" s="9">
        <v>51963887</v>
      </c>
      <c r="V1439" s="6" t="s">
        <v>4731</v>
      </c>
      <c r="W1439" t="s">
        <v>2503</v>
      </c>
      <c r="X1439">
        <v>9707031480</v>
      </c>
      <c r="Y1439">
        <v>772901001</v>
      </c>
      <c r="Z1439" s="3">
        <v>45940.147222222222</v>
      </c>
      <c r="AA1439" s="6">
        <v>2027</v>
      </c>
      <c r="AB1439" s="1">
        <v>49309</v>
      </c>
    </row>
    <row r="1440" spans="1:28" x14ac:dyDescent="0.3">
      <c r="A1440" t="s">
        <v>4905</v>
      </c>
      <c r="B1440" s="6" t="s">
        <v>4906</v>
      </c>
      <c r="C1440" s="6" t="s">
        <v>1030</v>
      </c>
      <c r="D1440">
        <v>7536095695</v>
      </c>
      <c r="E1440">
        <v>753601001</v>
      </c>
      <c r="F1440" t="s">
        <v>4899</v>
      </c>
      <c r="G1440" t="s">
        <v>4900</v>
      </c>
      <c r="H1440" s="1">
        <v>45891</v>
      </c>
      <c r="J1440" s="8">
        <v>45909</v>
      </c>
      <c r="K1440" s="1" t="s">
        <v>4530</v>
      </c>
      <c r="L1440" t="s">
        <v>4907</v>
      </c>
      <c r="M1440" t="s">
        <v>4902</v>
      </c>
      <c r="N1440" s="12">
        <v>363853921.92000002</v>
      </c>
      <c r="O1440" t="s">
        <v>3613</v>
      </c>
      <c r="P1440" s="6" t="s">
        <v>2277</v>
      </c>
      <c r="R1440" t="s">
        <v>38</v>
      </c>
      <c r="S1440" s="9">
        <v>3870.64</v>
      </c>
      <c r="T1440" s="9">
        <v>10202</v>
      </c>
      <c r="U1440" s="9">
        <v>39488269.280000001</v>
      </c>
      <c r="V1440" s="6" t="s">
        <v>4731</v>
      </c>
      <c r="W1440" t="s">
        <v>2503</v>
      </c>
      <c r="X1440">
        <v>9707031480</v>
      </c>
      <c r="Y1440">
        <v>772901001</v>
      </c>
      <c r="Z1440" s="3">
        <v>45940.147222222222</v>
      </c>
      <c r="AA1440" s="6">
        <v>2028</v>
      </c>
      <c r="AB1440" s="1">
        <v>49309</v>
      </c>
    </row>
    <row r="1441" spans="1:28" x14ac:dyDescent="0.3">
      <c r="A1441" t="s">
        <v>4905</v>
      </c>
      <c r="B1441" s="6" t="s">
        <v>4906</v>
      </c>
      <c r="C1441" s="6" t="s">
        <v>1030</v>
      </c>
      <c r="D1441">
        <v>7536095695</v>
      </c>
      <c r="E1441">
        <v>753601001</v>
      </c>
      <c r="F1441" t="s">
        <v>4899</v>
      </c>
      <c r="G1441" t="s">
        <v>4900</v>
      </c>
      <c r="H1441" s="1">
        <v>45891</v>
      </c>
      <c r="J1441" s="8">
        <v>45909</v>
      </c>
      <c r="K1441" s="1" t="s">
        <v>4530</v>
      </c>
      <c r="L1441" t="s">
        <v>4907</v>
      </c>
      <c r="M1441" t="s">
        <v>4902</v>
      </c>
      <c r="N1441" s="12">
        <v>363853921.92000002</v>
      </c>
      <c r="O1441" t="s">
        <v>3613</v>
      </c>
      <c r="P1441" s="6" t="s">
        <v>2277</v>
      </c>
      <c r="R1441" t="s">
        <v>38</v>
      </c>
      <c r="S1441" s="9">
        <v>4025.47</v>
      </c>
      <c r="T1441" s="9">
        <v>10202</v>
      </c>
      <c r="U1441" s="9">
        <v>41067844.939999998</v>
      </c>
      <c r="V1441" s="6" t="s">
        <v>4731</v>
      </c>
      <c r="W1441" t="s">
        <v>2503</v>
      </c>
      <c r="X1441">
        <v>9707031480</v>
      </c>
      <c r="Y1441">
        <v>772901001</v>
      </c>
      <c r="Z1441" s="3">
        <v>45940.147222222222</v>
      </c>
      <c r="AA1441" s="6">
        <v>2029</v>
      </c>
      <c r="AB1441" s="1">
        <v>49309</v>
      </c>
    </row>
    <row r="1442" spans="1:28" x14ac:dyDescent="0.3">
      <c r="A1442" t="s">
        <v>4905</v>
      </c>
      <c r="B1442" s="6" t="s">
        <v>4906</v>
      </c>
      <c r="C1442" s="6" t="s">
        <v>1030</v>
      </c>
      <c r="D1442">
        <v>7536095695</v>
      </c>
      <c r="E1442">
        <v>753601001</v>
      </c>
      <c r="F1442" t="s">
        <v>4899</v>
      </c>
      <c r="G1442" t="s">
        <v>4900</v>
      </c>
      <c r="H1442" s="1">
        <v>45891</v>
      </c>
      <c r="J1442" s="8">
        <v>45909</v>
      </c>
      <c r="K1442" s="1" t="s">
        <v>4530</v>
      </c>
      <c r="L1442" t="s">
        <v>4907</v>
      </c>
      <c r="M1442" t="s">
        <v>4902</v>
      </c>
      <c r="N1442" s="12">
        <v>363853921.92000002</v>
      </c>
      <c r="O1442" t="s">
        <v>3613</v>
      </c>
      <c r="P1442" s="6" t="s">
        <v>2277</v>
      </c>
      <c r="R1442" t="s">
        <v>38</v>
      </c>
      <c r="S1442" s="9">
        <v>4186.49</v>
      </c>
      <c r="T1442" s="9">
        <v>10202</v>
      </c>
      <c r="U1442" s="9">
        <v>42710570.979999997</v>
      </c>
      <c r="V1442" s="6" t="s">
        <v>4731</v>
      </c>
      <c r="W1442" t="s">
        <v>2503</v>
      </c>
      <c r="X1442">
        <v>9707031480</v>
      </c>
      <c r="Y1442">
        <v>772901001</v>
      </c>
      <c r="Z1442" s="3">
        <v>45940.147222222222</v>
      </c>
      <c r="AA1442" s="6">
        <v>2030</v>
      </c>
      <c r="AB1442" s="1">
        <v>49309</v>
      </c>
    </row>
    <row r="1443" spans="1:28" x14ac:dyDescent="0.3">
      <c r="A1443" t="s">
        <v>4905</v>
      </c>
      <c r="B1443" s="6" t="s">
        <v>4906</v>
      </c>
      <c r="C1443" s="6" t="s">
        <v>1030</v>
      </c>
      <c r="D1443">
        <v>7536095695</v>
      </c>
      <c r="E1443">
        <v>753601001</v>
      </c>
      <c r="F1443" t="s">
        <v>4899</v>
      </c>
      <c r="G1443" t="s">
        <v>4900</v>
      </c>
      <c r="H1443" s="1">
        <v>45891</v>
      </c>
      <c r="J1443" s="8">
        <v>45909</v>
      </c>
      <c r="K1443" s="1" t="s">
        <v>4530</v>
      </c>
      <c r="L1443" t="s">
        <v>4907</v>
      </c>
      <c r="M1443" t="s">
        <v>4902</v>
      </c>
      <c r="N1443" s="12">
        <v>363853921.92000002</v>
      </c>
      <c r="O1443" t="s">
        <v>3613</v>
      </c>
      <c r="P1443" s="6" t="s">
        <v>2277</v>
      </c>
      <c r="R1443" t="s">
        <v>38</v>
      </c>
      <c r="S1443" s="9">
        <v>4353.95</v>
      </c>
      <c r="T1443" s="9">
        <v>10202</v>
      </c>
      <c r="U1443" s="9">
        <v>44418997.899999999</v>
      </c>
      <c r="V1443" s="6" t="s">
        <v>4731</v>
      </c>
      <c r="W1443" t="s">
        <v>2503</v>
      </c>
      <c r="X1443">
        <v>9707031480</v>
      </c>
      <c r="Y1443">
        <v>772901001</v>
      </c>
      <c r="Z1443" s="3">
        <v>45940.147222222222</v>
      </c>
      <c r="AA1443" s="6">
        <v>2031</v>
      </c>
      <c r="AB1443" s="1">
        <v>49309</v>
      </c>
    </row>
    <row r="1444" spans="1:28" x14ac:dyDescent="0.3">
      <c r="A1444" t="s">
        <v>4905</v>
      </c>
      <c r="B1444" s="6" t="s">
        <v>4906</v>
      </c>
      <c r="C1444" s="6" t="s">
        <v>1030</v>
      </c>
      <c r="D1444">
        <v>7536095695</v>
      </c>
      <c r="E1444">
        <v>753601001</v>
      </c>
      <c r="F1444" t="s">
        <v>4899</v>
      </c>
      <c r="G1444" t="s">
        <v>4900</v>
      </c>
      <c r="H1444" s="1">
        <v>45891</v>
      </c>
      <c r="J1444" s="8">
        <v>45909</v>
      </c>
      <c r="K1444" s="1" t="s">
        <v>4530</v>
      </c>
      <c r="L1444" t="s">
        <v>4907</v>
      </c>
      <c r="M1444" t="s">
        <v>4902</v>
      </c>
      <c r="N1444" s="12">
        <v>363853921.92000002</v>
      </c>
      <c r="O1444" t="s">
        <v>3613</v>
      </c>
      <c r="P1444" s="6" t="s">
        <v>2277</v>
      </c>
      <c r="R1444" t="s">
        <v>38</v>
      </c>
      <c r="S1444" s="9">
        <v>4528.1000000000004</v>
      </c>
      <c r="T1444" s="9">
        <v>10202</v>
      </c>
      <c r="U1444" s="9">
        <v>46195676.200000003</v>
      </c>
      <c r="V1444" s="6" t="s">
        <v>4731</v>
      </c>
      <c r="W1444" t="s">
        <v>2503</v>
      </c>
      <c r="X1444">
        <v>9707031480</v>
      </c>
      <c r="Y1444">
        <v>772901001</v>
      </c>
      <c r="Z1444" s="3">
        <v>45940.147222222222</v>
      </c>
      <c r="AA1444" s="6">
        <v>2032</v>
      </c>
      <c r="AB1444" s="1">
        <v>49309</v>
      </c>
    </row>
    <row r="1445" spans="1:28" x14ac:dyDescent="0.3">
      <c r="A1445" t="s">
        <v>4905</v>
      </c>
      <c r="B1445" s="6" t="s">
        <v>4906</v>
      </c>
      <c r="C1445" s="6" t="s">
        <v>1030</v>
      </c>
      <c r="D1445">
        <v>7536095695</v>
      </c>
      <c r="E1445">
        <v>753601001</v>
      </c>
      <c r="F1445" t="s">
        <v>4899</v>
      </c>
      <c r="G1445" t="s">
        <v>4900</v>
      </c>
      <c r="H1445" s="1">
        <v>45891</v>
      </c>
      <c r="J1445" s="8">
        <v>45909</v>
      </c>
      <c r="K1445" s="1" t="s">
        <v>4530</v>
      </c>
      <c r="L1445" t="s">
        <v>4907</v>
      </c>
      <c r="M1445" t="s">
        <v>4902</v>
      </c>
      <c r="N1445" s="12">
        <v>363853921.92000002</v>
      </c>
      <c r="O1445" t="s">
        <v>3613</v>
      </c>
      <c r="P1445" s="6" t="s">
        <v>2277</v>
      </c>
      <c r="R1445" t="s">
        <v>38</v>
      </c>
      <c r="S1445" s="9">
        <v>4709.22</v>
      </c>
      <c r="T1445" s="9">
        <v>10202</v>
      </c>
      <c r="U1445" s="9">
        <v>48043462.439999998</v>
      </c>
      <c r="V1445" s="6" t="s">
        <v>4731</v>
      </c>
      <c r="W1445" t="s">
        <v>2503</v>
      </c>
      <c r="X1445">
        <v>9707031480</v>
      </c>
      <c r="Y1445">
        <v>772901001</v>
      </c>
      <c r="Z1445" s="3">
        <v>45940.147222222222</v>
      </c>
      <c r="AA1445" s="6">
        <v>2033</v>
      </c>
      <c r="AB1445" s="1">
        <v>49309</v>
      </c>
    </row>
    <row r="1446" spans="1:28" x14ac:dyDescent="0.3">
      <c r="A1446" t="s">
        <v>4905</v>
      </c>
      <c r="B1446" s="6" t="s">
        <v>4906</v>
      </c>
      <c r="C1446" s="6" t="s">
        <v>1030</v>
      </c>
      <c r="D1446">
        <v>7536095695</v>
      </c>
      <c r="E1446">
        <v>753601001</v>
      </c>
      <c r="F1446" t="s">
        <v>4899</v>
      </c>
      <c r="G1446" t="s">
        <v>4900</v>
      </c>
      <c r="H1446" s="1">
        <v>45891</v>
      </c>
      <c r="J1446" s="8">
        <v>45909</v>
      </c>
      <c r="K1446" s="1" t="s">
        <v>4530</v>
      </c>
      <c r="L1446" t="s">
        <v>4907</v>
      </c>
      <c r="M1446" t="s">
        <v>4902</v>
      </c>
      <c r="N1446" s="12">
        <v>363853921.92000002</v>
      </c>
      <c r="O1446" t="s">
        <v>3613</v>
      </c>
      <c r="P1446" s="6" t="s">
        <v>2277</v>
      </c>
      <c r="R1446" t="s">
        <v>38</v>
      </c>
      <c r="S1446" s="9">
        <v>4897.59</v>
      </c>
      <c r="T1446" s="9">
        <v>10202</v>
      </c>
      <c r="U1446" s="9">
        <v>49965213.18</v>
      </c>
      <c r="V1446" s="6" t="s">
        <v>4731</v>
      </c>
      <c r="W1446" t="s">
        <v>2503</v>
      </c>
      <c r="X1446">
        <v>9707031480</v>
      </c>
      <c r="Y1446">
        <v>772901001</v>
      </c>
      <c r="Z1446" s="3">
        <v>45940.147222222222</v>
      </c>
      <c r="AA1446" s="6">
        <v>2034</v>
      </c>
      <c r="AB1446" s="1">
        <v>49309</v>
      </c>
    </row>
    <row r="1447" spans="1:28" x14ac:dyDescent="0.3">
      <c r="A1447" t="s">
        <v>4908</v>
      </c>
      <c r="B1447" s="6" t="s">
        <v>876</v>
      </c>
      <c r="C1447" s="6" t="s">
        <v>877</v>
      </c>
      <c r="D1447">
        <v>2540018454</v>
      </c>
      <c r="E1447">
        <v>254001001</v>
      </c>
      <c r="F1447" t="s">
        <v>4899</v>
      </c>
      <c r="G1447" t="s">
        <v>4900</v>
      </c>
      <c r="H1447" s="1">
        <v>45891</v>
      </c>
      <c r="J1447" s="8">
        <v>45910</v>
      </c>
      <c r="K1447" s="1" t="s">
        <v>4530</v>
      </c>
      <c r="L1447" t="s">
        <v>4900</v>
      </c>
      <c r="M1447" t="s">
        <v>4902</v>
      </c>
      <c r="N1447" s="12">
        <v>884658061.52999997</v>
      </c>
      <c r="O1447" t="s">
        <v>3613</v>
      </c>
      <c r="P1447" s="6" t="s">
        <v>2277</v>
      </c>
      <c r="R1447" t="s">
        <v>38</v>
      </c>
      <c r="S1447" s="9">
        <v>4025.47</v>
      </c>
      <c r="T1447" s="9">
        <v>26400</v>
      </c>
      <c r="U1447" s="9">
        <v>106272408</v>
      </c>
      <c r="V1447" s="6" t="s">
        <v>4731</v>
      </c>
      <c r="W1447" t="s">
        <v>2503</v>
      </c>
      <c r="X1447">
        <v>9707031480</v>
      </c>
      <c r="Y1447">
        <v>772901001</v>
      </c>
      <c r="Z1447" s="3">
        <v>45916.10833333333</v>
      </c>
      <c r="AA1447" s="6">
        <v>2027</v>
      </c>
      <c r="AB1447" s="1">
        <v>49309</v>
      </c>
    </row>
    <row r="1448" spans="1:28" x14ac:dyDescent="0.3">
      <c r="A1448" t="s">
        <v>4908</v>
      </c>
      <c r="B1448" s="6" t="s">
        <v>876</v>
      </c>
      <c r="C1448" s="6" t="s">
        <v>877</v>
      </c>
      <c r="D1448">
        <v>2540018454</v>
      </c>
      <c r="E1448">
        <v>254001001</v>
      </c>
      <c r="F1448" t="s">
        <v>4899</v>
      </c>
      <c r="G1448" t="s">
        <v>4900</v>
      </c>
      <c r="H1448" s="1">
        <v>45891</v>
      </c>
      <c r="J1448" s="8">
        <v>45910</v>
      </c>
      <c r="K1448" s="1" t="s">
        <v>4530</v>
      </c>
      <c r="L1448" t="s">
        <v>4900</v>
      </c>
      <c r="M1448" t="s">
        <v>4902</v>
      </c>
      <c r="N1448" s="12">
        <v>884658061.52999997</v>
      </c>
      <c r="O1448" t="s">
        <v>3613</v>
      </c>
      <c r="P1448" s="6" t="s">
        <v>2277</v>
      </c>
      <c r="R1448" t="s">
        <v>38</v>
      </c>
      <c r="S1448" s="9">
        <v>5093.5</v>
      </c>
      <c r="T1448" s="9">
        <v>22212</v>
      </c>
      <c r="U1448" s="9">
        <v>113136822</v>
      </c>
      <c r="V1448" s="6" t="s">
        <v>4731</v>
      </c>
      <c r="W1448" t="s">
        <v>2503</v>
      </c>
      <c r="X1448">
        <v>9707031480</v>
      </c>
      <c r="Y1448">
        <v>772901001</v>
      </c>
      <c r="Z1448" s="3">
        <v>45916.10833333333</v>
      </c>
      <c r="AA1448" s="6">
        <v>2028</v>
      </c>
      <c r="AB1448" s="1">
        <v>49309</v>
      </c>
    </row>
    <row r="1449" spans="1:28" x14ac:dyDescent="0.3">
      <c r="A1449" t="s">
        <v>4908</v>
      </c>
      <c r="B1449" s="6" t="s">
        <v>876</v>
      </c>
      <c r="C1449" s="6" t="s">
        <v>877</v>
      </c>
      <c r="D1449">
        <v>2540018454</v>
      </c>
      <c r="E1449">
        <v>254001001</v>
      </c>
      <c r="F1449" t="s">
        <v>4899</v>
      </c>
      <c r="G1449" t="s">
        <v>4900</v>
      </c>
      <c r="H1449" s="1">
        <v>45891</v>
      </c>
      <c r="J1449" s="8">
        <v>45910</v>
      </c>
      <c r="K1449" s="1" t="s">
        <v>4530</v>
      </c>
      <c r="L1449" t="s">
        <v>4900</v>
      </c>
      <c r="M1449" t="s">
        <v>4902</v>
      </c>
      <c r="N1449" s="12">
        <v>884658061.52999997</v>
      </c>
      <c r="O1449" t="s">
        <v>3613</v>
      </c>
      <c r="P1449" s="6" t="s">
        <v>2277</v>
      </c>
      <c r="R1449" t="s">
        <v>38</v>
      </c>
      <c r="S1449" s="9">
        <v>4897.59</v>
      </c>
      <c r="T1449" s="9">
        <v>23100</v>
      </c>
      <c r="U1449" s="9">
        <v>113134329</v>
      </c>
      <c r="V1449" s="6" t="s">
        <v>4731</v>
      </c>
      <c r="W1449" t="s">
        <v>2503</v>
      </c>
      <c r="X1449">
        <v>9707031480</v>
      </c>
      <c r="Y1449">
        <v>772901001</v>
      </c>
      <c r="Z1449" s="3">
        <v>45916.10833333333</v>
      </c>
      <c r="AA1449" s="6">
        <v>2029</v>
      </c>
      <c r="AB1449" s="1">
        <v>49309</v>
      </c>
    </row>
    <row r="1450" spans="1:28" x14ac:dyDescent="0.3">
      <c r="A1450" t="s">
        <v>4908</v>
      </c>
      <c r="B1450" s="6" t="s">
        <v>876</v>
      </c>
      <c r="C1450" s="6" t="s">
        <v>877</v>
      </c>
      <c r="D1450">
        <v>2540018454</v>
      </c>
      <c r="E1450">
        <v>254001001</v>
      </c>
      <c r="F1450" t="s">
        <v>4899</v>
      </c>
      <c r="G1450" t="s">
        <v>4900</v>
      </c>
      <c r="H1450" s="1">
        <v>45891</v>
      </c>
      <c r="J1450" s="8">
        <v>45910</v>
      </c>
      <c r="K1450" s="1" t="s">
        <v>4530</v>
      </c>
      <c r="L1450" t="s">
        <v>4900</v>
      </c>
      <c r="M1450" t="s">
        <v>4902</v>
      </c>
      <c r="N1450" s="12">
        <v>884658061.52999997</v>
      </c>
      <c r="O1450" t="s">
        <v>3613</v>
      </c>
      <c r="P1450" s="6" t="s">
        <v>2277</v>
      </c>
      <c r="R1450" t="s">
        <v>38</v>
      </c>
      <c r="S1450" s="9">
        <v>4528.1000000000004</v>
      </c>
      <c r="T1450" s="9">
        <v>24985</v>
      </c>
      <c r="U1450" s="9">
        <v>113134578.5</v>
      </c>
      <c r="V1450" s="6" t="s">
        <v>4731</v>
      </c>
      <c r="W1450" t="s">
        <v>2503</v>
      </c>
      <c r="X1450">
        <v>9707031480</v>
      </c>
      <c r="Y1450">
        <v>772901001</v>
      </c>
      <c r="Z1450" s="3">
        <v>45916.10833333333</v>
      </c>
      <c r="AA1450" s="6">
        <v>2030</v>
      </c>
      <c r="AB1450" s="1">
        <v>49309</v>
      </c>
    </row>
    <row r="1451" spans="1:28" x14ac:dyDescent="0.3">
      <c r="A1451" t="s">
        <v>4908</v>
      </c>
      <c r="B1451" s="6" t="s">
        <v>876</v>
      </c>
      <c r="C1451" s="6" t="s">
        <v>877</v>
      </c>
      <c r="D1451">
        <v>2540018454</v>
      </c>
      <c r="E1451">
        <v>254001001</v>
      </c>
      <c r="F1451" t="s">
        <v>4899</v>
      </c>
      <c r="G1451" t="s">
        <v>4900</v>
      </c>
      <c r="H1451" s="1">
        <v>45891</v>
      </c>
      <c r="J1451" s="8">
        <v>45910</v>
      </c>
      <c r="K1451" s="1" t="s">
        <v>4530</v>
      </c>
      <c r="L1451" t="s">
        <v>4900</v>
      </c>
      <c r="M1451" t="s">
        <v>4902</v>
      </c>
      <c r="N1451" s="12">
        <v>884658061.52999997</v>
      </c>
      <c r="O1451" t="s">
        <v>3613</v>
      </c>
      <c r="P1451" s="6" t="s">
        <v>2277</v>
      </c>
      <c r="R1451" t="s">
        <v>38</v>
      </c>
      <c r="S1451" s="9">
        <v>3870.64</v>
      </c>
      <c r="T1451" s="9">
        <v>26400</v>
      </c>
      <c r="U1451" s="9">
        <v>102184896</v>
      </c>
      <c r="V1451" s="6" t="s">
        <v>4731</v>
      </c>
      <c r="W1451" t="s">
        <v>2503</v>
      </c>
      <c r="X1451">
        <v>9707031480</v>
      </c>
      <c r="Y1451">
        <v>772901001</v>
      </c>
      <c r="Z1451" s="3">
        <v>45916.10833333333</v>
      </c>
      <c r="AA1451" s="6">
        <v>2031</v>
      </c>
      <c r="AB1451" s="1">
        <v>49309</v>
      </c>
    </row>
    <row r="1452" spans="1:28" x14ac:dyDescent="0.3">
      <c r="A1452" t="s">
        <v>4908</v>
      </c>
      <c r="B1452" s="6" t="s">
        <v>876</v>
      </c>
      <c r="C1452" s="6" t="s">
        <v>877</v>
      </c>
      <c r="D1452">
        <v>2540018454</v>
      </c>
      <c r="E1452">
        <v>254001001</v>
      </c>
      <c r="F1452" t="s">
        <v>4899</v>
      </c>
      <c r="G1452" t="s">
        <v>4900</v>
      </c>
      <c r="H1452" s="1">
        <v>45891</v>
      </c>
      <c r="J1452" s="8">
        <v>45910</v>
      </c>
      <c r="K1452" s="1" t="s">
        <v>4530</v>
      </c>
      <c r="L1452" t="s">
        <v>4900</v>
      </c>
      <c r="M1452" t="s">
        <v>4902</v>
      </c>
      <c r="N1452" s="12">
        <v>884658061.52999997</v>
      </c>
      <c r="O1452" t="s">
        <v>3613</v>
      </c>
      <c r="P1452" s="6" t="s">
        <v>2277</v>
      </c>
      <c r="R1452" t="s">
        <v>38</v>
      </c>
      <c r="S1452" s="9">
        <v>4709.22</v>
      </c>
      <c r="T1452" s="9">
        <v>24024</v>
      </c>
      <c r="U1452" s="9">
        <v>113134301.28</v>
      </c>
      <c r="V1452" s="6" t="s">
        <v>4731</v>
      </c>
      <c r="W1452" t="s">
        <v>2503</v>
      </c>
      <c r="X1452">
        <v>9707031480</v>
      </c>
      <c r="Y1452">
        <v>772901001</v>
      </c>
      <c r="Z1452" s="3">
        <v>45916.10833333333</v>
      </c>
      <c r="AA1452" s="6">
        <v>2032</v>
      </c>
      <c r="AB1452" s="1">
        <v>49309</v>
      </c>
    </row>
    <row r="1453" spans="1:28" x14ac:dyDescent="0.3">
      <c r="A1453" t="s">
        <v>4908</v>
      </c>
      <c r="B1453" s="6" t="s">
        <v>876</v>
      </c>
      <c r="C1453" s="6" t="s">
        <v>877</v>
      </c>
      <c r="D1453">
        <v>2540018454</v>
      </c>
      <c r="E1453">
        <v>254001001</v>
      </c>
      <c r="F1453" t="s">
        <v>4899</v>
      </c>
      <c r="G1453" t="s">
        <v>4900</v>
      </c>
      <c r="H1453" s="1">
        <v>45891</v>
      </c>
      <c r="J1453" s="8">
        <v>45910</v>
      </c>
      <c r="K1453" s="1" t="s">
        <v>4530</v>
      </c>
      <c r="L1453" t="s">
        <v>4900</v>
      </c>
      <c r="M1453" t="s">
        <v>4902</v>
      </c>
      <c r="N1453" s="12">
        <v>884658061.52999997</v>
      </c>
      <c r="O1453" t="s">
        <v>3613</v>
      </c>
      <c r="P1453" s="6" t="s">
        <v>2277</v>
      </c>
      <c r="R1453" t="s">
        <v>38</v>
      </c>
      <c r="S1453" s="9">
        <v>4353.95</v>
      </c>
      <c r="T1453" s="9">
        <v>25985</v>
      </c>
      <c r="U1453" s="9">
        <v>113137390.75</v>
      </c>
      <c r="V1453" s="6" t="s">
        <v>4731</v>
      </c>
      <c r="W1453" t="s">
        <v>2503</v>
      </c>
      <c r="X1453">
        <v>9707031480</v>
      </c>
      <c r="Y1453">
        <v>772901001</v>
      </c>
      <c r="Z1453" s="3">
        <v>45916.10833333333</v>
      </c>
      <c r="AA1453" s="6">
        <v>2033</v>
      </c>
      <c r="AB1453" s="1">
        <v>49309</v>
      </c>
    </row>
    <row r="1454" spans="1:28" x14ac:dyDescent="0.3">
      <c r="A1454" t="s">
        <v>4908</v>
      </c>
      <c r="B1454" s="6" t="s">
        <v>876</v>
      </c>
      <c r="C1454" s="6" t="s">
        <v>877</v>
      </c>
      <c r="D1454">
        <v>2540018454</v>
      </c>
      <c r="E1454">
        <v>254001001</v>
      </c>
      <c r="F1454" t="s">
        <v>4899</v>
      </c>
      <c r="G1454" t="s">
        <v>4900</v>
      </c>
      <c r="H1454" s="1">
        <v>45891</v>
      </c>
      <c r="J1454" s="8">
        <v>45910</v>
      </c>
      <c r="K1454" s="1" t="s">
        <v>4530</v>
      </c>
      <c r="L1454" t="s">
        <v>4900</v>
      </c>
      <c r="M1454" t="s">
        <v>4902</v>
      </c>
      <c r="N1454" s="12">
        <v>884658061.52999997</v>
      </c>
      <c r="O1454" t="s">
        <v>3613</v>
      </c>
      <c r="P1454" s="6" t="s">
        <v>2277</v>
      </c>
      <c r="R1454" t="s">
        <v>38</v>
      </c>
      <c r="S1454" s="9">
        <v>4186.49</v>
      </c>
      <c r="T1454" s="9">
        <v>26400</v>
      </c>
      <c r="U1454" s="9">
        <v>110523336</v>
      </c>
      <c r="V1454" s="6" t="s">
        <v>4731</v>
      </c>
      <c r="W1454" t="s">
        <v>2503</v>
      </c>
      <c r="X1454">
        <v>9707031480</v>
      </c>
      <c r="Y1454">
        <v>772901001</v>
      </c>
      <c r="Z1454" s="3">
        <v>45916.10833333333</v>
      </c>
      <c r="AA1454" s="6">
        <v>2034</v>
      </c>
      <c r="AB1454" s="1">
        <v>49309</v>
      </c>
    </row>
    <row r="1455" spans="1:28" x14ac:dyDescent="0.3">
      <c r="A1455" t="s">
        <v>4909</v>
      </c>
      <c r="B1455" s="6" t="s">
        <v>946</v>
      </c>
      <c r="C1455" s="6" t="s">
        <v>947</v>
      </c>
      <c r="D1455">
        <v>7325000951</v>
      </c>
      <c r="E1455">
        <v>732501001</v>
      </c>
      <c r="F1455" t="s">
        <v>52</v>
      </c>
      <c r="G1455" t="s">
        <v>4910</v>
      </c>
      <c r="H1455" s="1">
        <v>45898</v>
      </c>
      <c r="J1455" s="8">
        <v>45911</v>
      </c>
      <c r="K1455" s="1" t="s">
        <v>4530</v>
      </c>
      <c r="L1455" t="s">
        <v>4910</v>
      </c>
      <c r="M1455" t="s">
        <v>377</v>
      </c>
      <c r="N1455" s="12">
        <v>17280000</v>
      </c>
      <c r="O1455" t="s">
        <v>3648</v>
      </c>
      <c r="P1455" s="6" t="s">
        <v>2277</v>
      </c>
      <c r="R1455" t="s">
        <v>38</v>
      </c>
      <c r="S1455" s="9">
        <v>3000</v>
      </c>
      <c r="T1455" s="9">
        <v>5500</v>
      </c>
      <c r="U1455" s="9">
        <v>16500000</v>
      </c>
      <c r="V1455" s="6" t="s">
        <v>39</v>
      </c>
      <c r="W1455" t="s">
        <v>40</v>
      </c>
      <c r="X1455">
        <v>7810687137</v>
      </c>
      <c r="Y1455">
        <v>781401001</v>
      </c>
      <c r="Z1455" s="3">
        <v>45911.606944444444</v>
      </c>
      <c r="AA1455" s="6">
        <v>2025</v>
      </c>
      <c r="AB1455" s="1">
        <v>46022</v>
      </c>
    </row>
    <row r="1456" spans="1:28" x14ac:dyDescent="0.3">
      <c r="A1456" t="s">
        <v>4909</v>
      </c>
      <c r="B1456" s="6" t="s">
        <v>946</v>
      </c>
      <c r="C1456" s="6" t="s">
        <v>947</v>
      </c>
      <c r="D1456">
        <v>7325000951</v>
      </c>
      <c r="E1456">
        <v>732501001</v>
      </c>
      <c r="F1456" t="s">
        <v>52</v>
      </c>
      <c r="G1456" t="s">
        <v>4910</v>
      </c>
      <c r="H1456" s="1">
        <v>45898</v>
      </c>
      <c r="J1456" s="8">
        <v>45911</v>
      </c>
      <c r="K1456" s="1" t="s">
        <v>4530</v>
      </c>
      <c r="L1456" t="s">
        <v>4910</v>
      </c>
      <c r="M1456" t="s">
        <v>377</v>
      </c>
      <c r="N1456" s="12">
        <v>17280000</v>
      </c>
      <c r="O1456" t="s">
        <v>3633</v>
      </c>
      <c r="P1456" s="6" t="s">
        <v>36</v>
      </c>
      <c r="R1456" t="s">
        <v>38</v>
      </c>
      <c r="S1456" s="9">
        <v>3000</v>
      </c>
      <c r="T1456" s="9">
        <v>260</v>
      </c>
      <c r="U1456" s="9">
        <v>780000</v>
      </c>
      <c r="V1456" s="6" t="s">
        <v>39</v>
      </c>
      <c r="W1456" t="s">
        <v>40</v>
      </c>
      <c r="X1456">
        <v>7810687137</v>
      </c>
      <c r="Y1456">
        <v>781401001</v>
      </c>
      <c r="Z1456" s="3">
        <v>45911.606944444444</v>
      </c>
      <c r="AA1456" s="6">
        <v>2025</v>
      </c>
      <c r="AB1456" s="1">
        <v>46022</v>
      </c>
    </row>
    <row r="1457" spans="1:28" x14ac:dyDescent="0.3">
      <c r="A1457" s="4" t="s">
        <v>4911</v>
      </c>
      <c r="B1457" s="6" t="s">
        <v>3451</v>
      </c>
      <c r="C1457" s="6" t="s">
        <v>3452</v>
      </c>
      <c r="D1457">
        <v>9001024530</v>
      </c>
      <c r="E1457">
        <v>900101001</v>
      </c>
      <c r="F1457" t="s">
        <v>52</v>
      </c>
      <c r="G1457" t="s">
        <v>4912</v>
      </c>
      <c r="H1457" s="1">
        <v>45901</v>
      </c>
      <c r="I1457" t="s">
        <v>4913</v>
      </c>
      <c r="J1457" s="8">
        <v>45912</v>
      </c>
      <c r="K1457" s="1" t="s">
        <v>4530</v>
      </c>
      <c r="L1457" t="s">
        <v>4912</v>
      </c>
      <c r="M1457" t="s">
        <v>4914</v>
      </c>
      <c r="N1457" s="13">
        <v>4000344.32</v>
      </c>
      <c r="O1457" t="s">
        <v>3745</v>
      </c>
      <c r="P1457" s="6" t="s">
        <v>2277</v>
      </c>
      <c r="R1457" t="s">
        <v>38</v>
      </c>
      <c r="S1457" s="9">
        <v>2570.92</v>
      </c>
      <c r="T1457" s="9">
        <v>1556</v>
      </c>
      <c r="U1457" s="9">
        <v>4000344.32</v>
      </c>
      <c r="V1457" s="6" t="s">
        <v>90</v>
      </c>
      <c r="W1457" t="s">
        <v>59</v>
      </c>
      <c r="X1457">
        <v>5259153331</v>
      </c>
      <c r="Y1457">
        <v>525901001</v>
      </c>
      <c r="Z1457" s="3">
        <v>45912.406944444447</v>
      </c>
      <c r="AA1457" s="6">
        <v>2026</v>
      </c>
      <c r="AB1457" s="1">
        <v>46387</v>
      </c>
    </row>
    <row r="1458" spans="1:28" x14ac:dyDescent="0.3">
      <c r="A1458" t="s">
        <v>4915</v>
      </c>
      <c r="B1458" s="6" t="s">
        <v>157</v>
      </c>
      <c r="C1458" s="6" t="s">
        <v>105</v>
      </c>
      <c r="D1458">
        <v>6612049211</v>
      </c>
      <c r="E1458">
        <v>661201001</v>
      </c>
      <c r="F1458" t="s">
        <v>149</v>
      </c>
      <c r="G1458" t="s">
        <v>4916</v>
      </c>
      <c r="H1458" s="1">
        <v>45909</v>
      </c>
      <c r="J1458" s="8">
        <v>45912</v>
      </c>
      <c r="K1458" s="1" t="s">
        <v>4530</v>
      </c>
      <c r="L1458" t="s">
        <v>4916</v>
      </c>
      <c r="M1458" t="s">
        <v>377</v>
      </c>
      <c r="N1458" s="12">
        <v>91200</v>
      </c>
      <c r="O1458" t="s">
        <v>4917</v>
      </c>
      <c r="P1458" s="6" t="s">
        <v>36</v>
      </c>
      <c r="R1458" t="s">
        <v>38</v>
      </c>
      <c r="S1458" s="9">
        <v>3800</v>
      </c>
      <c r="T1458" s="9">
        <v>24</v>
      </c>
      <c r="U1458" s="9">
        <v>91200</v>
      </c>
      <c r="V1458" s="6" t="s">
        <v>58</v>
      </c>
      <c r="W1458" t="s">
        <v>59</v>
      </c>
      <c r="X1458">
        <v>5262222144</v>
      </c>
      <c r="Y1458">
        <v>526001001</v>
      </c>
      <c r="Z1458" s="3">
        <v>45915.277083333334</v>
      </c>
      <c r="AA1458" s="6">
        <v>2025</v>
      </c>
      <c r="AB1458" s="1">
        <v>46387</v>
      </c>
    </row>
    <row r="1459" spans="1:28" x14ac:dyDescent="0.3">
      <c r="A1459" t="s">
        <v>4918</v>
      </c>
      <c r="B1459" s="6" t="s">
        <v>4919</v>
      </c>
      <c r="C1459" s="6" t="s">
        <v>164</v>
      </c>
      <c r="D1459">
        <v>7728016351</v>
      </c>
      <c r="E1459">
        <v>772801001</v>
      </c>
      <c r="F1459" t="s">
        <v>149</v>
      </c>
      <c r="G1459" t="s">
        <v>4920</v>
      </c>
      <c r="H1459" s="1">
        <v>45910</v>
      </c>
      <c r="J1459" s="8">
        <v>45915</v>
      </c>
      <c r="K1459" s="1" t="s">
        <v>4530</v>
      </c>
      <c r="L1459" t="s">
        <v>4921</v>
      </c>
      <c r="M1459" t="s">
        <v>377</v>
      </c>
      <c r="N1459" s="12">
        <v>4998000</v>
      </c>
      <c r="O1459" t="s">
        <v>3633</v>
      </c>
      <c r="P1459" s="6" t="s">
        <v>36</v>
      </c>
      <c r="R1459" t="s">
        <v>38</v>
      </c>
      <c r="S1459" s="9">
        <v>3400</v>
      </c>
      <c r="T1459" s="9">
        <v>1470</v>
      </c>
      <c r="U1459" s="9">
        <v>4998000</v>
      </c>
      <c r="V1459" s="6" t="s">
        <v>58</v>
      </c>
      <c r="W1459" t="s">
        <v>59</v>
      </c>
      <c r="X1459">
        <v>5262222144</v>
      </c>
      <c r="Y1459">
        <v>526001001</v>
      </c>
      <c r="Z1459" s="3">
        <v>45915.590277777781</v>
      </c>
      <c r="AA1459" s="6">
        <v>2025</v>
      </c>
      <c r="AB1459" s="1">
        <v>46053</v>
      </c>
    </row>
    <row r="1460" spans="1:28" x14ac:dyDescent="0.3">
      <c r="A1460" t="s">
        <v>4922</v>
      </c>
      <c r="B1460" s="6" t="s">
        <v>3204</v>
      </c>
      <c r="C1460" s="6" t="s">
        <v>164</v>
      </c>
      <c r="D1460">
        <v>7719046800</v>
      </c>
      <c r="E1460">
        <v>771901001</v>
      </c>
      <c r="F1460" t="s">
        <v>52</v>
      </c>
      <c r="G1460" t="s">
        <v>4923</v>
      </c>
      <c r="H1460" s="1">
        <v>45904</v>
      </c>
      <c r="J1460" s="8">
        <v>45915</v>
      </c>
      <c r="K1460" s="1" t="s">
        <v>4530</v>
      </c>
      <c r="L1460" t="s">
        <v>4924</v>
      </c>
      <c r="M1460" t="s">
        <v>4925</v>
      </c>
      <c r="N1460" s="12">
        <v>154772.1</v>
      </c>
      <c r="O1460" t="s">
        <v>4068</v>
      </c>
      <c r="P1460" s="6" t="s">
        <v>36</v>
      </c>
      <c r="R1460" t="s">
        <v>48</v>
      </c>
      <c r="S1460" s="9">
        <v>5159.07</v>
      </c>
      <c r="T1460" s="9">
        <v>30</v>
      </c>
      <c r="U1460" s="9">
        <v>154772.1</v>
      </c>
      <c r="V1460" s="6" t="s">
        <v>111</v>
      </c>
      <c r="W1460" t="s">
        <v>59</v>
      </c>
      <c r="X1460">
        <v>5262258091</v>
      </c>
      <c r="Y1460">
        <v>526001001</v>
      </c>
      <c r="Z1460" s="3">
        <v>45915.504861111112</v>
      </c>
      <c r="AA1460" s="6">
        <v>2025</v>
      </c>
      <c r="AB1460" s="1">
        <v>46317</v>
      </c>
    </row>
    <row r="1461" spans="1:28" x14ac:dyDescent="0.3">
      <c r="A1461" t="s">
        <v>4926</v>
      </c>
      <c r="B1461" s="6" t="s">
        <v>121</v>
      </c>
      <c r="C1461" s="6" t="s">
        <v>122</v>
      </c>
      <c r="D1461">
        <v>5402155123</v>
      </c>
      <c r="E1461">
        <v>540201001</v>
      </c>
      <c r="F1461" t="s">
        <v>52</v>
      </c>
      <c r="G1461" t="s">
        <v>4927</v>
      </c>
      <c r="H1461" s="1">
        <v>45903</v>
      </c>
      <c r="I1461" t="s">
        <v>4928</v>
      </c>
      <c r="J1461" s="8">
        <v>45916</v>
      </c>
      <c r="K1461" s="1" t="s">
        <v>4530</v>
      </c>
      <c r="L1461" t="s">
        <v>4929</v>
      </c>
      <c r="M1461" t="s">
        <v>4930</v>
      </c>
      <c r="N1461" s="12">
        <v>25332736</v>
      </c>
      <c r="O1461" t="s">
        <v>3648</v>
      </c>
      <c r="P1461" s="6" t="s">
        <v>2277</v>
      </c>
      <c r="R1461" t="s">
        <v>38</v>
      </c>
      <c r="S1461" s="9">
        <v>2816</v>
      </c>
      <c r="T1461" s="9">
        <v>8996</v>
      </c>
      <c r="U1461" s="9">
        <v>25332736</v>
      </c>
      <c r="V1461" s="6" t="s">
        <v>3099</v>
      </c>
      <c r="W1461" t="s">
        <v>3100</v>
      </c>
      <c r="X1461">
        <v>7724871238</v>
      </c>
      <c r="Y1461">
        <v>772901001</v>
      </c>
      <c r="Z1461" s="3">
        <v>45916.518750000003</v>
      </c>
      <c r="AA1461" s="6">
        <v>2025</v>
      </c>
      <c r="AB1461" s="1">
        <v>46011</v>
      </c>
    </row>
    <row r="1462" spans="1:28" x14ac:dyDescent="0.3">
      <c r="A1462" t="s">
        <v>4931</v>
      </c>
      <c r="B1462" s="6" t="s">
        <v>981</v>
      </c>
      <c r="C1462" s="6" t="s">
        <v>164</v>
      </c>
      <c r="D1462">
        <v>7704014010</v>
      </c>
      <c r="E1462">
        <v>770401001</v>
      </c>
      <c r="F1462" t="s">
        <v>149</v>
      </c>
      <c r="G1462" t="s">
        <v>4932</v>
      </c>
      <c r="H1462" s="1">
        <v>45911</v>
      </c>
      <c r="J1462" s="8">
        <v>45916</v>
      </c>
      <c r="K1462" s="1" t="s">
        <v>4530</v>
      </c>
      <c r="L1462" t="s">
        <v>4933</v>
      </c>
      <c r="M1462" t="s">
        <v>377</v>
      </c>
      <c r="N1462" s="12">
        <v>170000</v>
      </c>
      <c r="O1462" t="s">
        <v>3633</v>
      </c>
      <c r="P1462" s="6" t="s">
        <v>36</v>
      </c>
      <c r="R1462" t="s">
        <v>38</v>
      </c>
      <c r="S1462" s="9">
        <v>3400</v>
      </c>
      <c r="T1462" s="9">
        <v>50</v>
      </c>
      <c r="U1462" s="9">
        <v>170000</v>
      </c>
      <c r="V1462" s="6" t="s">
        <v>58</v>
      </c>
      <c r="W1462" t="s">
        <v>59</v>
      </c>
      <c r="X1462">
        <v>5262222144</v>
      </c>
      <c r="Y1462">
        <v>526001001</v>
      </c>
      <c r="Z1462" s="3">
        <v>45917.395833333336</v>
      </c>
      <c r="AA1462" s="6">
        <v>2025</v>
      </c>
      <c r="AB1462" s="1">
        <v>46022</v>
      </c>
    </row>
    <row r="1463" spans="1:28" x14ac:dyDescent="0.3">
      <c r="A1463" t="s">
        <v>4934</v>
      </c>
      <c r="B1463" s="6" t="s">
        <v>4935</v>
      </c>
      <c r="C1463" s="6" t="s">
        <v>436</v>
      </c>
      <c r="D1463">
        <v>7606118356</v>
      </c>
      <c r="E1463">
        <v>760601001</v>
      </c>
      <c r="F1463" t="s">
        <v>149</v>
      </c>
      <c r="G1463" t="s">
        <v>4936</v>
      </c>
      <c r="H1463" s="1">
        <v>45911</v>
      </c>
      <c r="J1463" s="8">
        <v>45916</v>
      </c>
      <c r="K1463" s="1" t="s">
        <v>4530</v>
      </c>
      <c r="L1463" t="s">
        <v>4937</v>
      </c>
      <c r="M1463" t="s">
        <v>377</v>
      </c>
      <c r="N1463" s="12">
        <v>58000</v>
      </c>
      <c r="O1463" t="s">
        <v>3613</v>
      </c>
      <c r="P1463" s="6" t="s">
        <v>36</v>
      </c>
      <c r="R1463" t="s">
        <v>38</v>
      </c>
      <c r="S1463" s="9">
        <v>5800</v>
      </c>
      <c r="T1463" s="9">
        <v>10</v>
      </c>
      <c r="U1463" s="9">
        <v>58000</v>
      </c>
      <c r="V1463" s="6" t="s">
        <v>441</v>
      </c>
      <c r="W1463" t="s">
        <v>40</v>
      </c>
      <c r="X1463">
        <v>7725285067</v>
      </c>
      <c r="Y1463" s="4">
        <v>772501001</v>
      </c>
      <c r="Z1463" s="3">
        <v>45918.431250000001</v>
      </c>
      <c r="AA1463" s="6">
        <v>2025</v>
      </c>
      <c r="AB1463" s="1">
        <v>46022</v>
      </c>
    </row>
    <row r="1464" spans="1:28" x14ac:dyDescent="0.3">
      <c r="A1464" t="s">
        <v>4938</v>
      </c>
      <c r="B1464" s="6" t="s">
        <v>121</v>
      </c>
      <c r="C1464" s="6" t="s">
        <v>122</v>
      </c>
      <c r="D1464">
        <v>5402155123</v>
      </c>
      <c r="E1464">
        <v>540201001</v>
      </c>
      <c r="F1464" t="s">
        <v>52</v>
      </c>
      <c r="G1464" t="s">
        <v>4939</v>
      </c>
      <c r="H1464" s="1">
        <v>45908</v>
      </c>
      <c r="I1464" t="s">
        <v>4940</v>
      </c>
      <c r="J1464" s="8">
        <v>45919</v>
      </c>
      <c r="K1464" s="1" t="s">
        <v>4530</v>
      </c>
      <c r="L1464" t="s">
        <v>4941</v>
      </c>
      <c r="M1464" t="s">
        <v>4942</v>
      </c>
      <c r="N1464" s="12">
        <v>5183488</v>
      </c>
      <c r="O1464" t="s">
        <v>3613</v>
      </c>
      <c r="P1464" s="6" t="s">
        <v>3758</v>
      </c>
      <c r="Q1464" t="s">
        <v>37</v>
      </c>
      <c r="R1464" t="s">
        <v>38</v>
      </c>
      <c r="S1464" s="9">
        <v>2048</v>
      </c>
      <c r="T1464" s="9">
        <v>840</v>
      </c>
      <c r="U1464" s="9">
        <v>1720320</v>
      </c>
      <c r="V1464" s="6" t="s">
        <v>2502</v>
      </c>
      <c r="W1464" t="s">
        <v>2503</v>
      </c>
      <c r="X1464" t="s">
        <v>4943</v>
      </c>
      <c r="Y1464" t="s">
        <v>4944</v>
      </c>
      <c r="Z1464" s="3">
        <v>45922.242361111108</v>
      </c>
      <c r="AA1464" s="6">
        <v>2025</v>
      </c>
      <c r="AB1464" s="1">
        <v>45991</v>
      </c>
    </row>
    <row r="1465" spans="1:28" x14ac:dyDescent="0.3">
      <c r="A1465" t="s">
        <v>4938</v>
      </c>
      <c r="B1465" s="6" t="s">
        <v>121</v>
      </c>
      <c r="C1465" s="6" t="s">
        <v>122</v>
      </c>
      <c r="D1465">
        <v>5402155123</v>
      </c>
      <c r="E1465">
        <v>540201001</v>
      </c>
      <c r="F1465" t="s">
        <v>52</v>
      </c>
      <c r="G1465" t="s">
        <v>4939</v>
      </c>
      <c r="H1465" s="1">
        <v>45908</v>
      </c>
      <c r="I1465" t="s">
        <v>4940</v>
      </c>
      <c r="J1465" s="8">
        <v>45919</v>
      </c>
      <c r="K1465" s="1" t="s">
        <v>4530</v>
      </c>
      <c r="L1465" t="s">
        <v>4941</v>
      </c>
      <c r="M1465" t="s">
        <v>4942</v>
      </c>
      <c r="N1465" s="12">
        <v>5183488</v>
      </c>
      <c r="O1465" t="s">
        <v>3648</v>
      </c>
      <c r="P1465" s="6" t="s">
        <v>2277</v>
      </c>
      <c r="Q1465" t="s">
        <v>37</v>
      </c>
      <c r="R1465" t="s">
        <v>38</v>
      </c>
      <c r="S1465" s="9">
        <v>2048</v>
      </c>
      <c r="T1465" s="9">
        <v>850</v>
      </c>
      <c r="U1465" s="9">
        <v>1740800</v>
      </c>
      <c r="V1465" s="6" t="s">
        <v>2502</v>
      </c>
      <c r="W1465" t="s">
        <v>2503</v>
      </c>
      <c r="X1465" t="s">
        <v>4943</v>
      </c>
      <c r="Y1465" t="s">
        <v>4944</v>
      </c>
      <c r="Z1465" s="3">
        <v>45922.242361111108</v>
      </c>
      <c r="AA1465" s="6">
        <v>2025</v>
      </c>
      <c r="AB1465" s="1">
        <v>45991</v>
      </c>
    </row>
    <row r="1466" spans="1:28" x14ac:dyDescent="0.3">
      <c r="A1466" t="s">
        <v>4938</v>
      </c>
      <c r="B1466" s="6" t="s">
        <v>121</v>
      </c>
      <c r="C1466" s="6" t="s">
        <v>122</v>
      </c>
      <c r="D1466">
        <v>5402155123</v>
      </c>
      <c r="E1466">
        <v>540201001</v>
      </c>
      <c r="F1466" t="s">
        <v>52</v>
      </c>
      <c r="G1466" t="s">
        <v>4939</v>
      </c>
      <c r="H1466" s="1">
        <v>45908</v>
      </c>
      <c r="I1466" t="s">
        <v>4940</v>
      </c>
      <c r="J1466" s="8">
        <v>45919</v>
      </c>
      <c r="K1466" s="1" t="s">
        <v>4530</v>
      </c>
      <c r="L1466" t="s">
        <v>4941</v>
      </c>
      <c r="M1466" t="s">
        <v>4942</v>
      </c>
      <c r="N1466" s="12">
        <v>5183488</v>
      </c>
      <c r="O1466" t="s">
        <v>4022</v>
      </c>
      <c r="P1466" s="6" t="s">
        <v>2941</v>
      </c>
      <c r="Q1466" t="s">
        <v>37</v>
      </c>
      <c r="R1466" t="s">
        <v>38</v>
      </c>
      <c r="S1466" s="9">
        <v>2048</v>
      </c>
      <c r="T1466" s="9">
        <v>841</v>
      </c>
      <c r="U1466" s="9">
        <v>1722368</v>
      </c>
      <c r="V1466" s="6" t="s">
        <v>2502</v>
      </c>
      <c r="W1466" t="s">
        <v>2503</v>
      </c>
      <c r="X1466" t="s">
        <v>4943</v>
      </c>
      <c r="Y1466" t="s">
        <v>4944</v>
      </c>
      <c r="Z1466" s="3">
        <v>45922.242361111108</v>
      </c>
      <c r="AA1466" s="6">
        <v>2025</v>
      </c>
      <c r="AB1466" s="1">
        <v>45991</v>
      </c>
    </row>
    <row r="1467" spans="1:28" x14ac:dyDescent="0.3">
      <c r="A1467" t="s">
        <v>4945</v>
      </c>
      <c r="B1467" s="6" t="s">
        <v>946</v>
      </c>
      <c r="C1467" s="6" t="s">
        <v>947</v>
      </c>
      <c r="D1467">
        <v>7325000951</v>
      </c>
      <c r="E1467">
        <v>732501001</v>
      </c>
      <c r="F1467" t="s">
        <v>52</v>
      </c>
      <c r="G1467" t="s">
        <v>4946</v>
      </c>
      <c r="H1467" s="1">
        <v>45911</v>
      </c>
      <c r="J1467" s="8">
        <v>45922</v>
      </c>
      <c r="K1467" s="1" t="s">
        <v>4530</v>
      </c>
      <c r="L1467" t="s">
        <v>4946</v>
      </c>
      <c r="M1467" t="s">
        <v>377</v>
      </c>
      <c r="N1467" s="12">
        <v>3630000</v>
      </c>
      <c r="O1467" t="s">
        <v>3815</v>
      </c>
      <c r="P1467" s="6" t="s">
        <v>3758</v>
      </c>
      <c r="Q1467" t="s">
        <v>37</v>
      </c>
      <c r="R1467" t="s">
        <v>38</v>
      </c>
      <c r="S1467" s="9">
        <v>3000</v>
      </c>
      <c r="T1467" s="9">
        <v>310</v>
      </c>
      <c r="U1467" s="9">
        <v>930000</v>
      </c>
      <c r="V1467" s="6" t="s">
        <v>39</v>
      </c>
      <c r="W1467" t="s">
        <v>40</v>
      </c>
      <c r="X1467" t="s">
        <v>4947</v>
      </c>
      <c r="Y1467" t="s">
        <v>4948</v>
      </c>
      <c r="Z1467" s="3">
        <v>45922.585416666669</v>
      </c>
      <c r="AA1467" s="6">
        <v>2025</v>
      </c>
      <c r="AB1467" s="1">
        <v>46022</v>
      </c>
    </row>
    <row r="1468" spans="1:28" x14ac:dyDescent="0.3">
      <c r="A1468" t="s">
        <v>4945</v>
      </c>
      <c r="B1468" s="6" t="s">
        <v>946</v>
      </c>
      <c r="C1468" s="6" t="s">
        <v>947</v>
      </c>
      <c r="D1468">
        <v>7325000951</v>
      </c>
      <c r="E1468">
        <v>732501001</v>
      </c>
      <c r="F1468" t="s">
        <v>52</v>
      </c>
      <c r="G1468" t="s">
        <v>4946</v>
      </c>
      <c r="H1468" s="1">
        <v>45911</v>
      </c>
      <c r="J1468" s="8">
        <v>45922</v>
      </c>
      <c r="K1468" s="1" t="s">
        <v>4530</v>
      </c>
      <c r="L1468" t="s">
        <v>4946</v>
      </c>
      <c r="M1468" t="s">
        <v>377</v>
      </c>
      <c r="N1468" s="12">
        <v>3630000</v>
      </c>
      <c r="O1468" t="s">
        <v>3633</v>
      </c>
      <c r="P1468" s="6" t="s">
        <v>36</v>
      </c>
      <c r="Q1468" t="s">
        <v>37</v>
      </c>
      <c r="R1468" t="s">
        <v>38</v>
      </c>
      <c r="S1468" s="9">
        <v>3000</v>
      </c>
      <c r="T1468" s="9">
        <v>900</v>
      </c>
      <c r="U1468" s="9">
        <v>2700000</v>
      </c>
      <c r="V1468" s="6" t="s">
        <v>39</v>
      </c>
      <c r="W1468" t="s">
        <v>40</v>
      </c>
      <c r="X1468" t="s">
        <v>4947</v>
      </c>
      <c r="Y1468" t="s">
        <v>4948</v>
      </c>
      <c r="Z1468" s="3">
        <v>45922.585416666669</v>
      </c>
      <c r="AA1468" s="6">
        <v>2025</v>
      </c>
      <c r="AB1468" s="1">
        <v>46022</v>
      </c>
    </row>
    <row r="1469" spans="1:28" x14ac:dyDescent="0.3">
      <c r="A1469" t="s">
        <v>4949</v>
      </c>
      <c r="B1469" s="6" t="s">
        <v>2432</v>
      </c>
      <c r="C1469" s="6" t="s">
        <v>479</v>
      </c>
      <c r="D1469">
        <v>5505013642</v>
      </c>
      <c r="E1469">
        <v>550501001</v>
      </c>
      <c r="F1469" t="s">
        <v>149</v>
      </c>
      <c r="G1469" t="s">
        <v>4950</v>
      </c>
      <c r="H1469" s="1">
        <v>45917</v>
      </c>
      <c r="J1469" s="8">
        <v>45922</v>
      </c>
      <c r="K1469" s="1" t="s">
        <v>4530</v>
      </c>
      <c r="L1469" t="s">
        <v>4951</v>
      </c>
      <c r="M1469" t="s">
        <v>377</v>
      </c>
      <c r="N1469" s="12">
        <v>228851.23</v>
      </c>
      <c r="O1469" t="s">
        <v>3633</v>
      </c>
      <c r="P1469" s="6" t="s">
        <v>36</v>
      </c>
      <c r="R1469" t="s">
        <v>38</v>
      </c>
      <c r="S1469" s="9">
        <v>3415.69</v>
      </c>
      <c r="T1469" s="9">
        <v>67</v>
      </c>
      <c r="U1469" s="9">
        <v>228851.23</v>
      </c>
      <c r="V1469" s="6" t="s">
        <v>58</v>
      </c>
      <c r="W1469" t="s">
        <v>59</v>
      </c>
      <c r="X1469" t="s">
        <v>4952</v>
      </c>
      <c r="Y1469" t="s">
        <v>4953</v>
      </c>
      <c r="Z1469" s="3">
        <v>45922.537499999999</v>
      </c>
      <c r="AA1469" s="6">
        <v>2025</v>
      </c>
      <c r="AB1469" s="1">
        <v>46022</v>
      </c>
    </row>
    <row r="1470" spans="1:28" x14ac:dyDescent="0.3">
      <c r="A1470" t="s">
        <v>4954</v>
      </c>
      <c r="B1470" s="6" t="s">
        <v>4955</v>
      </c>
      <c r="C1470" s="6" t="s">
        <v>105</v>
      </c>
      <c r="D1470">
        <v>6658081585</v>
      </c>
      <c r="E1470">
        <v>665801001</v>
      </c>
      <c r="F1470" t="s">
        <v>619</v>
      </c>
      <c r="G1470">
        <v>32515165694</v>
      </c>
      <c r="H1470" s="1">
        <v>45909</v>
      </c>
      <c r="I1470" t="s">
        <v>3019</v>
      </c>
      <c r="J1470" s="8">
        <v>45922</v>
      </c>
      <c r="K1470" s="1" t="s">
        <v>4530</v>
      </c>
      <c r="L1470" t="s">
        <v>4956</v>
      </c>
      <c r="M1470" s="1" t="s">
        <v>4957</v>
      </c>
      <c r="N1470" s="12">
        <v>73142.2</v>
      </c>
      <c r="O1470" s="1" t="s">
        <v>4958</v>
      </c>
      <c r="P1470" s="6" t="s">
        <v>36</v>
      </c>
      <c r="R1470" t="s">
        <v>38</v>
      </c>
      <c r="S1470" s="9">
        <v>3657.11</v>
      </c>
      <c r="T1470" s="9">
        <v>20</v>
      </c>
      <c r="U1470" s="9">
        <v>73142.2</v>
      </c>
      <c r="V1470" s="6" t="s">
        <v>111</v>
      </c>
      <c r="W1470" t="s">
        <v>59</v>
      </c>
      <c r="X1470">
        <v>5262258091</v>
      </c>
      <c r="Y1470">
        <v>526001001</v>
      </c>
      <c r="Z1470" s="3"/>
      <c r="AA1470" s="6">
        <v>2025</v>
      </c>
      <c r="AB1470" s="1">
        <v>46022</v>
      </c>
    </row>
    <row r="1471" spans="1:28" x14ac:dyDescent="0.3">
      <c r="A1471" t="s">
        <v>4959</v>
      </c>
      <c r="B1471" s="6" t="s">
        <v>354</v>
      </c>
      <c r="C1471" s="6" t="s">
        <v>355</v>
      </c>
      <c r="D1471">
        <v>2465030876</v>
      </c>
      <c r="E1471">
        <v>246501001</v>
      </c>
      <c r="F1471" t="s">
        <v>52</v>
      </c>
      <c r="G1471" t="s">
        <v>4960</v>
      </c>
      <c r="H1471" s="1">
        <v>45909</v>
      </c>
      <c r="I1471" t="s">
        <v>4961</v>
      </c>
      <c r="J1471" s="8">
        <v>45922</v>
      </c>
      <c r="K1471" s="1" t="s">
        <v>4530</v>
      </c>
      <c r="L1471" t="s">
        <v>4962</v>
      </c>
      <c r="M1471" t="s">
        <v>4963</v>
      </c>
      <c r="N1471" s="12">
        <v>258000</v>
      </c>
      <c r="O1471" t="s">
        <v>3633</v>
      </c>
      <c r="P1471" s="6" t="s">
        <v>36</v>
      </c>
      <c r="R1471" t="s">
        <v>38</v>
      </c>
      <c r="S1471" s="9">
        <v>4300</v>
      </c>
      <c r="T1471" s="9">
        <v>60</v>
      </c>
      <c r="U1471" s="9">
        <v>258000</v>
      </c>
      <c r="V1471" s="6" t="s">
        <v>39</v>
      </c>
      <c r="W1471" t="s">
        <v>40</v>
      </c>
      <c r="X1471" t="s">
        <v>4947</v>
      </c>
      <c r="Y1471" t="s">
        <v>4948</v>
      </c>
      <c r="Z1471" s="3">
        <v>45923.422222222223</v>
      </c>
      <c r="AA1471" s="6">
        <v>2026</v>
      </c>
      <c r="AB1471" s="1">
        <v>46387</v>
      </c>
    </row>
    <row r="1472" spans="1:28" x14ac:dyDescent="0.3">
      <c r="A1472" t="s">
        <v>4964</v>
      </c>
      <c r="B1472" s="6" t="s">
        <v>1689</v>
      </c>
      <c r="C1472" s="6" t="s">
        <v>164</v>
      </c>
      <c r="D1472">
        <v>7743085670</v>
      </c>
      <c r="E1472">
        <v>774301001</v>
      </c>
      <c r="F1472" t="s">
        <v>149</v>
      </c>
      <c r="G1472" t="s">
        <v>4965</v>
      </c>
      <c r="H1472" s="1">
        <v>45918</v>
      </c>
      <c r="J1472" s="8">
        <v>45923</v>
      </c>
      <c r="K1472" s="1" t="s">
        <v>4530</v>
      </c>
      <c r="L1472" t="s">
        <v>4966</v>
      </c>
      <c r="M1472" t="s">
        <v>377</v>
      </c>
      <c r="N1472" s="12">
        <v>140000</v>
      </c>
      <c r="O1472" t="s">
        <v>3613</v>
      </c>
      <c r="P1472" s="6" t="s">
        <v>464</v>
      </c>
      <c r="R1472" t="s">
        <v>38</v>
      </c>
      <c r="S1472" s="9">
        <v>3500</v>
      </c>
      <c r="T1472" s="9">
        <v>40</v>
      </c>
      <c r="U1472" s="9">
        <v>140000</v>
      </c>
      <c r="V1472" s="6" t="s">
        <v>4967</v>
      </c>
      <c r="W1472" t="s">
        <v>4968</v>
      </c>
      <c r="X1472" t="s">
        <v>4969</v>
      </c>
      <c r="Y1472" t="s">
        <v>4944</v>
      </c>
      <c r="Z1472" s="3">
        <v>45923.380555555559</v>
      </c>
      <c r="AA1472" s="6">
        <v>2025</v>
      </c>
      <c r="AB1472" s="1">
        <v>45973</v>
      </c>
    </row>
    <row r="1473" spans="1:28" x14ac:dyDescent="0.3">
      <c r="A1473" t="s">
        <v>4970</v>
      </c>
      <c r="B1473" s="6" t="s">
        <v>964</v>
      </c>
      <c r="C1473" s="6" t="s">
        <v>965</v>
      </c>
      <c r="D1473">
        <v>7021021653</v>
      </c>
      <c r="E1473">
        <v>701701001</v>
      </c>
      <c r="F1473" t="s">
        <v>149</v>
      </c>
      <c r="G1473" t="s">
        <v>4971</v>
      </c>
      <c r="H1473" s="1">
        <v>45924</v>
      </c>
      <c r="J1473" s="8">
        <v>45929</v>
      </c>
      <c r="K1473" s="1" t="s">
        <v>4530</v>
      </c>
      <c r="L1473" t="s">
        <v>4972</v>
      </c>
      <c r="M1473" t="s">
        <v>377</v>
      </c>
      <c r="N1473" s="12">
        <v>1265550</v>
      </c>
      <c r="O1473" t="s">
        <v>3613</v>
      </c>
      <c r="P1473" s="6" t="s">
        <v>36</v>
      </c>
      <c r="R1473" t="s">
        <v>38</v>
      </c>
      <c r="S1473" s="9">
        <v>2950</v>
      </c>
      <c r="T1473" s="9">
        <v>429</v>
      </c>
      <c r="U1473" s="9">
        <v>1265550</v>
      </c>
      <c r="V1473" s="6" t="s">
        <v>58</v>
      </c>
      <c r="W1473" t="s">
        <v>59</v>
      </c>
      <c r="X1473">
        <v>5262222144</v>
      </c>
      <c r="Y1473">
        <v>526001001</v>
      </c>
      <c r="Z1473" s="3">
        <v>45930.279166666667</v>
      </c>
      <c r="AA1473" s="6">
        <v>2025</v>
      </c>
      <c r="AB1473" s="1">
        <v>46022</v>
      </c>
    </row>
    <row r="1474" spans="1:28" x14ac:dyDescent="0.3">
      <c r="A1474" t="s">
        <v>4973</v>
      </c>
      <c r="B1474" s="6" t="s">
        <v>61</v>
      </c>
      <c r="C1474" s="6" t="s">
        <v>62</v>
      </c>
      <c r="D1474">
        <v>4027022305</v>
      </c>
      <c r="E1474">
        <v>402701001</v>
      </c>
      <c r="F1474" t="s">
        <v>52</v>
      </c>
      <c r="G1474" t="s">
        <v>4974</v>
      </c>
      <c r="H1474" s="1">
        <v>45918</v>
      </c>
      <c r="I1474" t="s">
        <v>4975</v>
      </c>
      <c r="J1474" s="8">
        <v>45929</v>
      </c>
      <c r="K1474" s="1" t="s">
        <v>4530</v>
      </c>
      <c r="L1474" t="s">
        <v>4974</v>
      </c>
      <c r="M1474" t="s">
        <v>1553</v>
      </c>
      <c r="N1474" s="12">
        <v>21477925</v>
      </c>
      <c r="O1474" t="s">
        <v>3633</v>
      </c>
      <c r="P1474" s="6" t="s">
        <v>36</v>
      </c>
      <c r="R1474" t="s">
        <v>38</v>
      </c>
      <c r="S1474" s="9">
        <v>3068.28</v>
      </c>
      <c r="T1474" s="9">
        <v>3600</v>
      </c>
      <c r="U1474" s="9">
        <v>11045790</v>
      </c>
      <c r="V1474" s="6" t="s">
        <v>58</v>
      </c>
      <c r="W1474" t="s">
        <v>59</v>
      </c>
      <c r="X1474">
        <v>5262222144</v>
      </c>
      <c r="Y1474">
        <v>526001001</v>
      </c>
      <c r="Z1474" s="3">
        <v>45929.609027777777</v>
      </c>
      <c r="AA1474" s="6">
        <v>2026</v>
      </c>
      <c r="AB1474" s="1">
        <v>46387</v>
      </c>
    </row>
    <row r="1475" spans="1:28" x14ac:dyDescent="0.3">
      <c r="A1475" t="s">
        <v>4973</v>
      </c>
      <c r="B1475" s="6" t="s">
        <v>61</v>
      </c>
      <c r="C1475" s="6" t="s">
        <v>62</v>
      </c>
      <c r="D1475">
        <v>4027022305</v>
      </c>
      <c r="E1475">
        <v>402701001</v>
      </c>
      <c r="F1475" t="s">
        <v>52</v>
      </c>
      <c r="G1475" t="s">
        <v>4974</v>
      </c>
      <c r="H1475" s="1">
        <v>45918</v>
      </c>
      <c r="I1475" t="s">
        <v>4975</v>
      </c>
      <c r="J1475" s="8">
        <v>45929</v>
      </c>
      <c r="K1475" s="1" t="s">
        <v>4530</v>
      </c>
      <c r="L1475" t="s">
        <v>4974</v>
      </c>
      <c r="M1475" t="s">
        <v>1553</v>
      </c>
      <c r="N1475" s="12">
        <v>21477925</v>
      </c>
      <c r="O1475" t="s">
        <v>4036</v>
      </c>
      <c r="P1475" s="6" t="s">
        <v>2941</v>
      </c>
      <c r="R1475" t="s">
        <v>38</v>
      </c>
      <c r="S1475" s="9">
        <v>3068.28</v>
      </c>
      <c r="T1475" s="9">
        <v>3400</v>
      </c>
      <c r="U1475" s="9">
        <v>10432135</v>
      </c>
      <c r="V1475" s="6" t="s">
        <v>58</v>
      </c>
      <c r="W1475" t="s">
        <v>59</v>
      </c>
      <c r="X1475">
        <v>5262222144</v>
      </c>
      <c r="Y1475">
        <v>526001001</v>
      </c>
      <c r="Z1475" s="3">
        <v>45929.609027777777</v>
      </c>
      <c r="AA1475" s="6">
        <v>2026</v>
      </c>
      <c r="AB1475" s="1">
        <v>46387</v>
      </c>
    </row>
    <row r="1476" spans="1:28" x14ac:dyDescent="0.3">
      <c r="A1476" t="s">
        <v>4976</v>
      </c>
      <c r="B1476" s="6" t="s">
        <v>61</v>
      </c>
      <c r="C1476" s="6" t="s">
        <v>62</v>
      </c>
      <c r="D1476">
        <v>4027022305</v>
      </c>
      <c r="E1476">
        <v>402701001</v>
      </c>
      <c r="F1476" t="s">
        <v>52</v>
      </c>
      <c r="G1476" t="s">
        <v>4977</v>
      </c>
      <c r="H1476" s="1">
        <v>45919</v>
      </c>
      <c r="I1476" t="s">
        <v>4978</v>
      </c>
      <c r="J1476" s="8">
        <v>45930</v>
      </c>
      <c r="K1476" s="1" t="s">
        <v>4530</v>
      </c>
      <c r="L1476" t="s">
        <v>4977</v>
      </c>
      <c r="M1476" t="s">
        <v>1553</v>
      </c>
      <c r="N1476" s="12">
        <v>1242500</v>
      </c>
      <c r="O1476" t="s">
        <v>3745</v>
      </c>
      <c r="P1476" s="6" t="s">
        <v>2277</v>
      </c>
      <c r="R1476" t="s">
        <v>38</v>
      </c>
      <c r="S1476" s="9">
        <v>3550</v>
      </c>
      <c r="T1476" s="9">
        <v>350</v>
      </c>
      <c r="U1476" s="9">
        <v>1242500</v>
      </c>
      <c r="V1476" s="6" t="s">
        <v>111</v>
      </c>
      <c r="W1476" t="s">
        <v>59</v>
      </c>
      <c r="X1476">
        <v>5262258091</v>
      </c>
      <c r="Y1476">
        <v>526001001</v>
      </c>
      <c r="Z1476" s="3">
        <v>45930.540972222225</v>
      </c>
      <c r="AA1476" s="6">
        <v>2026</v>
      </c>
      <c r="AB1476" s="1">
        <v>46387</v>
      </c>
    </row>
    <row r="1477" spans="1:28" x14ac:dyDescent="0.3">
      <c r="A1477" t="s">
        <v>4979</v>
      </c>
      <c r="B1477" s="6" t="s">
        <v>61</v>
      </c>
      <c r="C1477" s="6" t="s">
        <v>62</v>
      </c>
      <c r="D1477">
        <v>4027022305</v>
      </c>
      <c r="E1477">
        <v>402701001</v>
      </c>
      <c r="F1477" t="s">
        <v>52</v>
      </c>
      <c r="G1477" t="s">
        <v>4980</v>
      </c>
      <c r="H1477" s="1">
        <v>45919</v>
      </c>
      <c r="I1477" t="s">
        <v>4978</v>
      </c>
      <c r="J1477" s="8">
        <v>45931</v>
      </c>
      <c r="K1477" s="1" t="s">
        <v>4530</v>
      </c>
      <c r="L1477" t="s">
        <v>4980</v>
      </c>
      <c r="M1477" t="s">
        <v>1553</v>
      </c>
      <c r="N1477" s="12">
        <v>32323500</v>
      </c>
      <c r="O1477" t="s">
        <v>3633</v>
      </c>
      <c r="P1477" s="6" t="s">
        <v>36</v>
      </c>
      <c r="R1477" t="s">
        <v>38</v>
      </c>
      <c r="S1477" s="9">
        <v>3265</v>
      </c>
      <c r="T1477" s="9">
        <v>4950</v>
      </c>
      <c r="U1477" s="9">
        <v>16161750</v>
      </c>
      <c r="V1477" s="6" t="s">
        <v>58</v>
      </c>
      <c r="W1477" t="s">
        <v>59</v>
      </c>
      <c r="X1477">
        <v>5262222144</v>
      </c>
      <c r="Y1477">
        <v>526001001</v>
      </c>
      <c r="Z1477" s="3">
        <v>45931.421527777777</v>
      </c>
      <c r="AA1477" s="6">
        <v>2026</v>
      </c>
      <c r="AB1477" s="1">
        <v>46387</v>
      </c>
    </row>
    <row r="1478" spans="1:28" x14ac:dyDescent="0.3">
      <c r="A1478" t="s">
        <v>4979</v>
      </c>
      <c r="B1478" s="6" t="s">
        <v>61</v>
      </c>
      <c r="C1478" s="6" t="s">
        <v>62</v>
      </c>
      <c r="D1478">
        <v>4027022305</v>
      </c>
      <c r="E1478">
        <v>402701001</v>
      </c>
      <c r="F1478" t="s">
        <v>52</v>
      </c>
      <c r="G1478" t="s">
        <v>4980</v>
      </c>
      <c r="H1478" s="1">
        <v>45919</v>
      </c>
      <c r="I1478" t="s">
        <v>4978</v>
      </c>
      <c r="J1478" s="8">
        <v>45931</v>
      </c>
      <c r="K1478" s="1" t="s">
        <v>4530</v>
      </c>
      <c r="L1478" t="s">
        <v>4980</v>
      </c>
      <c r="M1478" t="s">
        <v>1553</v>
      </c>
      <c r="N1478" s="12">
        <v>32323500</v>
      </c>
      <c r="O1478" t="s">
        <v>3745</v>
      </c>
      <c r="P1478" s="6" t="s">
        <v>2277</v>
      </c>
      <c r="R1478" t="s">
        <v>38</v>
      </c>
      <c r="S1478" s="9">
        <v>3265</v>
      </c>
      <c r="T1478" s="9">
        <v>4950</v>
      </c>
      <c r="U1478" s="9">
        <v>16161750</v>
      </c>
      <c r="V1478" s="6" t="s">
        <v>58</v>
      </c>
      <c r="W1478" t="s">
        <v>59</v>
      </c>
      <c r="X1478">
        <v>5262222144</v>
      </c>
      <c r="Y1478">
        <v>526001001</v>
      </c>
      <c r="Z1478" s="3">
        <v>45931.421527777777</v>
      </c>
      <c r="AA1478" s="6">
        <v>2026</v>
      </c>
      <c r="AB1478" s="1">
        <v>46387</v>
      </c>
    </row>
    <row r="1479" spans="1:28" x14ac:dyDescent="0.3">
      <c r="A1479" t="s">
        <v>4981</v>
      </c>
      <c r="B1479" s="6" t="s">
        <v>418</v>
      </c>
      <c r="C1479" s="6" t="s">
        <v>148</v>
      </c>
      <c r="D1479">
        <v>274157821</v>
      </c>
      <c r="E1479">
        <v>27401001</v>
      </c>
      <c r="F1479" t="s">
        <v>149</v>
      </c>
      <c r="G1479" t="s">
        <v>4982</v>
      </c>
      <c r="H1479" s="1">
        <v>45926</v>
      </c>
      <c r="J1479" s="8">
        <v>45931</v>
      </c>
      <c r="K1479" s="1" t="s">
        <v>4530</v>
      </c>
      <c r="L1479" t="s">
        <v>4982</v>
      </c>
      <c r="M1479" t="s">
        <v>377</v>
      </c>
      <c r="N1479" s="12">
        <v>624000</v>
      </c>
      <c r="O1479" t="s">
        <v>3613</v>
      </c>
      <c r="P1479" s="6" t="s">
        <v>3758</v>
      </c>
      <c r="Q1479" t="s">
        <v>37</v>
      </c>
      <c r="R1479" t="s">
        <v>38</v>
      </c>
      <c r="S1479" s="9">
        <v>6000</v>
      </c>
      <c r="T1479" s="9">
        <v>52</v>
      </c>
      <c r="U1479" s="9">
        <v>312000</v>
      </c>
      <c r="V1479" s="6" t="s">
        <v>90</v>
      </c>
      <c r="W1479" t="s">
        <v>59</v>
      </c>
      <c r="X1479">
        <v>5259153331</v>
      </c>
      <c r="Y1479">
        <v>525901001</v>
      </c>
      <c r="Z1479" s="3">
        <v>45932.350694444445</v>
      </c>
      <c r="AA1479" s="6">
        <v>2025</v>
      </c>
      <c r="AB1479" s="1">
        <v>46022</v>
      </c>
    </row>
    <row r="1480" spans="1:28" x14ac:dyDescent="0.3">
      <c r="A1480" t="s">
        <v>4981</v>
      </c>
      <c r="B1480" s="6" t="s">
        <v>418</v>
      </c>
      <c r="C1480" s="6" t="s">
        <v>148</v>
      </c>
      <c r="D1480">
        <v>274157821</v>
      </c>
      <c r="E1480">
        <v>27401001</v>
      </c>
      <c r="F1480" t="s">
        <v>149</v>
      </c>
      <c r="G1480" t="s">
        <v>4982</v>
      </c>
      <c r="H1480" s="1">
        <v>45926</v>
      </c>
      <c r="J1480" s="8">
        <v>45931</v>
      </c>
      <c r="K1480" s="1" t="s">
        <v>4530</v>
      </c>
      <c r="L1480" t="s">
        <v>4982</v>
      </c>
      <c r="M1480" t="s">
        <v>377</v>
      </c>
      <c r="N1480" s="12">
        <v>624000</v>
      </c>
      <c r="O1480" t="s">
        <v>3613</v>
      </c>
      <c r="P1480" s="6" t="s">
        <v>1814</v>
      </c>
      <c r="Q1480" t="s">
        <v>37</v>
      </c>
      <c r="R1480" t="s">
        <v>38</v>
      </c>
      <c r="S1480" s="9">
        <v>6000</v>
      </c>
      <c r="T1480" s="9">
        <v>52</v>
      </c>
      <c r="U1480" s="9">
        <v>312000</v>
      </c>
      <c r="V1480" s="6" t="s">
        <v>90</v>
      </c>
      <c r="W1480" t="s">
        <v>59</v>
      </c>
      <c r="X1480">
        <v>5259153331</v>
      </c>
      <c r="Y1480">
        <v>525901001</v>
      </c>
      <c r="Z1480" s="3">
        <v>45932.350694444445</v>
      </c>
      <c r="AA1480" s="6">
        <v>2025</v>
      </c>
      <c r="AB1480" s="1">
        <v>46022</v>
      </c>
    </row>
    <row r="1481" spans="1:28" x14ac:dyDescent="0.3">
      <c r="A1481" t="s">
        <v>4983</v>
      </c>
      <c r="B1481" s="6" t="s">
        <v>1003</v>
      </c>
      <c r="C1481" s="6" t="s">
        <v>1004</v>
      </c>
      <c r="D1481">
        <v>816025842</v>
      </c>
      <c r="E1481">
        <v>81601001</v>
      </c>
      <c r="F1481" t="s">
        <v>149</v>
      </c>
      <c r="G1481" t="s">
        <v>4984</v>
      </c>
      <c r="H1481" s="1">
        <v>45931</v>
      </c>
      <c r="I1481" t="s">
        <v>4985</v>
      </c>
      <c r="J1481" s="8">
        <v>45936</v>
      </c>
      <c r="K1481" s="1" t="s">
        <v>4530</v>
      </c>
      <c r="L1481" t="s">
        <v>4986</v>
      </c>
      <c r="M1481" t="s">
        <v>377</v>
      </c>
      <c r="N1481" s="12">
        <v>3711315.9</v>
      </c>
      <c r="O1481" t="s">
        <v>3633</v>
      </c>
      <c r="P1481" s="6" t="s">
        <v>36</v>
      </c>
      <c r="R1481" t="s">
        <v>38</v>
      </c>
      <c r="S1481" s="9">
        <v>3017.33</v>
      </c>
      <c r="T1481" s="9">
        <v>1230</v>
      </c>
      <c r="U1481" s="9">
        <v>3711315.9</v>
      </c>
      <c r="V1481" s="6" t="s">
        <v>1009</v>
      </c>
      <c r="W1481" t="s">
        <v>40</v>
      </c>
      <c r="X1481">
        <v>3443142095</v>
      </c>
      <c r="Y1481">
        <v>344301001</v>
      </c>
      <c r="Z1481" s="3">
        <v>45938.638888888891</v>
      </c>
      <c r="AA1481" s="6">
        <v>2025</v>
      </c>
      <c r="AB1481" s="1">
        <v>45991</v>
      </c>
    </row>
    <row r="1482" spans="1:28" x14ac:dyDescent="0.3">
      <c r="A1482" t="s">
        <v>4987</v>
      </c>
      <c r="B1482" s="6" t="s">
        <v>1472</v>
      </c>
      <c r="C1482" s="6" t="s">
        <v>1473</v>
      </c>
      <c r="D1482">
        <v>3123448020</v>
      </c>
      <c r="E1482">
        <v>312301001</v>
      </c>
      <c r="F1482" t="s">
        <v>52</v>
      </c>
      <c r="G1482" t="s">
        <v>4988</v>
      </c>
      <c r="H1482" s="1">
        <v>45925</v>
      </c>
      <c r="J1482" s="8">
        <v>45936</v>
      </c>
      <c r="K1482" s="1" t="s">
        <v>4530</v>
      </c>
      <c r="L1482" t="s">
        <v>4988</v>
      </c>
      <c r="M1482" t="s">
        <v>4989</v>
      </c>
      <c r="N1482" s="12">
        <v>15300000</v>
      </c>
      <c r="O1482" t="s">
        <v>4990</v>
      </c>
      <c r="P1482" s="6" t="s">
        <v>2277</v>
      </c>
      <c r="R1482" t="s">
        <v>38</v>
      </c>
      <c r="S1482" s="9">
        <v>3400</v>
      </c>
      <c r="T1482" s="9">
        <v>4500</v>
      </c>
      <c r="U1482" s="9">
        <v>15300000</v>
      </c>
      <c r="V1482" s="6" t="s">
        <v>2237</v>
      </c>
      <c r="W1482" t="s">
        <v>2238</v>
      </c>
      <c r="X1482">
        <v>3123321867</v>
      </c>
      <c r="Y1482">
        <v>312301001</v>
      </c>
      <c r="Z1482" s="3">
        <v>45937.376388888886</v>
      </c>
      <c r="AA1482" s="6">
        <v>2026</v>
      </c>
      <c r="AB1482" s="1">
        <v>46173</v>
      </c>
    </row>
    <row r="1483" spans="1:28" x14ac:dyDescent="0.3">
      <c r="A1483" s="4" t="s">
        <v>4991</v>
      </c>
      <c r="B1483" s="6" t="s">
        <v>394</v>
      </c>
      <c r="C1483" s="6" t="s">
        <v>395</v>
      </c>
      <c r="D1483">
        <v>7203000249</v>
      </c>
      <c r="E1483">
        <v>720301001</v>
      </c>
      <c r="F1483" t="s">
        <v>52</v>
      </c>
      <c r="G1483" t="s">
        <v>4992</v>
      </c>
      <c r="H1483" s="1">
        <v>45924</v>
      </c>
      <c r="J1483" s="8">
        <v>45936</v>
      </c>
      <c r="K1483" s="1" t="s">
        <v>4530</v>
      </c>
      <c r="L1483" t="s">
        <v>4993</v>
      </c>
      <c r="M1483" t="s">
        <v>4994</v>
      </c>
      <c r="N1483" s="12">
        <v>33575000</v>
      </c>
      <c r="O1483" t="s">
        <v>3633</v>
      </c>
      <c r="P1483" s="6" t="s">
        <v>36</v>
      </c>
      <c r="R1483" t="s">
        <v>38</v>
      </c>
      <c r="S1483" s="9">
        <v>3950</v>
      </c>
      <c r="T1483" s="9">
        <v>8500</v>
      </c>
      <c r="U1483" s="9">
        <v>33575000</v>
      </c>
      <c r="V1483" s="6" t="s">
        <v>723</v>
      </c>
      <c r="W1483" t="s">
        <v>402</v>
      </c>
      <c r="X1483">
        <v>890507752198</v>
      </c>
      <c r="Z1483" s="3">
        <v>45938.250694444447</v>
      </c>
      <c r="AA1483" s="6">
        <v>2025</v>
      </c>
      <c r="AB1483" s="1">
        <v>46022</v>
      </c>
    </row>
    <row r="1484" spans="1:28" x14ac:dyDescent="0.3">
      <c r="A1484" t="s">
        <v>4995</v>
      </c>
      <c r="B1484" s="6" t="s">
        <v>394</v>
      </c>
      <c r="C1484" s="6" t="s">
        <v>395</v>
      </c>
      <c r="D1484">
        <v>7203000249</v>
      </c>
      <c r="E1484">
        <v>720301001</v>
      </c>
      <c r="F1484" t="s">
        <v>52</v>
      </c>
      <c r="G1484" t="s">
        <v>4996</v>
      </c>
      <c r="H1484" s="1">
        <v>45924</v>
      </c>
      <c r="J1484" s="8">
        <v>45936</v>
      </c>
      <c r="K1484" s="1" t="s">
        <v>4530</v>
      </c>
      <c r="L1484" t="s">
        <v>4997</v>
      </c>
      <c r="M1484" t="s">
        <v>4994</v>
      </c>
      <c r="N1484" s="12">
        <v>1332304</v>
      </c>
      <c r="O1484" t="s">
        <v>4652</v>
      </c>
      <c r="P1484" s="6" t="s">
        <v>2277</v>
      </c>
      <c r="R1484" t="s">
        <v>38</v>
      </c>
      <c r="S1484" s="9">
        <v>4441.01</v>
      </c>
      <c r="T1484" s="9">
        <v>300</v>
      </c>
      <c r="U1484" s="9">
        <v>1332304</v>
      </c>
      <c r="V1484" s="6" t="s">
        <v>401</v>
      </c>
      <c r="W1484" t="s">
        <v>402</v>
      </c>
      <c r="X1484">
        <v>720208302235</v>
      </c>
      <c r="Z1484" s="3">
        <v>45936.601388888892</v>
      </c>
      <c r="AA1484" s="6">
        <v>2026</v>
      </c>
      <c r="AB1484" s="1">
        <v>46387</v>
      </c>
    </row>
    <row r="1485" spans="1:28" x14ac:dyDescent="0.3">
      <c r="A1485" t="s">
        <v>4998</v>
      </c>
      <c r="B1485" s="6" t="s">
        <v>554</v>
      </c>
      <c r="C1485" s="6" t="s">
        <v>555</v>
      </c>
      <c r="D1485">
        <v>7453135827</v>
      </c>
      <c r="E1485">
        <v>745301001</v>
      </c>
      <c r="F1485" t="s">
        <v>94</v>
      </c>
      <c r="G1485" t="s">
        <v>4999</v>
      </c>
      <c r="H1485" s="1">
        <v>45933</v>
      </c>
      <c r="J1485" s="8">
        <v>45938</v>
      </c>
      <c r="K1485" s="1" t="s">
        <v>4530</v>
      </c>
      <c r="L1485" t="s">
        <v>5000</v>
      </c>
      <c r="M1485" t="s">
        <v>2004</v>
      </c>
      <c r="N1485" s="12">
        <v>388700</v>
      </c>
      <c r="O1485" t="s">
        <v>4078</v>
      </c>
      <c r="P1485" s="6" t="s">
        <v>36</v>
      </c>
      <c r="R1485" t="s">
        <v>48</v>
      </c>
      <c r="S1485" s="9">
        <v>2990</v>
      </c>
      <c r="T1485" s="9">
        <v>130</v>
      </c>
      <c r="U1485" s="9">
        <v>388700</v>
      </c>
      <c r="V1485" s="6" t="s">
        <v>111</v>
      </c>
      <c r="W1485" t="s">
        <v>59</v>
      </c>
      <c r="X1485">
        <v>5262258091</v>
      </c>
      <c r="Y1485">
        <v>526001001</v>
      </c>
      <c r="Z1485" s="3">
        <v>45940.469444444447</v>
      </c>
      <c r="AA1485" s="6">
        <v>2025</v>
      </c>
      <c r="AB1485" s="1">
        <v>46021</v>
      </c>
    </row>
    <row r="1486" spans="1:28" x14ac:dyDescent="0.3">
      <c r="A1486" t="s">
        <v>5001</v>
      </c>
      <c r="B1486" s="6" t="s">
        <v>1103</v>
      </c>
      <c r="C1486" s="6" t="s">
        <v>1104</v>
      </c>
      <c r="D1486">
        <v>4347018562</v>
      </c>
      <c r="E1486" s="4">
        <v>434501001</v>
      </c>
      <c r="F1486" t="s">
        <v>52</v>
      </c>
      <c r="G1486" t="s">
        <v>5002</v>
      </c>
      <c r="H1486" s="1">
        <v>45929</v>
      </c>
      <c r="J1486" s="8">
        <v>45940</v>
      </c>
      <c r="K1486" s="1" t="s">
        <v>4530</v>
      </c>
      <c r="L1486" t="s">
        <v>5003</v>
      </c>
      <c r="M1486" t="s">
        <v>179</v>
      </c>
      <c r="N1486" s="12">
        <v>16905800</v>
      </c>
      <c r="O1486" t="s">
        <v>3633</v>
      </c>
      <c r="P1486" s="6" t="s">
        <v>36</v>
      </c>
      <c r="R1486" t="s">
        <v>38</v>
      </c>
      <c r="S1486" s="9">
        <v>3085</v>
      </c>
      <c r="T1486" s="9">
        <v>5480</v>
      </c>
      <c r="U1486" s="9">
        <v>16905800</v>
      </c>
      <c r="V1486" s="6" t="s">
        <v>58</v>
      </c>
      <c r="W1486" t="s">
        <v>59</v>
      </c>
      <c r="X1486">
        <v>5262222144</v>
      </c>
      <c r="Y1486">
        <v>526001001</v>
      </c>
      <c r="Z1486" s="3">
        <v>45944.352083333331</v>
      </c>
      <c r="AA1486" s="6">
        <v>2026</v>
      </c>
      <c r="AB1486" s="1">
        <v>46386</v>
      </c>
    </row>
    <row r="1487" spans="1:28" x14ac:dyDescent="0.3">
      <c r="A1487" t="s">
        <v>5001</v>
      </c>
      <c r="B1487" s="6" t="s">
        <v>1103</v>
      </c>
      <c r="C1487" s="6" t="s">
        <v>1104</v>
      </c>
      <c r="D1487">
        <v>4347018562</v>
      </c>
      <c r="E1487">
        <v>434501001</v>
      </c>
      <c r="F1487" t="s">
        <v>52</v>
      </c>
      <c r="G1487" t="s">
        <v>5002</v>
      </c>
      <c r="H1487" s="1">
        <v>45929</v>
      </c>
      <c r="J1487" s="8">
        <v>45940</v>
      </c>
      <c r="K1487" s="1" t="s">
        <v>4530</v>
      </c>
      <c r="L1487" t="s">
        <v>5003</v>
      </c>
      <c r="M1487" t="s">
        <v>179</v>
      </c>
      <c r="N1487" s="12">
        <v>16988000</v>
      </c>
      <c r="O1487" t="s">
        <v>3633</v>
      </c>
      <c r="P1487" s="6" t="s">
        <v>36</v>
      </c>
      <c r="R1487" t="s">
        <v>38</v>
      </c>
      <c r="S1487" s="9">
        <v>3100</v>
      </c>
      <c r="T1487" s="9">
        <v>5480</v>
      </c>
      <c r="U1487" s="9">
        <v>16988000</v>
      </c>
      <c r="V1487" s="6" t="s">
        <v>58</v>
      </c>
      <c r="W1487" t="s">
        <v>59</v>
      </c>
      <c r="X1487">
        <v>5262222144</v>
      </c>
      <c r="Y1487">
        <v>526001001</v>
      </c>
      <c r="Z1487" s="3">
        <v>45943.393055555556</v>
      </c>
      <c r="AA1487" s="6">
        <v>2026</v>
      </c>
      <c r="AB1487" s="1">
        <v>46386</v>
      </c>
    </row>
    <row r="1488" spans="1:28" x14ac:dyDescent="0.3">
      <c r="A1488" t="s">
        <v>5004</v>
      </c>
      <c r="B1488" s="6" t="s">
        <v>113</v>
      </c>
      <c r="C1488" s="6" t="s">
        <v>114</v>
      </c>
      <c r="D1488">
        <v>8601035838</v>
      </c>
      <c r="E1488">
        <v>860201001</v>
      </c>
      <c r="F1488" t="s">
        <v>52</v>
      </c>
      <c r="G1488" t="s">
        <v>5005</v>
      </c>
      <c r="H1488" s="1">
        <v>45932</v>
      </c>
      <c r="J1488" s="8">
        <v>45943</v>
      </c>
      <c r="K1488" s="1" t="s">
        <v>4530</v>
      </c>
      <c r="L1488" t="s">
        <v>5006</v>
      </c>
      <c r="M1488" t="s">
        <v>5007</v>
      </c>
      <c r="N1488" s="12">
        <v>23119820.460000001</v>
      </c>
      <c r="O1488" t="s">
        <v>3745</v>
      </c>
      <c r="P1488" s="6" t="s">
        <v>2277</v>
      </c>
      <c r="R1488" t="s">
        <v>38</v>
      </c>
      <c r="S1488" s="9">
        <v>3766.67</v>
      </c>
      <c r="T1488" s="9">
        <v>6138</v>
      </c>
      <c r="U1488" s="9">
        <v>23119820.460000001</v>
      </c>
      <c r="V1488" s="6" t="s">
        <v>90</v>
      </c>
      <c r="W1488" t="s">
        <v>59</v>
      </c>
      <c r="X1488">
        <v>5259153331</v>
      </c>
      <c r="Y1488">
        <v>525901001</v>
      </c>
      <c r="Z1488" s="3">
        <v>45943.62777777778</v>
      </c>
      <c r="AA1488" s="6">
        <v>2026</v>
      </c>
      <c r="AB1488" s="1">
        <v>46111</v>
      </c>
    </row>
    <row r="1489" spans="1:28" x14ac:dyDescent="0.3">
      <c r="A1489" t="s">
        <v>5008</v>
      </c>
      <c r="B1489" s="6" t="s">
        <v>367</v>
      </c>
      <c r="C1489" s="6" t="s">
        <v>368</v>
      </c>
      <c r="D1489">
        <v>4825005110</v>
      </c>
      <c r="E1489">
        <v>482501001</v>
      </c>
      <c r="F1489" t="s">
        <v>149</v>
      </c>
      <c r="G1489" t="s">
        <v>5009</v>
      </c>
      <c r="H1489" s="1">
        <v>45943</v>
      </c>
      <c r="J1489" s="8">
        <v>45946</v>
      </c>
      <c r="K1489" s="1" t="s">
        <v>4530</v>
      </c>
      <c r="L1489" t="s">
        <v>5010</v>
      </c>
      <c r="M1489" t="s">
        <v>377</v>
      </c>
      <c r="N1489" s="12">
        <v>60000</v>
      </c>
      <c r="O1489" t="s">
        <v>3633</v>
      </c>
      <c r="P1489" s="6" t="s">
        <v>36</v>
      </c>
      <c r="R1489" t="s">
        <v>38</v>
      </c>
      <c r="S1489" s="9">
        <v>3000</v>
      </c>
      <c r="T1489" s="9">
        <v>20</v>
      </c>
      <c r="U1489" s="9">
        <v>60000</v>
      </c>
      <c r="V1489" s="6" t="s">
        <v>39</v>
      </c>
      <c r="W1489" t="s">
        <v>40</v>
      </c>
      <c r="X1489">
        <v>7810687137</v>
      </c>
      <c r="Y1489">
        <v>781401001</v>
      </c>
      <c r="Z1489" s="3">
        <v>45946.501388888886</v>
      </c>
      <c r="AA1489" s="6">
        <v>2026</v>
      </c>
      <c r="AB1489" s="1">
        <v>46660</v>
      </c>
    </row>
    <row r="1490" spans="1:28" x14ac:dyDescent="0.3">
      <c r="A1490" t="s">
        <v>5011</v>
      </c>
      <c r="B1490" s="6" t="s">
        <v>609</v>
      </c>
      <c r="C1490" s="6" t="s">
        <v>270</v>
      </c>
      <c r="D1490">
        <v>1833002854</v>
      </c>
      <c r="E1490">
        <v>184001001</v>
      </c>
      <c r="F1490" t="s">
        <v>44</v>
      </c>
      <c r="H1490"/>
      <c r="J1490" s="8">
        <v>45946</v>
      </c>
      <c r="K1490" s="1" t="s">
        <v>4530</v>
      </c>
      <c r="L1490" t="s">
        <v>5012</v>
      </c>
      <c r="M1490" t="s">
        <v>377</v>
      </c>
      <c r="N1490" s="12">
        <v>20000</v>
      </c>
      <c r="O1490" t="s">
        <v>3613</v>
      </c>
      <c r="P1490" s="6" t="s">
        <v>36</v>
      </c>
      <c r="R1490" t="s">
        <v>38</v>
      </c>
      <c r="S1490" s="9">
        <v>5000</v>
      </c>
      <c r="T1490" s="9">
        <v>4</v>
      </c>
      <c r="U1490" s="9">
        <v>20000</v>
      </c>
      <c r="V1490" s="6" t="s">
        <v>613</v>
      </c>
      <c r="W1490" t="s">
        <v>40</v>
      </c>
      <c r="X1490">
        <v>1831169946</v>
      </c>
      <c r="Y1490">
        <v>183101001</v>
      </c>
      <c r="Z1490" s="3">
        <v>45946.37222222222</v>
      </c>
      <c r="AA1490" s="6">
        <v>2025</v>
      </c>
      <c r="AB1490" s="1">
        <v>46022</v>
      </c>
    </row>
    <row r="1491" spans="1:28" x14ac:dyDescent="0.3">
      <c r="A1491" t="s">
        <v>5013</v>
      </c>
      <c r="B1491" s="6" t="s">
        <v>361</v>
      </c>
      <c r="C1491" s="6" t="s">
        <v>164</v>
      </c>
      <c r="D1491">
        <v>7714338609</v>
      </c>
      <c r="E1491">
        <v>771401001</v>
      </c>
      <c r="F1491" t="s">
        <v>94</v>
      </c>
      <c r="G1491" t="s">
        <v>5014</v>
      </c>
      <c r="H1491" s="1">
        <v>45943</v>
      </c>
      <c r="J1491" s="8">
        <v>45946</v>
      </c>
      <c r="K1491" s="1" t="s">
        <v>4530</v>
      </c>
      <c r="L1491" t="s">
        <v>5015</v>
      </c>
      <c r="M1491" t="s">
        <v>5016</v>
      </c>
      <c r="N1491" s="12">
        <v>1080000</v>
      </c>
      <c r="O1491" t="s">
        <v>4790</v>
      </c>
      <c r="P1491" s="6" t="s">
        <v>1814</v>
      </c>
      <c r="R1491" t="s">
        <v>38</v>
      </c>
      <c r="S1491" s="9">
        <v>6000</v>
      </c>
      <c r="T1491" s="9">
        <v>180</v>
      </c>
      <c r="U1491" s="9">
        <v>1080000</v>
      </c>
      <c r="V1491" s="6" t="s">
        <v>545</v>
      </c>
      <c r="W1491" t="s">
        <v>40</v>
      </c>
      <c r="X1491">
        <v>7713655588</v>
      </c>
      <c r="Y1491">
        <v>773001001</v>
      </c>
      <c r="Z1491" s="3">
        <v>45950.365277777775</v>
      </c>
      <c r="AA1491" s="6">
        <v>2025</v>
      </c>
      <c r="AB1491" s="1">
        <v>46000</v>
      </c>
    </row>
    <row r="1492" spans="1:28" x14ac:dyDescent="0.3">
      <c r="A1492" t="s">
        <v>5017</v>
      </c>
      <c r="B1492" s="6" t="s">
        <v>946</v>
      </c>
      <c r="C1492" s="6" t="s">
        <v>947</v>
      </c>
      <c r="D1492">
        <v>7325000951</v>
      </c>
      <c r="E1492">
        <v>732501001</v>
      </c>
      <c r="F1492" t="s">
        <v>52</v>
      </c>
      <c r="G1492" t="s">
        <v>5018</v>
      </c>
      <c r="H1492" s="1">
        <v>45939</v>
      </c>
      <c r="J1492" s="8">
        <v>45952</v>
      </c>
      <c r="K1492" s="1" t="s">
        <v>4530</v>
      </c>
      <c r="L1492" t="s">
        <v>5018</v>
      </c>
      <c r="M1492" t="s">
        <v>377</v>
      </c>
      <c r="N1492" s="12">
        <v>11490000</v>
      </c>
      <c r="O1492" t="s">
        <v>3815</v>
      </c>
      <c r="P1492" s="6" t="s">
        <v>3758</v>
      </c>
      <c r="Q1492" t="s">
        <v>37</v>
      </c>
      <c r="R1492" t="s">
        <v>38</v>
      </c>
      <c r="S1492" s="9">
        <v>3000</v>
      </c>
      <c r="T1492" s="9">
        <v>830</v>
      </c>
      <c r="U1492" s="9">
        <v>2490000</v>
      </c>
      <c r="V1492" s="6" t="s">
        <v>39</v>
      </c>
      <c r="W1492" t="s">
        <v>40</v>
      </c>
      <c r="X1492">
        <v>7810687137</v>
      </c>
      <c r="Y1492">
        <v>781401001</v>
      </c>
      <c r="Z1492" s="3">
        <v>45952.65347222222</v>
      </c>
      <c r="AA1492" s="6">
        <v>2025</v>
      </c>
      <c r="AB1492" s="1">
        <v>46022</v>
      </c>
    </row>
    <row r="1493" spans="1:28" x14ac:dyDescent="0.3">
      <c r="A1493" t="s">
        <v>5017</v>
      </c>
      <c r="B1493" s="6" t="s">
        <v>946</v>
      </c>
      <c r="C1493" s="6" t="s">
        <v>947</v>
      </c>
      <c r="D1493">
        <v>7325000951</v>
      </c>
      <c r="E1493">
        <v>732501001</v>
      </c>
      <c r="F1493" t="s">
        <v>52</v>
      </c>
      <c r="G1493" t="s">
        <v>5018</v>
      </c>
      <c r="H1493" s="1">
        <v>45939</v>
      </c>
      <c r="J1493" s="8">
        <v>45952</v>
      </c>
      <c r="K1493" s="1" t="s">
        <v>4530</v>
      </c>
      <c r="L1493" t="s">
        <v>5018</v>
      </c>
      <c r="M1493" t="s">
        <v>377</v>
      </c>
      <c r="N1493" s="12">
        <v>11490000</v>
      </c>
      <c r="O1493" t="s">
        <v>3633</v>
      </c>
      <c r="P1493" s="6" t="s">
        <v>36</v>
      </c>
      <c r="Q1493" t="s">
        <v>37</v>
      </c>
      <c r="R1493" t="s">
        <v>38</v>
      </c>
      <c r="S1493" s="9">
        <v>3000</v>
      </c>
      <c r="T1493" s="9">
        <v>3000</v>
      </c>
      <c r="U1493" s="9">
        <v>9000000</v>
      </c>
      <c r="V1493" s="6" t="s">
        <v>39</v>
      </c>
      <c r="W1493" t="s">
        <v>40</v>
      </c>
      <c r="X1493">
        <v>7810687137</v>
      </c>
      <c r="Y1493">
        <v>781401001</v>
      </c>
      <c r="Z1493" s="3">
        <v>45952.65347222222</v>
      </c>
      <c r="AA1493" s="6">
        <v>2025</v>
      </c>
      <c r="AB1493" s="1">
        <v>46022</v>
      </c>
    </row>
    <row r="1494" spans="1:28" x14ac:dyDescent="0.3">
      <c r="A1494" t="s">
        <v>5019</v>
      </c>
      <c r="B1494" s="6" t="s">
        <v>3050</v>
      </c>
      <c r="C1494" s="6" t="s">
        <v>336</v>
      </c>
      <c r="D1494">
        <v>5902293308</v>
      </c>
      <c r="E1494">
        <v>590201001</v>
      </c>
      <c r="F1494" t="s">
        <v>149</v>
      </c>
      <c r="G1494" t="s">
        <v>5020</v>
      </c>
      <c r="H1494" s="1">
        <v>45950</v>
      </c>
      <c r="J1494" s="8">
        <v>45953</v>
      </c>
      <c r="K1494" s="1" t="s">
        <v>4530</v>
      </c>
      <c r="L1494" t="s">
        <v>5020</v>
      </c>
      <c r="M1494" t="s">
        <v>377</v>
      </c>
      <c r="N1494" s="12">
        <v>539100</v>
      </c>
      <c r="O1494" t="s">
        <v>3633</v>
      </c>
      <c r="P1494" s="6" t="s">
        <v>36</v>
      </c>
      <c r="R1494" t="s">
        <v>38</v>
      </c>
      <c r="S1494" s="9">
        <v>2995</v>
      </c>
      <c r="T1494" s="9">
        <v>180</v>
      </c>
      <c r="U1494" s="9">
        <v>539100</v>
      </c>
      <c r="V1494" s="6" t="s">
        <v>58</v>
      </c>
      <c r="W1494" t="s">
        <v>59</v>
      </c>
      <c r="X1494">
        <v>5262222144</v>
      </c>
      <c r="Y1494">
        <v>526001001</v>
      </c>
      <c r="Z1494" s="3">
        <v>45954.3125</v>
      </c>
      <c r="AA1494" s="6">
        <v>2025</v>
      </c>
      <c r="AB1494" s="1">
        <v>46022</v>
      </c>
    </row>
    <row r="1495" spans="1:28" x14ac:dyDescent="0.3">
      <c r="A1495" t="s">
        <v>5021</v>
      </c>
      <c r="B1495" s="6" t="s">
        <v>1145</v>
      </c>
      <c r="C1495" s="6" t="s">
        <v>1146</v>
      </c>
      <c r="D1495">
        <v>6501024966</v>
      </c>
      <c r="E1495">
        <v>650101001</v>
      </c>
      <c r="F1495" t="s">
        <v>52</v>
      </c>
      <c r="G1495" t="s">
        <v>5022</v>
      </c>
      <c r="H1495" s="1">
        <v>45945</v>
      </c>
      <c r="J1495" s="8">
        <v>45957</v>
      </c>
      <c r="K1495" s="1" t="s">
        <v>4530</v>
      </c>
      <c r="L1495" t="s">
        <v>5022</v>
      </c>
      <c r="M1495" t="s">
        <v>3502</v>
      </c>
      <c r="N1495" s="12">
        <v>1041000</v>
      </c>
      <c r="O1495" t="s">
        <v>3613</v>
      </c>
      <c r="P1495" s="6" t="s">
        <v>891</v>
      </c>
      <c r="Q1495" t="s">
        <v>37</v>
      </c>
      <c r="R1495" t="s">
        <v>38</v>
      </c>
      <c r="S1495" s="9">
        <v>4164</v>
      </c>
      <c r="T1495" s="9">
        <v>250</v>
      </c>
      <c r="U1495" s="9">
        <v>1041000</v>
      </c>
      <c r="V1495" s="6" t="s">
        <v>90</v>
      </c>
      <c r="W1495" t="s">
        <v>59</v>
      </c>
      <c r="X1495">
        <v>5259153331</v>
      </c>
      <c r="Y1495">
        <v>525901001</v>
      </c>
      <c r="Z1495" s="3">
        <v>45960.027083333334</v>
      </c>
      <c r="AA1495" s="6">
        <v>2025</v>
      </c>
      <c r="AB1495" s="1">
        <v>45997</v>
      </c>
    </row>
    <row r="1496" spans="1:28" x14ac:dyDescent="0.3">
      <c r="A1496" t="s">
        <v>5023</v>
      </c>
      <c r="B1496" s="6" t="s">
        <v>121</v>
      </c>
      <c r="C1496" s="6" t="s">
        <v>122</v>
      </c>
      <c r="D1496">
        <v>5402155123</v>
      </c>
      <c r="E1496">
        <v>540201001</v>
      </c>
      <c r="F1496" t="s">
        <v>52</v>
      </c>
      <c r="G1496" t="s">
        <v>5024</v>
      </c>
      <c r="H1496" s="1">
        <v>45945</v>
      </c>
      <c r="I1496" t="s">
        <v>5025</v>
      </c>
      <c r="J1496" s="8">
        <v>45958</v>
      </c>
      <c r="K1496" s="1" t="s">
        <v>4530</v>
      </c>
      <c r="L1496" t="s">
        <v>5026</v>
      </c>
      <c r="M1496" t="s">
        <v>5027</v>
      </c>
      <c r="N1496" s="12">
        <v>49598976</v>
      </c>
      <c r="O1496" t="s">
        <v>3745</v>
      </c>
      <c r="P1496" s="6" t="s">
        <v>2277</v>
      </c>
      <c r="R1496" t="s">
        <v>38</v>
      </c>
      <c r="S1496" s="9">
        <v>1792</v>
      </c>
      <c r="T1496" s="9">
        <v>13839</v>
      </c>
      <c r="U1496" s="9">
        <v>24799488</v>
      </c>
      <c r="V1496" s="6" t="s">
        <v>4615</v>
      </c>
      <c r="W1496" t="s">
        <v>4616</v>
      </c>
      <c r="X1496">
        <v>7707443828</v>
      </c>
      <c r="Y1496">
        <v>770701001</v>
      </c>
      <c r="Z1496" s="3">
        <v>45959.224305555559</v>
      </c>
      <c r="AA1496" s="6">
        <v>2025</v>
      </c>
      <c r="AB1496" s="1">
        <v>46011</v>
      </c>
    </row>
    <row r="1497" spans="1:28" x14ac:dyDescent="0.3">
      <c r="A1497" t="s">
        <v>5023</v>
      </c>
      <c r="B1497" s="6" t="s">
        <v>121</v>
      </c>
      <c r="C1497" s="6" t="s">
        <v>122</v>
      </c>
      <c r="D1497">
        <v>5402155123</v>
      </c>
      <c r="E1497">
        <v>540201001</v>
      </c>
      <c r="F1497" t="s">
        <v>52</v>
      </c>
      <c r="G1497" t="s">
        <v>5024</v>
      </c>
      <c r="H1497" s="1">
        <v>45945</v>
      </c>
      <c r="I1497" t="s">
        <v>5025</v>
      </c>
      <c r="J1497" s="8">
        <v>45958</v>
      </c>
      <c r="K1497" s="1" t="s">
        <v>4530</v>
      </c>
      <c r="L1497" t="s">
        <v>5026</v>
      </c>
      <c r="M1497" t="s">
        <v>5027</v>
      </c>
      <c r="N1497" s="12">
        <v>49598976</v>
      </c>
      <c r="O1497" t="s">
        <v>4022</v>
      </c>
      <c r="P1497" s="6" t="s">
        <v>2941</v>
      </c>
      <c r="R1497" t="s">
        <v>38</v>
      </c>
      <c r="S1497" s="9">
        <v>1792</v>
      </c>
      <c r="T1497" s="9">
        <v>13839</v>
      </c>
      <c r="U1497" s="9">
        <v>24799488</v>
      </c>
      <c r="V1497" s="6" t="s">
        <v>4615</v>
      </c>
      <c r="W1497" t="s">
        <v>4616</v>
      </c>
      <c r="X1497">
        <v>7707443828</v>
      </c>
      <c r="Y1497">
        <v>770701001</v>
      </c>
      <c r="Z1497" s="3">
        <v>45959.224305555559</v>
      </c>
      <c r="AA1497" s="6">
        <v>2025</v>
      </c>
      <c r="AB1497" s="1">
        <v>46011</v>
      </c>
    </row>
    <row r="1498" spans="1:28" x14ac:dyDescent="0.3">
      <c r="A1498" t="s">
        <v>5028</v>
      </c>
      <c r="B1498" s="6" t="s">
        <v>5029</v>
      </c>
      <c r="C1498" s="6" t="s">
        <v>831</v>
      </c>
      <c r="D1498">
        <v>6167063344</v>
      </c>
      <c r="E1498">
        <v>616701001</v>
      </c>
      <c r="F1498" t="s">
        <v>94</v>
      </c>
      <c r="G1498" t="s">
        <v>5030</v>
      </c>
      <c r="H1498" s="1">
        <v>45953</v>
      </c>
      <c r="I1498" t="s">
        <v>5031</v>
      </c>
      <c r="J1498" s="8">
        <v>45958</v>
      </c>
      <c r="K1498" s="1" t="s">
        <v>4530</v>
      </c>
      <c r="L1498" t="s">
        <v>5032</v>
      </c>
      <c r="M1498" t="s">
        <v>5033</v>
      </c>
      <c r="N1498" s="12">
        <v>76000</v>
      </c>
      <c r="O1498" t="s">
        <v>3633</v>
      </c>
      <c r="P1498" s="6" t="s">
        <v>36</v>
      </c>
      <c r="R1498" t="s">
        <v>38</v>
      </c>
      <c r="S1498" s="9">
        <v>3800</v>
      </c>
      <c r="T1498" s="9">
        <v>20</v>
      </c>
      <c r="U1498" s="9">
        <v>76000</v>
      </c>
      <c r="V1498" s="6" t="s">
        <v>58</v>
      </c>
      <c r="W1498" t="s">
        <v>59</v>
      </c>
      <c r="X1498">
        <v>5262222144</v>
      </c>
      <c r="Y1498">
        <v>526001001</v>
      </c>
      <c r="Z1498" s="3">
        <v>45959.454861111109</v>
      </c>
      <c r="AA1498" s="6">
        <v>2026</v>
      </c>
      <c r="AB1498" s="1">
        <v>46387</v>
      </c>
    </row>
    <row r="1499" spans="1:28" x14ac:dyDescent="0.3">
      <c r="A1499" t="s">
        <v>5034</v>
      </c>
      <c r="B1499" s="6" t="s">
        <v>554</v>
      </c>
      <c r="C1499" s="6" t="s">
        <v>555</v>
      </c>
      <c r="D1499">
        <v>7453135827</v>
      </c>
      <c r="E1499">
        <v>745301001</v>
      </c>
      <c r="F1499" t="s">
        <v>94</v>
      </c>
      <c r="G1499" t="s">
        <v>5035</v>
      </c>
      <c r="H1499" s="1">
        <v>45953</v>
      </c>
      <c r="J1499" s="8">
        <v>45958</v>
      </c>
      <c r="K1499" s="1" t="s">
        <v>4530</v>
      </c>
      <c r="L1499" t="s">
        <v>5036</v>
      </c>
      <c r="M1499" t="s">
        <v>5037</v>
      </c>
      <c r="N1499" s="12">
        <v>471900</v>
      </c>
      <c r="O1499" t="s">
        <v>5038</v>
      </c>
      <c r="P1499" s="6" t="s">
        <v>1814</v>
      </c>
      <c r="R1499" t="s">
        <v>66</v>
      </c>
      <c r="S1499" s="9">
        <v>6050</v>
      </c>
      <c r="T1499" s="9">
        <v>78</v>
      </c>
      <c r="U1499" s="9">
        <v>471900</v>
      </c>
      <c r="V1499" s="6" t="s">
        <v>4695</v>
      </c>
      <c r="W1499" t="s">
        <v>4696</v>
      </c>
      <c r="X1499">
        <v>9717006926</v>
      </c>
      <c r="Y1499">
        <v>770801001</v>
      </c>
      <c r="Z1499" s="3">
        <v>45959.588888888888</v>
      </c>
      <c r="AA1499" s="6">
        <v>2025</v>
      </c>
      <c r="AB1499" s="1">
        <v>46022</v>
      </c>
    </row>
    <row r="1500" spans="1:28" x14ac:dyDescent="0.3">
      <c r="A1500" t="s">
        <v>5039</v>
      </c>
      <c r="B1500" s="6" t="s">
        <v>491</v>
      </c>
      <c r="C1500" s="6" t="s">
        <v>492</v>
      </c>
      <c r="D1500">
        <v>2724041260</v>
      </c>
      <c r="E1500">
        <v>272101001</v>
      </c>
      <c r="F1500" t="s">
        <v>52</v>
      </c>
      <c r="G1500" t="s">
        <v>5040</v>
      </c>
      <c r="H1500" s="1">
        <v>45946</v>
      </c>
      <c r="J1500" s="8">
        <v>45958</v>
      </c>
      <c r="K1500" s="1" t="s">
        <v>4530</v>
      </c>
      <c r="L1500" t="s">
        <v>5040</v>
      </c>
      <c r="M1500" t="s">
        <v>4221</v>
      </c>
      <c r="N1500" s="12">
        <v>806660</v>
      </c>
      <c r="O1500" t="s">
        <v>3815</v>
      </c>
      <c r="P1500" s="6" t="s">
        <v>3758</v>
      </c>
      <c r="Q1500" t="s">
        <v>37</v>
      </c>
      <c r="R1500" t="s">
        <v>38</v>
      </c>
      <c r="S1500" s="9">
        <v>8066.6</v>
      </c>
      <c r="T1500" s="9">
        <v>100</v>
      </c>
      <c r="U1500" s="9">
        <v>806660</v>
      </c>
      <c r="V1500" s="6" t="s">
        <v>352</v>
      </c>
      <c r="W1500" t="s">
        <v>40</v>
      </c>
      <c r="X1500">
        <v>7843014747</v>
      </c>
      <c r="Y1500">
        <v>781401001</v>
      </c>
      <c r="Z1500" s="3">
        <v>45962.285416666666</v>
      </c>
      <c r="AA1500" s="6">
        <v>2026</v>
      </c>
      <c r="AB1500" s="1">
        <v>46346</v>
      </c>
    </row>
    <row r="1501" spans="1:28" x14ac:dyDescent="0.3">
      <c r="A1501" t="s">
        <v>5041</v>
      </c>
      <c r="B1501" s="6" t="s">
        <v>5042</v>
      </c>
      <c r="C1501" s="6" t="s">
        <v>1172</v>
      </c>
      <c r="D1501">
        <v>5260136299</v>
      </c>
      <c r="E1501">
        <v>526001001</v>
      </c>
      <c r="F1501" t="s">
        <v>94</v>
      </c>
      <c r="G1501" t="s">
        <v>5043</v>
      </c>
      <c r="H1501" s="1">
        <v>45957</v>
      </c>
      <c r="I1501" t="s">
        <v>5044</v>
      </c>
      <c r="J1501" s="8">
        <v>45960</v>
      </c>
      <c r="K1501" s="1" t="s">
        <v>4530</v>
      </c>
      <c r="L1501" t="s">
        <v>5045</v>
      </c>
      <c r="M1501" t="s">
        <v>5046</v>
      </c>
      <c r="N1501" s="12">
        <v>76800</v>
      </c>
      <c r="O1501" t="s">
        <v>5047</v>
      </c>
      <c r="P1501" s="6" t="s">
        <v>3758</v>
      </c>
      <c r="Q1501" t="s">
        <v>37</v>
      </c>
      <c r="R1501" t="s">
        <v>48</v>
      </c>
      <c r="S1501" s="9">
        <v>3200</v>
      </c>
      <c r="T1501" s="9">
        <v>24</v>
      </c>
      <c r="U1501" s="9">
        <v>76800</v>
      </c>
      <c r="V1501" s="6" t="s">
        <v>58</v>
      </c>
      <c r="W1501" t="s">
        <v>59</v>
      </c>
      <c r="X1501">
        <v>5262222144</v>
      </c>
      <c r="Y1501">
        <v>526001001</v>
      </c>
      <c r="Z1501" s="3">
        <v>45960.463888888888</v>
      </c>
      <c r="AA1501" s="6">
        <v>2025</v>
      </c>
      <c r="AB1501" s="1">
        <v>46022</v>
      </c>
    </row>
    <row r="1502" spans="1:28" x14ac:dyDescent="0.3">
      <c r="A1502" t="s">
        <v>5048</v>
      </c>
      <c r="B1502" s="6" t="s">
        <v>491</v>
      </c>
      <c r="C1502" s="6" t="s">
        <v>492</v>
      </c>
      <c r="D1502">
        <v>2724041260</v>
      </c>
      <c r="E1502">
        <v>272101001</v>
      </c>
      <c r="F1502" t="s">
        <v>94</v>
      </c>
      <c r="G1502" t="s">
        <v>5049</v>
      </c>
      <c r="H1502" s="1">
        <v>45957</v>
      </c>
      <c r="J1502" s="8">
        <v>45960</v>
      </c>
      <c r="K1502" s="1" t="s">
        <v>4530</v>
      </c>
      <c r="L1502" t="s">
        <v>5050</v>
      </c>
      <c r="M1502" t="s">
        <v>4221</v>
      </c>
      <c r="N1502" s="12">
        <v>41783952</v>
      </c>
      <c r="O1502" t="s">
        <v>3624</v>
      </c>
      <c r="P1502" s="6" t="s">
        <v>891</v>
      </c>
      <c r="Q1502" t="s">
        <v>37</v>
      </c>
      <c r="R1502" t="s">
        <v>38</v>
      </c>
      <c r="S1502" s="9">
        <v>8066.4</v>
      </c>
      <c r="T1502" s="9">
        <v>3000</v>
      </c>
      <c r="U1502" s="9">
        <v>24199200</v>
      </c>
      <c r="V1502" s="6" t="s">
        <v>39</v>
      </c>
      <c r="W1502" t="s">
        <v>40</v>
      </c>
      <c r="X1502">
        <v>7810687137</v>
      </c>
      <c r="Y1502">
        <v>781401001</v>
      </c>
      <c r="Z1502" s="3">
        <v>45966.293749999997</v>
      </c>
      <c r="AA1502" s="6">
        <v>2026</v>
      </c>
      <c r="AB1502" s="1">
        <v>46346</v>
      </c>
    </row>
    <row r="1503" spans="1:28" x14ac:dyDescent="0.3">
      <c r="A1503" t="s">
        <v>5048</v>
      </c>
      <c r="B1503" s="6" t="s">
        <v>491</v>
      </c>
      <c r="C1503" s="6" t="s">
        <v>492</v>
      </c>
      <c r="D1503">
        <v>2724041260</v>
      </c>
      <c r="E1503">
        <v>272101001</v>
      </c>
      <c r="F1503" t="s">
        <v>94</v>
      </c>
      <c r="G1503" t="s">
        <v>5049</v>
      </c>
      <c r="H1503" s="1">
        <v>45957</v>
      </c>
      <c r="J1503" s="8">
        <v>45960</v>
      </c>
      <c r="K1503" s="1" t="s">
        <v>4530</v>
      </c>
      <c r="L1503" t="s">
        <v>5050</v>
      </c>
      <c r="M1503" t="s">
        <v>4221</v>
      </c>
      <c r="N1503" s="12">
        <v>41783952</v>
      </c>
      <c r="O1503" t="s">
        <v>3633</v>
      </c>
      <c r="P1503" s="6" t="s">
        <v>36</v>
      </c>
      <c r="R1503" t="s">
        <v>38</v>
      </c>
      <c r="S1503" s="9">
        <v>8066.4</v>
      </c>
      <c r="T1503" s="9">
        <v>1180</v>
      </c>
      <c r="U1503" s="9">
        <v>9518352</v>
      </c>
      <c r="V1503" s="6" t="s">
        <v>39</v>
      </c>
      <c r="W1503" t="s">
        <v>40</v>
      </c>
      <c r="X1503">
        <v>7810687137</v>
      </c>
      <c r="Y1503">
        <v>781401001</v>
      </c>
      <c r="Z1503" s="3">
        <v>45966.293749999997</v>
      </c>
      <c r="AA1503" s="6">
        <v>2026</v>
      </c>
      <c r="AB1503" s="1">
        <v>46346</v>
      </c>
    </row>
    <row r="1504" spans="1:28" x14ac:dyDescent="0.3">
      <c r="A1504" t="s">
        <v>5048</v>
      </c>
      <c r="B1504" s="6" t="s">
        <v>491</v>
      </c>
      <c r="C1504" s="6" t="s">
        <v>492</v>
      </c>
      <c r="D1504">
        <v>2724041260</v>
      </c>
      <c r="E1504">
        <v>272101001</v>
      </c>
      <c r="F1504" t="s">
        <v>94</v>
      </c>
      <c r="G1504" t="s">
        <v>5049</v>
      </c>
      <c r="H1504" s="1">
        <v>45957</v>
      </c>
      <c r="J1504" s="8">
        <v>45960</v>
      </c>
      <c r="K1504" s="1" t="s">
        <v>4530</v>
      </c>
      <c r="L1504" t="s">
        <v>5050</v>
      </c>
      <c r="M1504" t="s">
        <v>4221</v>
      </c>
      <c r="N1504" s="12">
        <v>41783952</v>
      </c>
      <c r="O1504" t="s">
        <v>3648</v>
      </c>
      <c r="P1504" s="6" t="s">
        <v>2277</v>
      </c>
      <c r="R1504" t="s">
        <v>38</v>
      </c>
      <c r="S1504" s="9">
        <v>8066.4</v>
      </c>
      <c r="T1504" s="9">
        <v>1000</v>
      </c>
      <c r="U1504" s="9">
        <v>8066400</v>
      </c>
      <c r="V1504" s="6" t="s">
        <v>39</v>
      </c>
      <c r="W1504" t="s">
        <v>40</v>
      </c>
      <c r="X1504">
        <v>7810687137</v>
      </c>
      <c r="Y1504">
        <v>781401001</v>
      </c>
      <c r="Z1504" s="3">
        <v>45966.293749999997</v>
      </c>
      <c r="AA1504" s="6">
        <v>2026</v>
      </c>
      <c r="AB1504" s="1">
        <v>46346</v>
      </c>
    </row>
    <row r="1505" spans="1:28" x14ac:dyDescent="0.3">
      <c r="A1505" t="s">
        <v>5051</v>
      </c>
      <c r="B1505" s="6" t="s">
        <v>1358</v>
      </c>
      <c r="C1505" s="6" t="s">
        <v>270</v>
      </c>
      <c r="D1505">
        <v>1831044979</v>
      </c>
      <c r="E1505">
        <v>184101001</v>
      </c>
      <c r="F1505" t="s">
        <v>44</v>
      </c>
      <c r="H1505"/>
      <c r="J1505" s="8">
        <v>45961</v>
      </c>
      <c r="K1505" s="1" t="s">
        <v>4530</v>
      </c>
      <c r="L1505" t="s">
        <v>5052</v>
      </c>
      <c r="M1505" t="s">
        <v>4274</v>
      </c>
      <c r="N1505" s="12">
        <v>11624889.18</v>
      </c>
      <c r="O1505" t="s">
        <v>3613</v>
      </c>
      <c r="P1505" s="6" t="s">
        <v>891</v>
      </c>
      <c r="Q1505" t="s">
        <v>37</v>
      </c>
      <c r="R1505" t="s">
        <v>38</v>
      </c>
      <c r="S1505" s="9">
        <v>4582.1400000000003</v>
      </c>
      <c r="T1505" s="9">
        <v>2537</v>
      </c>
      <c r="U1505" s="9">
        <v>11624889.18</v>
      </c>
      <c r="V1505" s="6" t="s">
        <v>274</v>
      </c>
      <c r="W1505" t="s">
        <v>40</v>
      </c>
      <c r="X1505">
        <v>1833000350</v>
      </c>
      <c r="Y1505">
        <v>184001001</v>
      </c>
      <c r="Z1505" s="3">
        <v>45961.661805555559</v>
      </c>
      <c r="AA1505" s="6">
        <v>2025</v>
      </c>
      <c r="AB1505" s="1">
        <v>45991</v>
      </c>
    </row>
    <row r="1506" spans="1:28" x14ac:dyDescent="0.3">
      <c r="A1506" t="s">
        <v>5053</v>
      </c>
      <c r="B1506" s="6" t="s">
        <v>177</v>
      </c>
      <c r="C1506" s="6" t="s">
        <v>62</v>
      </c>
      <c r="D1506">
        <v>4027122645</v>
      </c>
      <c r="E1506">
        <v>402701001</v>
      </c>
      <c r="F1506" t="s">
        <v>44</v>
      </c>
      <c r="H1506"/>
      <c r="J1506" s="8">
        <v>45961</v>
      </c>
      <c r="K1506" s="1" t="s">
        <v>4530</v>
      </c>
      <c r="L1506" t="s">
        <v>5054</v>
      </c>
      <c r="M1506" t="s">
        <v>179</v>
      </c>
      <c r="N1506" s="12">
        <v>28740489</v>
      </c>
      <c r="O1506" t="s">
        <v>5055</v>
      </c>
      <c r="P1506" s="6" t="s">
        <v>36</v>
      </c>
      <c r="R1506" t="s">
        <v>48</v>
      </c>
      <c r="S1506" s="9">
        <v>5550.5</v>
      </c>
      <c r="T1506" s="9">
        <v>2764</v>
      </c>
      <c r="U1506" s="9">
        <v>15341582</v>
      </c>
      <c r="V1506" s="6" t="s">
        <v>61</v>
      </c>
      <c r="W1506" t="s">
        <v>59</v>
      </c>
      <c r="X1506">
        <v>4027022305</v>
      </c>
      <c r="Y1506">
        <v>402701001</v>
      </c>
      <c r="Z1506" s="3">
        <v>45966.559027777781</v>
      </c>
      <c r="AA1506" s="6">
        <v>2026</v>
      </c>
      <c r="AB1506" s="1">
        <v>46387</v>
      </c>
    </row>
    <row r="1507" spans="1:28" x14ac:dyDescent="0.3">
      <c r="A1507" t="s">
        <v>5053</v>
      </c>
      <c r="B1507" s="6" t="s">
        <v>177</v>
      </c>
      <c r="C1507" s="6" t="s">
        <v>62</v>
      </c>
      <c r="D1507">
        <v>4027122645</v>
      </c>
      <c r="E1507">
        <v>402701001</v>
      </c>
      <c r="F1507" t="s">
        <v>44</v>
      </c>
      <c r="H1507"/>
      <c r="J1507" s="8">
        <v>45961</v>
      </c>
      <c r="K1507" s="1" t="s">
        <v>4530</v>
      </c>
      <c r="L1507" t="s">
        <v>5054</v>
      </c>
      <c r="M1507" t="s">
        <v>179</v>
      </c>
      <c r="N1507" s="12">
        <v>28740489</v>
      </c>
      <c r="O1507" t="s">
        <v>5056</v>
      </c>
      <c r="P1507" s="6" t="s">
        <v>2277</v>
      </c>
      <c r="R1507" t="s">
        <v>48</v>
      </c>
      <c r="S1507" s="9">
        <v>5550.5</v>
      </c>
      <c r="T1507" s="9">
        <v>2414</v>
      </c>
      <c r="U1507" s="9">
        <v>13398907</v>
      </c>
      <c r="V1507" s="6" t="s">
        <v>61</v>
      </c>
      <c r="W1507" t="s">
        <v>59</v>
      </c>
      <c r="X1507">
        <v>4027022305</v>
      </c>
      <c r="Y1507">
        <v>402701001</v>
      </c>
      <c r="Z1507" s="3">
        <v>45966.559027777781</v>
      </c>
      <c r="AA1507" s="6">
        <v>2026</v>
      </c>
      <c r="AB1507" s="1">
        <v>46387</v>
      </c>
    </row>
    <row r="1508" spans="1:28" x14ac:dyDescent="0.3">
      <c r="A1508" t="s">
        <v>5057</v>
      </c>
      <c r="B1508" s="6" t="s">
        <v>177</v>
      </c>
      <c r="C1508" s="6" t="s">
        <v>62</v>
      </c>
      <c r="D1508">
        <v>4027122645</v>
      </c>
      <c r="E1508">
        <v>402701001</v>
      </c>
      <c r="F1508" t="s">
        <v>44</v>
      </c>
      <c r="H1508"/>
      <c r="I1508" t="s">
        <v>5058</v>
      </c>
      <c r="J1508" s="8">
        <v>45961</v>
      </c>
      <c r="K1508" s="1" t="s">
        <v>4530</v>
      </c>
      <c r="L1508" t="s">
        <v>5059</v>
      </c>
      <c r="M1508" t="s">
        <v>179</v>
      </c>
      <c r="N1508" s="12">
        <v>2112250</v>
      </c>
      <c r="O1508" t="s">
        <v>5060</v>
      </c>
      <c r="P1508" s="6" t="s">
        <v>2277</v>
      </c>
      <c r="R1508" t="s">
        <v>48</v>
      </c>
      <c r="S1508" s="9">
        <v>6035</v>
      </c>
      <c r="T1508" s="9">
        <v>350</v>
      </c>
      <c r="U1508" s="9">
        <v>2112250</v>
      </c>
      <c r="V1508" s="6" t="s">
        <v>61</v>
      </c>
      <c r="W1508" t="s">
        <v>59</v>
      </c>
      <c r="X1508">
        <v>4027022305</v>
      </c>
      <c r="Y1508">
        <v>402701001</v>
      </c>
      <c r="Z1508" s="3">
        <v>45961.500694444447</v>
      </c>
      <c r="AA1508" s="6">
        <v>2026</v>
      </c>
      <c r="AB1508" s="1">
        <v>46387</v>
      </c>
    </row>
    <row r="1509" spans="1:28" x14ac:dyDescent="0.3">
      <c r="A1509" t="s">
        <v>5061</v>
      </c>
      <c r="B1509" s="6" t="s">
        <v>538</v>
      </c>
      <c r="C1509" s="6" t="s">
        <v>539</v>
      </c>
      <c r="D1509">
        <v>7808043833</v>
      </c>
      <c r="E1509">
        <v>784101001</v>
      </c>
      <c r="F1509" t="s">
        <v>149</v>
      </c>
      <c r="G1509" t="s">
        <v>5062</v>
      </c>
      <c r="H1509" s="1">
        <v>45959</v>
      </c>
      <c r="J1509" s="8">
        <v>45962</v>
      </c>
      <c r="K1509" s="1" t="s">
        <v>4530</v>
      </c>
      <c r="L1509" t="s">
        <v>5062</v>
      </c>
      <c r="M1509" t="s">
        <v>377</v>
      </c>
      <c r="N1509" s="12">
        <v>22500</v>
      </c>
      <c r="O1509" t="s">
        <v>3643</v>
      </c>
      <c r="P1509" s="6" t="s">
        <v>1814</v>
      </c>
      <c r="R1509" t="s">
        <v>38</v>
      </c>
      <c r="S1509" s="9">
        <v>3750</v>
      </c>
      <c r="T1509" s="9">
        <v>6</v>
      </c>
      <c r="U1509" s="9">
        <v>22500</v>
      </c>
      <c r="V1509" s="6" t="s">
        <v>39</v>
      </c>
      <c r="W1509" t="s">
        <v>40</v>
      </c>
      <c r="X1509">
        <v>7810687137</v>
      </c>
      <c r="Y1509">
        <v>781401001</v>
      </c>
      <c r="Z1509" s="3">
        <v>45966.436111111114</v>
      </c>
      <c r="AA1509" s="6">
        <v>2025</v>
      </c>
      <c r="AB1509" s="1">
        <v>46022</v>
      </c>
    </row>
    <row r="1510" spans="1:28" x14ac:dyDescent="0.3">
      <c r="A1510" t="s">
        <v>5063</v>
      </c>
      <c r="B1510" s="6" t="s">
        <v>284</v>
      </c>
      <c r="C1510" s="6" t="s">
        <v>285</v>
      </c>
      <c r="D1510">
        <v>3302008570</v>
      </c>
      <c r="E1510">
        <v>332901001</v>
      </c>
      <c r="F1510" t="s">
        <v>149</v>
      </c>
      <c r="G1510" t="s">
        <v>5064</v>
      </c>
      <c r="H1510" s="1">
        <v>45959</v>
      </c>
      <c r="J1510" s="8">
        <v>45962</v>
      </c>
      <c r="K1510" s="1" t="s">
        <v>4530</v>
      </c>
      <c r="L1510" t="s">
        <v>5064</v>
      </c>
      <c r="M1510" t="s">
        <v>377</v>
      </c>
      <c r="N1510" s="12">
        <v>182400</v>
      </c>
      <c r="O1510" t="s">
        <v>3633</v>
      </c>
      <c r="P1510" s="6" t="s">
        <v>36</v>
      </c>
      <c r="R1510" t="s">
        <v>38</v>
      </c>
      <c r="S1510" s="9">
        <v>3800</v>
      </c>
      <c r="T1510" s="9">
        <v>48</v>
      </c>
      <c r="U1510" s="9">
        <v>182400</v>
      </c>
      <c r="V1510" s="6" t="s">
        <v>58</v>
      </c>
      <c r="W1510" t="s">
        <v>59</v>
      </c>
      <c r="X1510">
        <v>5262222144</v>
      </c>
      <c r="Y1510">
        <v>526001001</v>
      </c>
      <c r="Z1510" s="3">
        <v>45962.467361111114</v>
      </c>
      <c r="AA1510" s="6">
        <v>2026</v>
      </c>
      <c r="AB1510" s="1">
        <v>46133</v>
      </c>
    </row>
    <row r="1511" spans="1:28" x14ac:dyDescent="0.3">
      <c r="A1511" t="s">
        <v>5065</v>
      </c>
      <c r="B1511" s="6" t="s">
        <v>197</v>
      </c>
      <c r="C1511" s="6" t="s">
        <v>198</v>
      </c>
      <c r="D1511">
        <v>1001046786</v>
      </c>
      <c r="E1511">
        <v>100101001</v>
      </c>
      <c r="F1511" t="s">
        <v>94</v>
      </c>
      <c r="G1511" t="s">
        <v>5066</v>
      </c>
      <c r="H1511" s="1">
        <v>45959</v>
      </c>
      <c r="I1511" t="s">
        <v>5067</v>
      </c>
      <c r="J1511" s="8">
        <v>45962</v>
      </c>
      <c r="K1511" s="1" t="s">
        <v>4530</v>
      </c>
      <c r="L1511" t="s">
        <v>5068</v>
      </c>
      <c r="M1511" t="s">
        <v>4574</v>
      </c>
      <c r="N1511" s="12">
        <v>1376960</v>
      </c>
      <c r="O1511" t="s">
        <v>3624</v>
      </c>
      <c r="P1511" s="6" t="s">
        <v>891</v>
      </c>
      <c r="Q1511" t="s">
        <v>37</v>
      </c>
      <c r="R1511" t="s">
        <v>38</v>
      </c>
      <c r="S1511" s="9">
        <v>4160</v>
      </c>
      <c r="T1511" s="9">
        <v>331</v>
      </c>
      <c r="U1511" s="9">
        <v>1376960</v>
      </c>
      <c r="V1511" s="6" t="s">
        <v>352</v>
      </c>
      <c r="W1511" t="s">
        <v>40</v>
      </c>
      <c r="X1511">
        <v>7843014747</v>
      </c>
      <c r="Y1511">
        <v>781401001</v>
      </c>
      <c r="Z1511" s="3">
        <v>45967.354166666664</v>
      </c>
      <c r="AA1511" s="6">
        <v>2025</v>
      </c>
      <c r="AB1511" s="1">
        <v>46022</v>
      </c>
    </row>
    <row r="1512" spans="1:28" x14ac:dyDescent="0.3">
      <c r="A1512" s="4" t="s">
        <v>5069</v>
      </c>
      <c r="B1512" s="6" t="s">
        <v>870</v>
      </c>
      <c r="C1512" s="6" t="s">
        <v>539</v>
      </c>
      <c r="D1512">
        <v>7802030429</v>
      </c>
      <c r="E1512">
        <v>781401001</v>
      </c>
      <c r="F1512" t="s">
        <v>94</v>
      </c>
      <c r="G1512" t="s">
        <v>5070</v>
      </c>
      <c r="H1512" s="1">
        <v>45959</v>
      </c>
      <c r="I1512" t="s">
        <v>5067</v>
      </c>
      <c r="J1512" s="8">
        <v>45962</v>
      </c>
      <c r="K1512" s="1" t="s">
        <v>4530</v>
      </c>
      <c r="L1512" t="s">
        <v>5071</v>
      </c>
      <c r="M1512" t="s">
        <v>1496</v>
      </c>
      <c r="N1512" s="12">
        <v>1880078.58</v>
      </c>
      <c r="O1512" t="s">
        <v>5072</v>
      </c>
      <c r="P1512" s="6" t="s">
        <v>36</v>
      </c>
      <c r="R1512" t="s">
        <v>38</v>
      </c>
      <c r="S1512" s="9">
        <v>4413.33</v>
      </c>
      <c r="T1512" s="9">
        <v>426</v>
      </c>
      <c r="U1512" s="9">
        <v>1880078.58</v>
      </c>
      <c r="V1512" s="6" t="s">
        <v>39</v>
      </c>
      <c r="W1512" t="s">
        <v>40</v>
      </c>
      <c r="X1512">
        <v>7810687137</v>
      </c>
      <c r="Y1512">
        <v>781401001</v>
      </c>
      <c r="Z1512" s="3">
        <v>45968.567361111112</v>
      </c>
      <c r="AA1512" s="6">
        <v>2026</v>
      </c>
      <c r="AB1512" s="1">
        <v>46356</v>
      </c>
    </row>
    <row r="1513" spans="1:28" x14ac:dyDescent="0.3">
      <c r="A1513" t="s">
        <v>5073</v>
      </c>
      <c r="B1513" s="6" t="s">
        <v>491</v>
      </c>
      <c r="C1513" s="6" t="s">
        <v>492</v>
      </c>
      <c r="D1513">
        <v>2724041260</v>
      </c>
      <c r="E1513">
        <v>272101001</v>
      </c>
      <c r="F1513" t="s">
        <v>94</v>
      </c>
      <c r="G1513" t="s">
        <v>5074</v>
      </c>
      <c r="H1513" s="1">
        <v>45959</v>
      </c>
      <c r="J1513" s="8">
        <v>45962</v>
      </c>
      <c r="K1513" s="1" t="s">
        <v>4530</v>
      </c>
      <c r="L1513" t="s">
        <v>5074</v>
      </c>
      <c r="M1513" t="s">
        <v>4221</v>
      </c>
      <c r="N1513" s="12">
        <v>45476700</v>
      </c>
      <c r="O1513" t="s">
        <v>3633</v>
      </c>
      <c r="P1513" s="6" t="s">
        <v>36</v>
      </c>
      <c r="R1513" t="s">
        <v>38</v>
      </c>
      <c r="S1513" s="9">
        <v>7548</v>
      </c>
      <c r="T1513" s="9">
        <v>1025</v>
      </c>
      <c r="U1513" s="9">
        <v>7736700</v>
      </c>
      <c r="V1513" s="6" t="s">
        <v>39</v>
      </c>
      <c r="W1513" t="s">
        <v>40</v>
      </c>
      <c r="X1513">
        <v>7810687137</v>
      </c>
      <c r="Y1513">
        <v>781401001</v>
      </c>
      <c r="Z1513" s="3">
        <v>45962.334027777775</v>
      </c>
      <c r="AA1513" s="6">
        <v>2026</v>
      </c>
      <c r="AB1513" s="1">
        <v>46346</v>
      </c>
    </row>
    <row r="1514" spans="1:28" x14ac:dyDescent="0.3">
      <c r="A1514" t="s">
        <v>5073</v>
      </c>
      <c r="B1514" s="6" t="s">
        <v>491</v>
      </c>
      <c r="C1514" s="6" t="s">
        <v>492</v>
      </c>
      <c r="D1514">
        <v>2724041260</v>
      </c>
      <c r="E1514">
        <v>272101001</v>
      </c>
      <c r="F1514" t="s">
        <v>94</v>
      </c>
      <c r="G1514" t="s">
        <v>5074</v>
      </c>
      <c r="H1514" s="1">
        <v>45959</v>
      </c>
      <c r="J1514" s="8">
        <v>45962</v>
      </c>
      <c r="K1514" s="1" t="s">
        <v>4530</v>
      </c>
      <c r="L1514" t="s">
        <v>5074</v>
      </c>
      <c r="M1514" t="s">
        <v>4221</v>
      </c>
      <c r="N1514" s="12">
        <v>45476700</v>
      </c>
      <c r="O1514" t="s">
        <v>4022</v>
      </c>
      <c r="P1514" s="6" t="s">
        <v>2941</v>
      </c>
      <c r="R1514" t="s">
        <v>38</v>
      </c>
      <c r="S1514" s="9">
        <v>7548</v>
      </c>
      <c r="T1514" s="9">
        <v>3000</v>
      </c>
      <c r="U1514" s="9">
        <v>22644000</v>
      </c>
      <c r="V1514" s="6" t="s">
        <v>39</v>
      </c>
      <c r="W1514" t="s">
        <v>40</v>
      </c>
      <c r="X1514">
        <v>7810687137</v>
      </c>
      <c r="Y1514">
        <v>781401001</v>
      </c>
      <c r="Z1514" s="3">
        <v>45962.334027777775</v>
      </c>
      <c r="AA1514" s="6">
        <v>2026</v>
      </c>
      <c r="AB1514" s="1">
        <v>46346</v>
      </c>
    </row>
    <row r="1515" spans="1:28" x14ac:dyDescent="0.3">
      <c r="A1515" t="s">
        <v>5073</v>
      </c>
      <c r="B1515" s="6" t="s">
        <v>491</v>
      </c>
      <c r="C1515" s="6" t="s">
        <v>492</v>
      </c>
      <c r="D1515">
        <v>2724041260</v>
      </c>
      <c r="E1515">
        <v>272101001</v>
      </c>
      <c r="F1515" t="s">
        <v>94</v>
      </c>
      <c r="G1515" t="s">
        <v>5074</v>
      </c>
      <c r="H1515" s="1">
        <v>45959</v>
      </c>
      <c r="J1515" s="8">
        <v>45962</v>
      </c>
      <c r="K1515" s="1" t="s">
        <v>4530</v>
      </c>
      <c r="L1515" t="s">
        <v>5074</v>
      </c>
      <c r="M1515" t="s">
        <v>4221</v>
      </c>
      <c r="N1515" s="12">
        <v>45476700</v>
      </c>
      <c r="O1515" t="s">
        <v>3648</v>
      </c>
      <c r="P1515" s="6" t="s">
        <v>2277</v>
      </c>
      <c r="R1515" t="s">
        <v>38</v>
      </c>
      <c r="S1515" s="9">
        <v>7548</v>
      </c>
      <c r="T1515" s="9">
        <v>2000</v>
      </c>
      <c r="U1515" s="9">
        <v>15096000</v>
      </c>
      <c r="V1515" s="6" t="s">
        <v>39</v>
      </c>
      <c r="W1515" t="s">
        <v>40</v>
      </c>
      <c r="X1515">
        <v>7810687137</v>
      </c>
      <c r="Y1515">
        <v>781401001</v>
      </c>
      <c r="Z1515" s="3">
        <v>45962.334027777775</v>
      </c>
      <c r="AA1515" s="6">
        <v>2026</v>
      </c>
      <c r="AB1515" s="1">
        <v>46346</v>
      </c>
    </row>
    <row r="1516" spans="1:28" x14ac:dyDescent="0.3">
      <c r="A1516" t="s">
        <v>5075</v>
      </c>
      <c r="B1516" s="6" t="s">
        <v>220</v>
      </c>
      <c r="C1516" s="6" t="s">
        <v>221</v>
      </c>
      <c r="D1516">
        <v>5024068656</v>
      </c>
      <c r="E1516">
        <v>502401001</v>
      </c>
      <c r="F1516" t="s">
        <v>52</v>
      </c>
      <c r="G1516" t="s">
        <v>5076</v>
      </c>
      <c r="H1516" s="1">
        <v>45952</v>
      </c>
      <c r="J1516" s="8">
        <v>45966</v>
      </c>
      <c r="K1516" s="1" t="s">
        <v>4530</v>
      </c>
      <c r="L1516" t="s">
        <v>5076</v>
      </c>
      <c r="M1516" t="s">
        <v>5077</v>
      </c>
      <c r="N1516" s="12">
        <v>16847817.48</v>
      </c>
      <c r="O1516" t="s">
        <v>3633</v>
      </c>
      <c r="P1516" s="6" t="s">
        <v>36</v>
      </c>
      <c r="R1516" t="s">
        <v>38</v>
      </c>
      <c r="S1516" s="9">
        <v>1971.89</v>
      </c>
      <c r="T1516" s="9">
        <v>8544</v>
      </c>
      <c r="U1516" s="9">
        <v>16847817.48</v>
      </c>
      <c r="V1516" s="6" t="s">
        <v>128</v>
      </c>
      <c r="W1516" t="s">
        <v>129</v>
      </c>
      <c r="X1516">
        <v>274110679</v>
      </c>
      <c r="Y1516">
        <v>500801001</v>
      </c>
      <c r="Z1516" s="3">
        <v>45966.790972222225</v>
      </c>
      <c r="AA1516" s="6">
        <v>2025</v>
      </c>
      <c r="AB1516" s="1">
        <v>46022</v>
      </c>
    </row>
    <row r="1517" spans="1:28" x14ac:dyDescent="0.3">
      <c r="A1517" t="s">
        <v>5078</v>
      </c>
      <c r="B1517" s="6" t="s">
        <v>573</v>
      </c>
      <c r="C1517" s="6" t="s">
        <v>405</v>
      </c>
      <c r="D1517">
        <v>562044550</v>
      </c>
      <c r="E1517">
        <v>57201001</v>
      </c>
      <c r="F1517" t="s">
        <v>94</v>
      </c>
      <c r="G1517" t="s">
        <v>5079</v>
      </c>
      <c r="H1517" s="1">
        <v>45959</v>
      </c>
      <c r="I1517" t="s">
        <v>5067</v>
      </c>
      <c r="J1517" s="8">
        <v>45966</v>
      </c>
      <c r="K1517" s="1" t="s">
        <v>4530</v>
      </c>
      <c r="L1517" t="s">
        <v>5079</v>
      </c>
      <c r="M1517" t="s">
        <v>5080</v>
      </c>
      <c r="N1517" s="12">
        <v>4845000</v>
      </c>
      <c r="O1517" t="s">
        <v>3633</v>
      </c>
      <c r="P1517" s="6" t="s">
        <v>36</v>
      </c>
      <c r="R1517" t="s">
        <v>38</v>
      </c>
      <c r="S1517" s="9">
        <v>2850</v>
      </c>
      <c r="T1517" s="9">
        <v>1700</v>
      </c>
      <c r="U1517" s="9">
        <v>4845000</v>
      </c>
      <c r="V1517" s="6" t="s">
        <v>352</v>
      </c>
      <c r="W1517" t="s">
        <v>40</v>
      </c>
      <c r="X1517">
        <v>7843014747</v>
      </c>
      <c r="Y1517">
        <v>781401001</v>
      </c>
      <c r="Z1517" s="3">
        <v>45966.663194444445</v>
      </c>
      <c r="AA1517" s="6">
        <v>2026</v>
      </c>
      <c r="AB1517" s="1">
        <v>46387</v>
      </c>
    </row>
    <row r="1518" spans="1:28" x14ac:dyDescent="0.3">
      <c r="A1518" t="s">
        <v>5081</v>
      </c>
      <c r="B1518" s="6" t="s">
        <v>177</v>
      </c>
      <c r="C1518" s="6" t="s">
        <v>62</v>
      </c>
      <c r="D1518">
        <v>4027122645</v>
      </c>
      <c r="E1518">
        <v>402701001</v>
      </c>
      <c r="F1518" t="s">
        <v>44</v>
      </c>
      <c r="H1518"/>
      <c r="I1518" t="s">
        <v>5082</v>
      </c>
      <c r="J1518" s="8">
        <v>45966</v>
      </c>
      <c r="K1518" s="1" t="s">
        <v>4530</v>
      </c>
      <c r="L1518" t="s">
        <v>5083</v>
      </c>
      <c r="M1518" t="s">
        <v>179</v>
      </c>
      <c r="N1518" s="12">
        <v>23994055.800000001</v>
      </c>
      <c r="O1518" t="s">
        <v>5055</v>
      </c>
      <c r="P1518" s="6" t="s">
        <v>36</v>
      </c>
      <c r="R1518" t="s">
        <v>48</v>
      </c>
      <c r="S1518" s="9">
        <v>3705.34</v>
      </c>
      <c r="T1518" s="9">
        <v>3362</v>
      </c>
      <c r="U1518" s="9">
        <v>12457353.08</v>
      </c>
      <c r="V1518" s="6" t="s">
        <v>61</v>
      </c>
      <c r="W1518" t="s">
        <v>59</v>
      </c>
      <c r="X1518">
        <v>4027022305</v>
      </c>
      <c r="Y1518">
        <v>402701001</v>
      </c>
      <c r="Z1518" s="3">
        <v>45966.583333333336</v>
      </c>
      <c r="AA1518" s="6">
        <v>2026</v>
      </c>
      <c r="AB1518" s="1">
        <v>46387</v>
      </c>
    </row>
    <row r="1519" spans="1:28" x14ac:dyDescent="0.3">
      <c r="A1519" t="s">
        <v>5084</v>
      </c>
      <c r="B1519" s="6" t="s">
        <v>274</v>
      </c>
      <c r="C1519" s="6" t="s">
        <v>270</v>
      </c>
      <c r="D1519">
        <v>833000350</v>
      </c>
      <c r="E1519">
        <v>184001001</v>
      </c>
      <c r="F1519" t="s">
        <v>44</v>
      </c>
      <c r="G1519" t="s">
        <v>5085</v>
      </c>
      <c r="H1519" s="1">
        <v>45966</v>
      </c>
      <c r="I1519" t="s">
        <v>5086</v>
      </c>
      <c r="J1519" s="8">
        <v>45966</v>
      </c>
      <c r="K1519" s="1" t="s">
        <v>4530</v>
      </c>
      <c r="L1519" s="1" t="s">
        <v>5087</v>
      </c>
      <c r="M1519" s="1" t="s">
        <v>787</v>
      </c>
      <c r="N1519" s="12">
        <v>9513750</v>
      </c>
      <c r="O1519" t="s">
        <v>5088</v>
      </c>
      <c r="P1519" s="8" t="s">
        <v>891</v>
      </c>
      <c r="Q1519" s="1" t="s">
        <v>37</v>
      </c>
      <c r="R1519" t="s">
        <v>38</v>
      </c>
      <c r="S1519" s="9">
        <v>3750</v>
      </c>
      <c r="T1519" s="9">
        <v>2537</v>
      </c>
      <c r="U1519" s="9">
        <v>9513750</v>
      </c>
      <c r="V1519" s="6" t="s">
        <v>1612</v>
      </c>
      <c r="W1519" t="s">
        <v>1613</v>
      </c>
      <c r="X1519">
        <v>6672338063</v>
      </c>
      <c r="Y1519">
        <v>668501001</v>
      </c>
      <c r="Z1519" s="3"/>
      <c r="AA1519" s="6">
        <v>2025</v>
      </c>
      <c r="AB1519" s="1">
        <v>46022</v>
      </c>
    </row>
    <row r="1520" spans="1:28" x14ac:dyDescent="0.3">
      <c r="A1520" s="4" t="s">
        <v>5089</v>
      </c>
      <c r="B1520" s="6" t="s">
        <v>177</v>
      </c>
      <c r="C1520" s="6" t="s">
        <v>62</v>
      </c>
      <c r="D1520">
        <v>4027122645</v>
      </c>
      <c r="E1520">
        <v>402701001</v>
      </c>
      <c r="F1520" t="s">
        <v>44</v>
      </c>
      <c r="H1520"/>
      <c r="I1520" t="s">
        <v>5082</v>
      </c>
      <c r="J1520" s="8">
        <v>45966</v>
      </c>
      <c r="K1520" s="1" t="s">
        <v>4530</v>
      </c>
      <c r="L1520" t="s">
        <v>5083</v>
      </c>
      <c r="M1520" t="s">
        <v>179</v>
      </c>
      <c r="N1520" s="12">
        <v>23994055.800000001</v>
      </c>
      <c r="O1520" t="s">
        <v>5090</v>
      </c>
      <c r="P1520" s="6" t="s">
        <v>2941</v>
      </c>
      <c r="R1520" t="s">
        <v>48</v>
      </c>
      <c r="S1520" s="9">
        <v>3835.34</v>
      </c>
      <c r="T1520" s="9">
        <v>3008</v>
      </c>
      <c r="U1520" s="9">
        <v>11536702.720000001</v>
      </c>
      <c r="V1520" s="6" t="s">
        <v>61</v>
      </c>
      <c r="W1520" t="s">
        <v>59</v>
      </c>
      <c r="X1520">
        <v>4027022305</v>
      </c>
      <c r="Y1520">
        <v>402701001</v>
      </c>
      <c r="Z1520" s="3">
        <v>45966.583333333336</v>
      </c>
      <c r="AA1520" s="6">
        <v>2026</v>
      </c>
      <c r="AB1520" s="1">
        <v>46387</v>
      </c>
    </row>
    <row r="1521" spans="1:28" x14ac:dyDescent="0.3">
      <c r="A1521" t="s">
        <v>5091</v>
      </c>
      <c r="B1521" s="6" t="s">
        <v>220</v>
      </c>
      <c r="C1521" s="6" t="s">
        <v>221</v>
      </c>
      <c r="D1521">
        <v>5024068656</v>
      </c>
      <c r="E1521">
        <v>502401001</v>
      </c>
      <c r="F1521" t="s">
        <v>52</v>
      </c>
      <c r="G1521" t="s">
        <v>5092</v>
      </c>
      <c r="H1521" s="1">
        <v>45953</v>
      </c>
      <c r="J1521" s="8">
        <v>45966</v>
      </c>
      <c r="K1521" s="1" t="s">
        <v>4530</v>
      </c>
      <c r="L1521" t="s">
        <v>5092</v>
      </c>
      <c r="M1521" t="s">
        <v>5093</v>
      </c>
      <c r="N1521" s="12">
        <v>540000</v>
      </c>
      <c r="O1521" t="s">
        <v>3643</v>
      </c>
      <c r="P1521" s="6" t="s">
        <v>1814</v>
      </c>
      <c r="R1521" t="s">
        <v>38</v>
      </c>
      <c r="S1521" s="9">
        <v>6000</v>
      </c>
      <c r="T1521" s="9">
        <v>90</v>
      </c>
      <c r="U1521" s="9">
        <v>540000</v>
      </c>
      <c r="V1521" s="6" t="s">
        <v>545</v>
      </c>
      <c r="W1521" t="s">
        <v>40</v>
      </c>
      <c r="X1521">
        <v>7713655588</v>
      </c>
      <c r="Y1521">
        <v>773001001</v>
      </c>
      <c r="Z1521" s="3">
        <v>45966.794444444444</v>
      </c>
      <c r="AA1521" s="6">
        <v>2025</v>
      </c>
      <c r="AB1521" s="1">
        <v>46022</v>
      </c>
    </row>
    <row r="1522" spans="1:28" x14ac:dyDescent="0.3">
      <c r="A1522" t="s">
        <v>5094</v>
      </c>
      <c r="B1522" s="6" t="s">
        <v>554</v>
      </c>
      <c r="C1522" s="6" t="s">
        <v>555</v>
      </c>
      <c r="D1522">
        <v>7453135827</v>
      </c>
      <c r="E1522">
        <v>745301001</v>
      </c>
      <c r="F1522" t="s">
        <v>52</v>
      </c>
      <c r="G1522" t="s">
        <v>5095</v>
      </c>
      <c r="H1522" s="1">
        <v>45954</v>
      </c>
      <c r="J1522" s="8">
        <v>45967</v>
      </c>
      <c r="K1522" s="1" t="s">
        <v>4530</v>
      </c>
      <c r="L1522" t="s">
        <v>5096</v>
      </c>
      <c r="M1522" t="s">
        <v>5097</v>
      </c>
      <c r="N1522" s="12">
        <v>1036887.5</v>
      </c>
      <c r="O1522" t="s">
        <v>3648</v>
      </c>
      <c r="P1522" s="6" t="s">
        <v>2277</v>
      </c>
      <c r="R1522" t="s">
        <v>38</v>
      </c>
      <c r="S1522" s="9">
        <v>3770.5</v>
      </c>
      <c r="T1522" s="9">
        <v>275</v>
      </c>
      <c r="U1522" s="9">
        <v>1036887.5</v>
      </c>
      <c r="V1522" s="6" t="s">
        <v>90</v>
      </c>
      <c r="W1522" t="s">
        <v>59</v>
      </c>
      <c r="X1522">
        <v>5259153331</v>
      </c>
      <c r="Y1522">
        <v>525901001</v>
      </c>
      <c r="Z1522" s="3">
        <v>45971.440972222219</v>
      </c>
      <c r="AA1522" s="6">
        <v>2025</v>
      </c>
      <c r="AB1522" s="1">
        <v>46021</v>
      </c>
    </row>
    <row r="1523" spans="1:28" x14ac:dyDescent="0.3">
      <c r="A1523" t="s">
        <v>5098</v>
      </c>
      <c r="B1523" s="6" t="s">
        <v>1838</v>
      </c>
      <c r="C1523" s="6" t="s">
        <v>164</v>
      </c>
      <c r="D1523">
        <v>7729082090</v>
      </c>
      <c r="E1523">
        <v>772901001</v>
      </c>
      <c r="F1523" t="s">
        <v>94</v>
      </c>
      <c r="G1523" t="s">
        <v>5099</v>
      </c>
      <c r="H1523" s="1">
        <v>45961</v>
      </c>
      <c r="I1523" t="s">
        <v>5100</v>
      </c>
      <c r="J1523" s="8">
        <v>45967</v>
      </c>
      <c r="K1523" s="1" t="s">
        <v>4530</v>
      </c>
      <c r="L1523" t="s">
        <v>5101</v>
      </c>
      <c r="M1523" t="s">
        <v>5102</v>
      </c>
      <c r="N1523" s="12">
        <v>60800</v>
      </c>
      <c r="O1523" t="s">
        <v>3633</v>
      </c>
      <c r="P1523" s="6" t="s">
        <v>36</v>
      </c>
      <c r="R1523" t="s">
        <v>38</v>
      </c>
      <c r="S1523" s="9">
        <v>3800</v>
      </c>
      <c r="T1523" s="9">
        <v>16</v>
      </c>
      <c r="U1523" s="9">
        <v>60800</v>
      </c>
      <c r="V1523" s="6" t="s">
        <v>111</v>
      </c>
      <c r="W1523" t="s">
        <v>59</v>
      </c>
      <c r="X1523">
        <v>5262258091</v>
      </c>
      <c r="Y1523">
        <v>526001001</v>
      </c>
      <c r="Z1523" s="3">
        <v>45967.70416666667</v>
      </c>
      <c r="AA1523" s="6">
        <v>2025</v>
      </c>
      <c r="AB1523" s="1">
        <v>46035</v>
      </c>
    </row>
    <row r="1524" spans="1:28" x14ac:dyDescent="0.3">
      <c r="A1524" t="s">
        <v>5103</v>
      </c>
      <c r="B1524" s="6" t="s">
        <v>1235</v>
      </c>
      <c r="C1524" s="6" t="s">
        <v>30</v>
      </c>
      <c r="D1524">
        <v>3201004917</v>
      </c>
      <c r="E1524">
        <v>325701001</v>
      </c>
      <c r="F1524" t="s">
        <v>44</v>
      </c>
      <c r="H1524"/>
      <c r="J1524" s="8">
        <v>45967</v>
      </c>
      <c r="K1524" s="1" t="s">
        <v>4530</v>
      </c>
      <c r="L1524" t="s">
        <v>5104</v>
      </c>
      <c r="M1524" t="s">
        <v>5105</v>
      </c>
      <c r="N1524" s="12">
        <v>1592200</v>
      </c>
      <c r="O1524" t="s">
        <v>3613</v>
      </c>
      <c r="P1524" s="6" t="s">
        <v>36</v>
      </c>
      <c r="R1524" t="s">
        <v>38</v>
      </c>
      <c r="S1524" s="9">
        <v>3800</v>
      </c>
      <c r="T1524" s="9">
        <v>419</v>
      </c>
      <c r="U1524" s="9">
        <v>1592200</v>
      </c>
      <c r="V1524" s="6" t="s">
        <v>29</v>
      </c>
      <c r="W1524" t="s">
        <v>40</v>
      </c>
      <c r="X1524">
        <v>3201000327</v>
      </c>
      <c r="Y1524">
        <v>325701001</v>
      </c>
      <c r="Z1524" s="3">
        <v>45967.529861111114</v>
      </c>
      <c r="AA1524" s="6">
        <v>2025</v>
      </c>
      <c r="AB1524" s="1">
        <v>46022</v>
      </c>
    </row>
    <row r="1525" spans="1:28" x14ac:dyDescent="0.3">
      <c r="A1525" t="s">
        <v>5106</v>
      </c>
      <c r="B1525" s="6" t="s">
        <v>1022</v>
      </c>
      <c r="C1525" s="6" t="s">
        <v>1023</v>
      </c>
      <c r="D1525">
        <v>901024085</v>
      </c>
      <c r="E1525">
        <v>90101001</v>
      </c>
      <c r="F1525" t="s">
        <v>52</v>
      </c>
      <c r="G1525" t="s">
        <v>5107</v>
      </c>
      <c r="H1525" s="1">
        <v>45959</v>
      </c>
      <c r="I1525" t="s">
        <v>5108</v>
      </c>
      <c r="J1525" s="8">
        <v>45971</v>
      </c>
      <c r="K1525" s="1" t="s">
        <v>4530</v>
      </c>
      <c r="M1525" t="s">
        <v>5109</v>
      </c>
      <c r="N1525" s="12">
        <v>16133350</v>
      </c>
      <c r="O1525" t="s">
        <v>3633</v>
      </c>
      <c r="P1525" s="6" t="s">
        <v>36</v>
      </c>
      <c r="R1525" t="s">
        <v>66</v>
      </c>
      <c r="S1525" s="9">
        <v>3226.67</v>
      </c>
      <c r="T1525" s="9">
        <v>5000</v>
      </c>
      <c r="U1525" s="9">
        <v>16133350</v>
      </c>
      <c r="V1525" s="6" t="s">
        <v>58</v>
      </c>
      <c r="W1525" t="s">
        <v>59</v>
      </c>
      <c r="X1525">
        <v>5262222144</v>
      </c>
      <c r="Y1525">
        <v>526001001</v>
      </c>
      <c r="Z1525" s="3">
        <v>45971.71597222222</v>
      </c>
      <c r="AA1525" s="6">
        <v>2026</v>
      </c>
      <c r="AB1525" s="1">
        <v>46387</v>
      </c>
    </row>
    <row r="1526" spans="1:28" x14ac:dyDescent="0.3">
      <c r="A1526" t="s">
        <v>5110</v>
      </c>
      <c r="B1526" s="6" t="s">
        <v>672</v>
      </c>
      <c r="C1526" s="6" t="s">
        <v>673</v>
      </c>
      <c r="D1526">
        <v>6455046666</v>
      </c>
      <c r="E1526">
        <v>645501001</v>
      </c>
      <c r="F1526" t="s">
        <v>52</v>
      </c>
      <c r="G1526" t="s">
        <v>5111</v>
      </c>
      <c r="H1526" s="1">
        <v>45961</v>
      </c>
      <c r="J1526" s="8">
        <v>45972</v>
      </c>
      <c r="K1526" s="1" t="s">
        <v>4530</v>
      </c>
      <c r="L1526" t="s">
        <v>5111</v>
      </c>
      <c r="M1526" t="s">
        <v>5112</v>
      </c>
      <c r="N1526" s="12">
        <v>2859813.93</v>
      </c>
      <c r="O1526" t="s">
        <v>3613</v>
      </c>
      <c r="P1526" s="6" t="s">
        <v>36</v>
      </c>
      <c r="R1526" t="s">
        <v>38</v>
      </c>
      <c r="S1526" s="9">
        <v>3483.33</v>
      </c>
      <c r="T1526" s="9">
        <v>821</v>
      </c>
      <c r="U1526" s="9">
        <v>2859813.93</v>
      </c>
      <c r="V1526" s="6" t="s">
        <v>2807</v>
      </c>
      <c r="W1526" t="s">
        <v>59</v>
      </c>
      <c r="X1526">
        <v>6454027519</v>
      </c>
      <c r="Y1526">
        <v>645301001</v>
      </c>
      <c r="Z1526" s="3">
        <v>45972.563888888886</v>
      </c>
      <c r="AA1526" s="6">
        <v>2025</v>
      </c>
      <c r="AB1526" s="1">
        <v>46022</v>
      </c>
    </row>
    <row r="1527" spans="1:28" x14ac:dyDescent="0.3">
      <c r="A1527" s="4" t="s">
        <v>5113</v>
      </c>
      <c r="B1527" s="6" t="s">
        <v>554</v>
      </c>
      <c r="C1527" s="6" t="s">
        <v>555</v>
      </c>
      <c r="D1527">
        <v>7453135827</v>
      </c>
      <c r="E1527">
        <v>745301001</v>
      </c>
      <c r="F1527" t="s">
        <v>52</v>
      </c>
      <c r="G1527" t="s">
        <v>5114</v>
      </c>
      <c r="H1527" s="1">
        <v>45960</v>
      </c>
      <c r="J1527" s="8">
        <v>45973</v>
      </c>
      <c r="K1527" s="1" t="s">
        <v>4530</v>
      </c>
      <c r="L1527" t="s">
        <v>5115</v>
      </c>
      <c r="M1527" t="s">
        <v>5116</v>
      </c>
      <c r="N1527" s="12">
        <v>14073500</v>
      </c>
      <c r="O1527" t="s">
        <v>3745</v>
      </c>
      <c r="P1527" s="6" t="s">
        <v>2277</v>
      </c>
      <c r="R1527" t="s">
        <v>38</v>
      </c>
      <c r="S1527" s="9">
        <v>3500</v>
      </c>
      <c r="T1527" s="9">
        <v>1000</v>
      </c>
      <c r="U1527" s="9">
        <v>3500000</v>
      </c>
      <c r="V1527" s="6" t="s">
        <v>111</v>
      </c>
      <c r="W1527" t="s">
        <v>59</v>
      </c>
      <c r="X1527">
        <v>5262258091</v>
      </c>
      <c r="Y1527">
        <v>526001001</v>
      </c>
      <c r="Z1527" s="3">
        <v>45975.402777777781</v>
      </c>
      <c r="AA1527" s="6">
        <v>2025</v>
      </c>
      <c r="AB1527" s="1">
        <v>46021</v>
      </c>
    </row>
    <row r="1528" spans="1:28" x14ac:dyDescent="0.3">
      <c r="A1528" t="s">
        <v>5117</v>
      </c>
      <c r="B1528" s="6" t="s">
        <v>554</v>
      </c>
      <c r="C1528" s="6" t="s">
        <v>555</v>
      </c>
      <c r="D1528">
        <v>7453135827</v>
      </c>
      <c r="E1528">
        <v>745301001</v>
      </c>
      <c r="F1528" t="s">
        <v>52</v>
      </c>
      <c r="G1528" t="s">
        <v>5114</v>
      </c>
      <c r="H1528" s="1">
        <v>45960</v>
      </c>
      <c r="J1528" s="8">
        <v>45973</v>
      </c>
      <c r="K1528" s="1" t="s">
        <v>4530</v>
      </c>
      <c r="L1528" t="s">
        <v>5115</v>
      </c>
      <c r="M1528" t="s">
        <v>5116</v>
      </c>
      <c r="N1528" s="12">
        <v>14073500</v>
      </c>
      <c r="O1528" t="s">
        <v>3633</v>
      </c>
      <c r="P1528" s="6" t="s">
        <v>36</v>
      </c>
      <c r="R1528" t="s">
        <v>38</v>
      </c>
      <c r="S1528" s="9">
        <v>3500</v>
      </c>
      <c r="T1528" s="9">
        <v>3021</v>
      </c>
      <c r="U1528" s="9">
        <v>10573500</v>
      </c>
      <c r="V1528" s="6" t="s">
        <v>111</v>
      </c>
      <c r="W1528" t="s">
        <v>59</v>
      </c>
      <c r="X1528">
        <v>5262258091</v>
      </c>
      <c r="Y1528">
        <v>526001001</v>
      </c>
      <c r="Z1528" s="3">
        <v>45975.402777777781</v>
      </c>
      <c r="AA1528" s="6">
        <v>2025</v>
      </c>
      <c r="AB1528" s="1">
        <v>46021</v>
      </c>
    </row>
    <row r="1529" spans="1:28" x14ac:dyDescent="0.3">
      <c r="A1529" s="4" t="s">
        <v>5118</v>
      </c>
      <c r="B1529" s="6" t="s">
        <v>1399</v>
      </c>
      <c r="C1529" s="6" t="s">
        <v>93</v>
      </c>
      <c r="D1529">
        <v>4501025099</v>
      </c>
      <c r="E1529">
        <v>450101001</v>
      </c>
      <c r="F1529" t="s">
        <v>149</v>
      </c>
      <c r="G1529" t="s">
        <v>5119</v>
      </c>
      <c r="H1529" s="1">
        <v>45968</v>
      </c>
      <c r="J1529" s="8">
        <v>45973</v>
      </c>
      <c r="K1529" s="1" t="s">
        <v>4530</v>
      </c>
      <c r="L1529" t="s">
        <v>5120</v>
      </c>
      <c r="M1529" t="s">
        <v>377</v>
      </c>
      <c r="N1529" s="12">
        <v>2314200</v>
      </c>
      <c r="O1529" t="s">
        <v>5121</v>
      </c>
      <c r="P1529" s="6" t="s">
        <v>891</v>
      </c>
      <c r="Q1529" t="s">
        <v>37</v>
      </c>
      <c r="R1529" t="s">
        <v>38</v>
      </c>
      <c r="S1529" s="9">
        <v>4200</v>
      </c>
      <c r="T1529" s="9">
        <v>551</v>
      </c>
      <c r="U1529" s="9">
        <v>2314200</v>
      </c>
      <c r="V1529" s="6" t="s">
        <v>1612</v>
      </c>
      <c r="W1529" t="s">
        <v>1613</v>
      </c>
      <c r="X1529">
        <v>9727026181</v>
      </c>
      <c r="Y1529">
        <v>770601001</v>
      </c>
      <c r="Z1529" s="3">
        <v>45978.384722222225</v>
      </c>
      <c r="AA1529" s="6">
        <v>2025</v>
      </c>
      <c r="AB1529" s="1">
        <v>46022</v>
      </c>
    </row>
    <row r="1530" spans="1:28" x14ac:dyDescent="0.3">
      <c r="A1530" t="s">
        <v>5122</v>
      </c>
      <c r="B1530" s="6" t="s">
        <v>1383</v>
      </c>
      <c r="C1530" s="6" t="s">
        <v>388</v>
      </c>
      <c r="D1530">
        <v>3812014690</v>
      </c>
      <c r="E1530">
        <v>381201001</v>
      </c>
      <c r="F1530" t="s">
        <v>94</v>
      </c>
      <c r="G1530" t="s">
        <v>5123</v>
      </c>
      <c r="H1530" s="1">
        <v>45973</v>
      </c>
      <c r="J1530" s="8">
        <v>45978</v>
      </c>
      <c r="K1530" s="1" t="s">
        <v>4530</v>
      </c>
      <c r="L1530" t="s">
        <v>5124</v>
      </c>
      <c r="M1530" t="s">
        <v>1385</v>
      </c>
      <c r="N1530" s="12">
        <v>319000</v>
      </c>
      <c r="O1530" t="s">
        <v>5125</v>
      </c>
      <c r="P1530" s="6" t="s">
        <v>36</v>
      </c>
      <c r="R1530" t="s">
        <v>3268</v>
      </c>
      <c r="S1530" s="9">
        <v>3190</v>
      </c>
      <c r="T1530" s="9">
        <v>100</v>
      </c>
      <c r="U1530" s="9">
        <v>319000</v>
      </c>
      <c r="V1530" s="6" t="s">
        <v>58</v>
      </c>
      <c r="W1530" t="s">
        <v>59</v>
      </c>
      <c r="X1530">
        <v>5262222144</v>
      </c>
      <c r="Y1530">
        <v>526001001</v>
      </c>
      <c r="Z1530" s="3">
        <v>45978.394444444442</v>
      </c>
      <c r="AA1530" s="6">
        <v>2025</v>
      </c>
      <c r="AB1530" s="1">
        <v>46081</v>
      </c>
    </row>
    <row r="1531" spans="1:28" x14ac:dyDescent="0.3">
      <c r="A1531" t="s">
        <v>5126</v>
      </c>
      <c r="B1531" s="6" t="s">
        <v>981</v>
      </c>
      <c r="C1531" s="6" t="s">
        <v>831</v>
      </c>
      <c r="D1531">
        <v>7704014010</v>
      </c>
      <c r="E1531">
        <v>770401001</v>
      </c>
      <c r="F1531" t="s">
        <v>149</v>
      </c>
      <c r="G1531" t="s">
        <v>5127</v>
      </c>
      <c r="H1531" s="1">
        <v>45973</v>
      </c>
      <c r="I1531" t="s">
        <v>5128</v>
      </c>
      <c r="J1531" s="8">
        <v>45978</v>
      </c>
      <c r="K1531" s="1" t="s">
        <v>4530</v>
      </c>
      <c r="L1531" t="s">
        <v>5129</v>
      </c>
      <c r="M1531" t="s">
        <v>377</v>
      </c>
      <c r="N1531" s="12">
        <v>170000</v>
      </c>
      <c r="O1531" t="s">
        <v>5130</v>
      </c>
      <c r="P1531" s="6" t="s">
        <v>36</v>
      </c>
      <c r="R1531" t="s">
        <v>38</v>
      </c>
      <c r="S1531" s="9">
        <v>3400</v>
      </c>
      <c r="T1531" s="9">
        <v>50</v>
      </c>
      <c r="U1531" s="9">
        <v>170000</v>
      </c>
      <c r="V1531" s="6" t="s">
        <v>58</v>
      </c>
      <c r="W1531" t="s">
        <v>59</v>
      </c>
      <c r="X1531">
        <v>5262222144</v>
      </c>
      <c r="Y1531">
        <v>526001001</v>
      </c>
      <c r="Z1531" s="3">
        <v>45978.554166666669</v>
      </c>
      <c r="AA1531" s="6">
        <v>2025</v>
      </c>
      <c r="AB1531" s="1">
        <v>46022</v>
      </c>
    </row>
    <row r="1532" spans="1:28" x14ac:dyDescent="0.3">
      <c r="A1532" t="s">
        <v>5131</v>
      </c>
      <c r="B1532" s="6" t="s">
        <v>1088</v>
      </c>
      <c r="C1532" s="6" t="s">
        <v>355</v>
      </c>
      <c r="D1532">
        <v>2466212607</v>
      </c>
      <c r="E1532">
        <v>246601001</v>
      </c>
      <c r="F1532" t="s">
        <v>94</v>
      </c>
      <c r="G1532" t="s">
        <v>5132</v>
      </c>
      <c r="H1532" s="1">
        <v>45973</v>
      </c>
      <c r="I1532" t="s">
        <v>5133</v>
      </c>
      <c r="J1532" s="8">
        <v>45978</v>
      </c>
      <c r="K1532" s="1" t="s">
        <v>4530</v>
      </c>
      <c r="L1532" t="s">
        <v>5134</v>
      </c>
      <c r="M1532" t="s">
        <v>5135</v>
      </c>
      <c r="N1532" s="12">
        <v>6080000</v>
      </c>
      <c r="O1532" t="s">
        <v>3624</v>
      </c>
      <c r="P1532" s="6" t="s">
        <v>891</v>
      </c>
      <c r="Q1532" t="s">
        <v>37</v>
      </c>
      <c r="R1532" t="s">
        <v>38</v>
      </c>
      <c r="S1532" s="9">
        <v>3800</v>
      </c>
      <c r="T1532" s="9">
        <v>400</v>
      </c>
      <c r="U1532" s="9">
        <v>1520000</v>
      </c>
      <c r="V1532" s="6" t="s">
        <v>39</v>
      </c>
      <c r="W1532" t="s">
        <v>40</v>
      </c>
      <c r="X1532">
        <v>7810687137</v>
      </c>
      <c r="Y1532">
        <v>781401001</v>
      </c>
      <c r="Z1532" s="3">
        <v>45979.279166666667</v>
      </c>
      <c r="AA1532" s="6">
        <v>2026</v>
      </c>
      <c r="AB1532" s="1">
        <v>46142</v>
      </c>
    </row>
    <row r="1533" spans="1:28" x14ac:dyDescent="0.3">
      <c r="A1533" t="s">
        <v>5131</v>
      </c>
      <c r="B1533" s="6" t="s">
        <v>1088</v>
      </c>
      <c r="C1533" s="6" t="s">
        <v>355</v>
      </c>
      <c r="D1533">
        <v>2466212607</v>
      </c>
      <c r="E1533">
        <v>246601001</v>
      </c>
      <c r="F1533" t="s">
        <v>94</v>
      </c>
      <c r="G1533" t="s">
        <v>5132</v>
      </c>
      <c r="H1533" s="1">
        <v>45973</v>
      </c>
      <c r="I1533" t="s">
        <v>5133</v>
      </c>
      <c r="J1533" s="8">
        <v>45978</v>
      </c>
      <c r="K1533" s="1" t="s">
        <v>4530</v>
      </c>
      <c r="L1533" t="s">
        <v>5134</v>
      </c>
      <c r="M1533" t="s">
        <v>5135</v>
      </c>
      <c r="N1533" s="12">
        <v>6080000</v>
      </c>
      <c r="O1533" t="s">
        <v>3648</v>
      </c>
      <c r="P1533" s="6" t="s">
        <v>2277</v>
      </c>
      <c r="R1533" t="s">
        <v>38</v>
      </c>
      <c r="S1533" s="9">
        <v>3800</v>
      </c>
      <c r="T1533" s="9">
        <v>400</v>
      </c>
      <c r="U1533" s="9">
        <v>1520000</v>
      </c>
      <c r="V1533" s="6" t="s">
        <v>39</v>
      </c>
      <c r="W1533" t="s">
        <v>40</v>
      </c>
      <c r="X1533">
        <v>7810687137</v>
      </c>
      <c r="Y1533">
        <v>781401001</v>
      </c>
      <c r="Z1533" s="3">
        <v>45979.279166666667</v>
      </c>
      <c r="AA1533" s="6">
        <v>2026</v>
      </c>
      <c r="AB1533" s="1">
        <v>46142</v>
      </c>
    </row>
    <row r="1534" spans="1:28" x14ac:dyDescent="0.3">
      <c r="A1534" t="s">
        <v>5131</v>
      </c>
      <c r="B1534" s="6" t="s">
        <v>1088</v>
      </c>
      <c r="C1534" s="6" t="s">
        <v>355</v>
      </c>
      <c r="D1534">
        <v>2466212607</v>
      </c>
      <c r="E1534">
        <v>246601001</v>
      </c>
      <c r="F1534" t="s">
        <v>94</v>
      </c>
      <c r="G1534" t="s">
        <v>5132</v>
      </c>
      <c r="H1534" s="1">
        <v>45973</v>
      </c>
      <c r="I1534" t="s">
        <v>5133</v>
      </c>
      <c r="J1534" s="8">
        <v>45978</v>
      </c>
      <c r="K1534" s="1" t="s">
        <v>4530</v>
      </c>
      <c r="L1534" t="s">
        <v>5134</v>
      </c>
      <c r="M1534" t="s">
        <v>5135</v>
      </c>
      <c r="N1534" s="12">
        <v>6080000</v>
      </c>
      <c r="O1534" t="s">
        <v>3633</v>
      </c>
      <c r="P1534" s="6" t="s">
        <v>36</v>
      </c>
      <c r="R1534" t="s">
        <v>38</v>
      </c>
      <c r="S1534" s="9">
        <v>3800</v>
      </c>
      <c r="T1534" s="9">
        <v>800</v>
      </c>
      <c r="U1534" s="9">
        <v>3040000</v>
      </c>
      <c r="V1534" s="6" t="s">
        <v>39</v>
      </c>
      <c r="W1534" t="s">
        <v>40</v>
      </c>
      <c r="X1534">
        <v>7810687137</v>
      </c>
      <c r="Y1534">
        <v>781401001</v>
      </c>
      <c r="Z1534" s="3">
        <v>45979.279166666667</v>
      </c>
      <c r="AA1534" s="6">
        <v>2026</v>
      </c>
      <c r="AB1534" s="1">
        <v>46142</v>
      </c>
    </row>
    <row r="1535" spans="1:28" x14ac:dyDescent="0.3">
      <c r="A1535" t="s">
        <v>5136</v>
      </c>
      <c r="B1535" s="6" t="s">
        <v>1776</v>
      </c>
      <c r="C1535" s="6" t="s">
        <v>460</v>
      </c>
      <c r="D1535">
        <v>4632286337</v>
      </c>
      <c r="E1535">
        <v>463201001</v>
      </c>
      <c r="F1535" t="s">
        <v>149</v>
      </c>
      <c r="G1535" t="s">
        <v>5137</v>
      </c>
      <c r="H1535" s="1">
        <v>45975</v>
      </c>
      <c r="I1535" t="s">
        <v>5138</v>
      </c>
      <c r="J1535" s="8">
        <v>45980</v>
      </c>
      <c r="K1535" s="1" t="s">
        <v>4530</v>
      </c>
      <c r="L1535" t="s">
        <v>5139</v>
      </c>
      <c r="M1535" t="s">
        <v>377</v>
      </c>
      <c r="N1535" s="12">
        <v>133000</v>
      </c>
      <c r="O1535" t="s">
        <v>3633</v>
      </c>
      <c r="P1535" s="6" t="s">
        <v>36</v>
      </c>
      <c r="R1535" t="s">
        <v>38</v>
      </c>
      <c r="S1535" s="9">
        <v>3800</v>
      </c>
      <c r="T1535" s="9">
        <v>35</v>
      </c>
      <c r="U1535" s="9">
        <v>133000</v>
      </c>
      <c r="V1535" s="6" t="s">
        <v>58</v>
      </c>
      <c r="W1535" t="s">
        <v>59</v>
      </c>
      <c r="X1535">
        <v>5262222144</v>
      </c>
      <c r="Y1535">
        <v>526001001</v>
      </c>
      <c r="Z1535" s="3">
        <v>45980.730555555558</v>
      </c>
      <c r="AA1535" s="6">
        <v>2025</v>
      </c>
      <c r="AB1535" s="1">
        <v>46142</v>
      </c>
    </row>
    <row r="1536" spans="1:28" x14ac:dyDescent="0.3">
      <c r="A1536" t="s">
        <v>5140</v>
      </c>
      <c r="B1536" s="6" t="s">
        <v>4008</v>
      </c>
      <c r="C1536" s="6" t="s">
        <v>759</v>
      </c>
      <c r="D1536">
        <v>6731033838</v>
      </c>
      <c r="E1536">
        <v>673101001</v>
      </c>
      <c r="F1536" t="s">
        <v>619</v>
      </c>
      <c r="G1536" t="s">
        <v>5141</v>
      </c>
      <c r="H1536" s="1">
        <v>45962</v>
      </c>
      <c r="I1536" t="s">
        <v>3019</v>
      </c>
      <c r="J1536" s="8">
        <v>45980</v>
      </c>
      <c r="K1536" s="1" t="s">
        <v>4530</v>
      </c>
      <c r="L1536" t="s">
        <v>5141</v>
      </c>
      <c r="M1536" t="s">
        <v>5142</v>
      </c>
      <c r="N1536" s="12">
        <v>200636.5</v>
      </c>
      <c r="O1536" t="s">
        <v>5143</v>
      </c>
      <c r="P1536" s="6" t="s">
        <v>36</v>
      </c>
      <c r="R1536" t="s">
        <v>38</v>
      </c>
      <c r="S1536" s="9">
        <v>4012.73</v>
      </c>
      <c r="T1536" s="9">
        <v>25</v>
      </c>
      <c r="U1536" s="9">
        <v>100318.25</v>
      </c>
      <c r="V1536" s="6" t="s">
        <v>352</v>
      </c>
      <c r="W1536" t="s">
        <v>40</v>
      </c>
      <c r="X1536">
        <v>7843014747</v>
      </c>
      <c r="Y1536">
        <v>781401001</v>
      </c>
      <c r="Z1536" s="3"/>
      <c r="AA1536" s="6">
        <v>2025</v>
      </c>
      <c r="AB1536" s="1">
        <v>46022</v>
      </c>
    </row>
    <row r="1537" spans="1:28" x14ac:dyDescent="0.3">
      <c r="A1537" t="s">
        <v>5140</v>
      </c>
      <c r="B1537" s="6" t="s">
        <v>4008</v>
      </c>
      <c r="C1537" s="6" t="s">
        <v>759</v>
      </c>
      <c r="D1537">
        <v>6731033838</v>
      </c>
      <c r="E1537">
        <v>673101001</v>
      </c>
      <c r="F1537" t="s">
        <v>619</v>
      </c>
      <c r="G1537" t="s">
        <v>5141</v>
      </c>
      <c r="H1537" s="1">
        <v>45962</v>
      </c>
      <c r="I1537" t="s">
        <v>3019</v>
      </c>
      <c r="J1537" s="8">
        <v>45980</v>
      </c>
      <c r="K1537" s="1" t="s">
        <v>4530</v>
      </c>
      <c r="L1537" t="s">
        <v>5141</v>
      </c>
      <c r="M1537" t="s">
        <v>5142</v>
      </c>
      <c r="N1537" s="12">
        <v>200636.5</v>
      </c>
      <c r="O1537" t="s">
        <v>5143</v>
      </c>
      <c r="P1537" s="6" t="s">
        <v>36</v>
      </c>
      <c r="R1537" t="s">
        <v>38</v>
      </c>
      <c r="S1537" s="9">
        <v>4012.73</v>
      </c>
      <c r="T1537" s="9">
        <v>25</v>
      </c>
      <c r="U1537" s="9">
        <v>100318.25</v>
      </c>
      <c r="V1537" s="6" t="s">
        <v>352</v>
      </c>
      <c r="W1537" t="s">
        <v>40</v>
      </c>
      <c r="X1537">
        <v>7843014747</v>
      </c>
      <c r="Y1537">
        <v>781401001</v>
      </c>
      <c r="Z1537" s="3"/>
      <c r="AA1537" s="6">
        <v>2026</v>
      </c>
      <c r="AB1537" s="1">
        <v>46387</v>
      </c>
    </row>
    <row r="1538" spans="1:28" x14ac:dyDescent="0.3">
      <c r="A1538" t="s">
        <v>5144</v>
      </c>
      <c r="B1538" s="6" t="s">
        <v>1399</v>
      </c>
      <c r="C1538" s="6" t="s">
        <v>93</v>
      </c>
      <c r="D1538">
        <v>4501025099</v>
      </c>
      <c r="E1538">
        <v>450101001</v>
      </c>
      <c r="F1538" t="s">
        <v>149</v>
      </c>
      <c r="G1538" t="s">
        <v>5145</v>
      </c>
      <c r="H1538" s="1">
        <v>45975</v>
      </c>
      <c r="J1538" s="8">
        <v>45980</v>
      </c>
      <c r="K1538" s="1" t="s">
        <v>4530</v>
      </c>
      <c r="L1538" t="s">
        <v>5146</v>
      </c>
      <c r="M1538" t="s">
        <v>377</v>
      </c>
      <c r="N1538" s="12">
        <v>634200</v>
      </c>
      <c r="O1538" t="s">
        <v>5121</v>
      </c>
      <c r="P1538" s="6" t="s">
        <v>891</v>
      </c>
      <c r="Q1538" t="s">
        <v>37</v>
      </c>
      <c r="R1538" t="s">
        <v>38</v>
      </c>
      <c r="S1538" s="9">
        <v>4200</v>
      </c>
      <c r="T1538" s="9">
        <v>151</v>
      </c>
      <c r="U1538" s="9">
        <v>634200</v>
      </c>
      <c r="V1538" s="6" t="s">
        <v>1612</v>
      </c>
      <c r="W1538" t="s">
        <v>1613</v>
      </c>
      <c r="X1538">
        <v>9727026181</v>
      </c>
      <c r="Y1538">
        <v>770601001</v>
      </c>
      <c r="Z1538" s="3">
        <v>45981.716666666667</v>
      </c>
      <c r="AA1538" s="6">
        <v>2025</v>
      </c>
      <c r="AB1538" s="1">
        <v>46022</v>
      </c>
    </row>
    <row r="1539" spans="1:28" x14ac:dyDescent="0.3">
      <c r="A1539" t="s">
        <v>5147</v>
      </c>
      <c r="B1539" s="6" t="s">
        <v>121</v>
      </c>
      <c r="C1539" s="6" t="s">
        <v>122</v>
      </c>
      <c r="D1539">
        <v>5402155123</v>
      </c>
      <c r="E1539">
        <v>540201001</v>
      </c>
      <c r="F1539" t="s">
        <v>52</v>
      </c>
      <c r="G1539" t="s">
        <v>5148</v>
      </c>
      <c r="H1539" s="1">
        <v>45966</v>
      </c>
      <c r="I1539" t="s">
        <v>5149</v>
      </c>
      <c r="J1539" s="8">
        <v>45981</v>
      </c>
      <c r="K1539" s="1" t="s">
        <v>4530</v>
      </c>
      <c r="L1539" t="s">
        <v>5150</v>
      </c>
      <c r="M1539" t="s">
        <v>5151</v>
      </c>
      <c r="N1539" s="12">
        <v>5183536</v>
      </c>
      <c r="O1539" t="s">
        <v>4022</v>
      </c>
      <c r="P1539" s="6" t="s">
        <v>2941</v>
      </c>
      <c r="R1539" t="s">
        <v>38</v>
      </c>
      <c r="S1539" s="9">
        <v>1808</v>
      </c>
      <c r="T1539" s="9">
        <v>1372</v>
      </c>
      <c r="U1539" s="9">
        <v>2480576</v>
      </c>
      <c r="V1539" s="6" t="s">
        <v>4615</v>
      </c>
      <c r="W1539" t="s">
        <v>4616</v>
      </c>
      <c r="X1539">
        <v>7707443828</v>
      </c>
      <c r="Y1539">
        <v>770701001</v>
      </c>
      <c r="Z1539" s="3">
        <v>45981.500694444447</v>
      </c>
      <c r="AA1539" s="6">
        <v>2025</v>
      </c>
      <c r="AB1539" s="1">
        <v>46006</v>
      </c>
    </row>
    <row r="1540" spans="1:28" x14ac:dyDescent="0.3">
      <c r="A1540" t="s">
        <v>5147</v>
      </c>
      <c r="B1540" s="6" t="s">
        <v>121</v>
      </c>
      <c r="C1540" s="6" t="s">
        <v>122</v>
      </c>
      <c r="D1540">
        <v>5402155123</v>
      </c>
      <c r="E1540">
        <v>540201001</v>
      </c>
      <c r="F1540" t="s">
        <v>52</v>
      </c>
      <c r="G1540" t="s">
        <v>5148</v>
      </c>
      <c r="H1540" s="1">
        <v>45966</v>
      </c>
      <c r="I1540" t="s">
        <v>5149</v>
      </c>
      <c r="J1540" s="8">
        <v>45981</v>
      </c>
      <c r="K1540" s="1" t="s">
        <v>4530</v>
      </c>
      <c r="L1540" t="s">
        <v>5150</v>
      </c>
      <c r="M1540" t="s">
        <v>5151</v>
      </c>
      <c r="N1540" s="12">
        <v>5183536</v>
      </c>
      <c r="O1540" t="s">
        <v>3745</v>
      </c>
      <c r="P1540" s="6" t="s">
        <v>2277</v>
      </c>
      <c r="R1540" t="s">
        <v>38</v>
      </c>
      <c r="S1540" s="9">
        <v>1808</v>
      </c>
      <c r="T1540" s="9">
        <v>955</v>
      </c>
      <c r="U1540" s="9">
        <v>1726640</v>
      </c>
      <c r="V1540" s="6" t="s">
        <v>4615</v>
      </c>
      <c r="W1540" t="s">
        <v>4616</v>
      </c>
      <c r="X1540">
        <v>7707443828</v>
      </c>
      <c r="Y1540">
        <v>770701001</v>
      </c>
      <c r="Z1540" s="3">
        <v>45981.500694444447</v>
      </c>
      <c r="AA1540" s="6">
        <v>2025</v>
      </c>
      <c r="AB1540" s="1">
        <v>46006</v>
      </c>
    </row>
    <row r="1541" spans="1:28" x14ac:dyDescent="0.3">
      <c r="A1541" t="s">
        <v>5147</v>
      </c>
      <c r="B1541" s="6" t="s">
        <v>121</v>
      </c>
      <c r="C1541" s="6" t="s">
        <v>122</v>
      </c>
      <c r="D1541">
        <v>5402155123</v>
      </c>
      <c r="E1541">
        <v>540201001</v>
      </c>
      <c r="F1541" t="s">
        <v>52</v>
      </c>
      <c r="G1541" t="s">
        <v>5148</v>
      </c>
      <c r="H1541" s="1">
        <v>45966</v>
      </c>
      <c r="I1541" t="s">
        <v>5149</v>
      </c>
      <c r="J1541" s="8">
        <v>45981</v>
      </c>
      <c r="K1541" s="1" t="s">
        <v>4530</v>
      </c>
      <c r="L1541" t="s">
        <v>5150</v>
      </c>
      <c r="M1541" t="s">
        <v>5151</v>
      </c>
      <c r="N1541" s="12">
        <v>5183536</v>
      </c>
      <c r="O1541" t="s">
        <v>3613</v>
      </c>
      <c r="P1541" s="6" t="s">
        <v>891</v>
      </c>
      <c r="Q1541" t="s">
        <v>37</v>
      </c>
      <c r="R1541" t="s">
        <v>38</v>
      </c>
      <c r="S1541" s="9">
        <v>1808</v>
      </c>
      <c r="T1541" s="9">
        <v>540</v>
      </c>
      <c r="U1541" s="9">
        <v>976320</v>
      </c>
      <c r="V1541" s="6" t="s">
        <v>4615</v>
      </c>
      <c r="W1541" t="s">
        <v>4616</v>
      </c>
      <c r="X1541">
        <v>7707443828</v>
      </c>
      <c r="Y1541">
        <v>770701001</v>
      </c>
      <c r="Z1541" s="3">
        <v>45981.500694444447</v>
      </c>
      <c r="AA1541" s="6">
        <v>2025</v>
      </c>
      <c r="AB1541" s="1">
        <v>46006</v>
      </c>
    </row>
    <row r="1542" spans="1:28" x14ac:dyDescent="0.3">
      <c r="A1542" t="s">
        <v>5152</v>
      </c>
      <c r="B1542" s="6" t="s">
        <v>121</v>
      </c>
      <c r="C1542" s="6" t="s">
        <v>122</v>
      </c>
      <c r="D1542">
        <v>5402155123</v>
      </c>
      <c r="E1542">
        <v>540201001</v>
      </c>
      <c r="F1542" t="s">
        <v>52</v>
      </c>
      <c r="G1542" t="s">
        <v>5153</v>
      </c>
      <c r="H1542" s="1">
        <v>45968</v>
      </c>
      <c r="I1542" t="s">
        <v>5154</v>
      </c>
      <c r="J1542" s="8">
        <v>45981</v>
      </c>
      <c r="K1542" s="1" t="s">
        <v>4530</v>
      </c>
      <c r="L1542" t="s">
        <v>5155</v>
      </c>
      <c r="M1542" t="s">
        <v>5156</v>
      </c>
      <c r="N1542" s="12">
        <v>5194496</v>
      </c>
      <c r="O1542" t="s">
        <v>3633</v>
      </c>
      <c r="P1542" s="6" t="s">
        <v>36</v>
      </c>
      <c r="R1542" t="s">
        <v>38</v>
      </c>
      <c r="S1542" s="9">
        <v>3152</v>
      </c>
      <c r="T1542" s="9">
        <v>1648</v>
      </c>
      <c r="U1542" s="9">
        <v>5194496</v>
      </c>
      <c r="V1542" s="6" t="s">
        <v>5157</v>
      </c>
      <c r="W1542" t="s">
        <v>5158</v>
      </c>
      <c r="X1542">
        <v>4500018701</v>
      </c>
      <c r="Y1542">
        <v>450001001</v>
      </c>
      <c r="Z1542" s="3">
        <v>45981.509722222225</v>
      </c>
      <c r="AA1542" s="6">
        <v>2025</v>
      </c>
      <c r="AB1542" s="1">
        <v>46016</v>
      </c>
    </row>
    <row r="1543" spans="1:28" x14ac:dyDescent="0.3">
      <c r="A1543" t="s">
        <v>5159</v>
      </c>
      <c r="B1543" s="6" t="s">
        <v>121</v>
      </c>
      <c r="C1543" s="6" t="s">
        <v>122</v>
      </c>
      <c r="D1543">
        <v>5402155123</v>
      </c>
      <c r="E1543">
        <v>540201001</v>
      </c>
      <c r="F1543" t="s">
        <v>52</v>
      </c>
      <c r="G1543" t="s">
        <v>5160</v>
      </c>
      <c r="H1543" s="1">
        <v>45968</v>
      </c>
      <c r="I1543" t="s">
        <v>5154</v>
      </c>
      <c r="J1543" s="8">
        <v>45982</v>
      </c>
      <c r="K1543" s="1" t="s">
        <v>4530</v>
      </c>
      <c r="L1543" t="s">
        <v>5161</v>
      </c>
      <c r="M1543" t="s">
        <v>5162</v>
      </c>
      <c r="N1543" s="12">
        <v>5188960</v>
      </c>
      <c r="O1543" t="s">
        <v>5163</v>
      </c>
      <c r="P1543" s="6" t="s">
        <v>891</v>
      </c>
      <c r="Q1543" t="s">
        <v>37</v>
      </c>
      <c r="R1543" t="s">
        <v>38</v>
      </c>
      <c r="S1543" s="9">
        <v>1808</v>
      </c>
      <c r="T1543" s="9">
        <v>540</v>
      </c>
      <c r="U1543" s="9">
        <v>976320</v>
      </c>
      <c r="V1543" s="6" t="s">
        <v>4615</v>
      </c>
      <c r="W1543" t="s">
        <v>4616</v>
      </c>
      <c r="X1543">
        <v>7707443828</v>
      </c>
      <c r="Y1543">
        <v>770701001</v>
      </c>
      <c r="Z1543" s="3">
        <v>45982.443749999999</v>
      </c>
      <c r="AA1543" s="6">
        <v>2025</v>
      </c>
      <c r="AB1543" s="1">
        <v>46016</v>
      </c>
    </row>
    <row r="1544" spans="1:28" x14ac:dyDescent="0.3">
      <c r="A1544" t="s">
        <v>5159</v>
      </c>
      <c r="B1544" s="6" t="s">
        <v>121</v>
      </c>
      <c r="C1544" s="6" t="s">
        <v>122</v>
      </c>
      <c r="D1544">
        <v>5402155123</v>
      </c>
      <c r="E1544">
        <v>540201001</v>
      </c>
      <c r="F1544" t="s">
        <v>52</v>
      </c>
      <c r="G1544" t="s">
        <v>5160</v>
      </c>
      <c r="H1544" s="1">
        <v>45968</v>
      </c>
      <c r="I1544" t="s">
        <v>5154</v>
      </c>
      <c r="J1544" s="8">
        <v>45982</v>
      </c>
      <c r="K1544" s="1" t="s">
        <v>4530</v>
      </c>
      <c r="L1544" t="s">
        <v>5161</v>
      </c>
      <c r="M1544" t="s">
        <v>5162</v>
      </c>
      <c r="N1544" s="12">
        <v>5188960</v>
      </c>
      <c r="O1544" t="s">
        <v>4022</v>
      </c>
      <c r="P1544" s="6" t="s">
        <v>2941</v>
      </c>
      <c r="R1544" t="s">
        <v>38</v>
      </c>
      <c r="S1544" s="9">
        <v>1808</v>
      </c>
      <c r="T1544" s="9">
        <v>1373</v>
      </c>
      <c r="U1544" s="9">
        <v>2482384</v>
      </c>
      <c r="V1544" s="6" t="s">
        <v>4615</v>
      </c>
      <c r="W1544" t="s">
        <v>4616</v>
      </c>
      <c r="X1544">
        <v>7707443828</v>
      </c>
      <c r="Y1544">
        <v>770701001</v>
      </c>
      <c r="Z1544" s="3">
        <v>45982.443749999999</v>
      </c>
      <c r="AA1544" s="6">
        <v>2025</v>
      </c>
      <c r="AB1544" s="1">
        <v>46016</v>
      </c>
    </row>
    <row r="1545" spans="1:28" x14ac:dyDescent="0.3">
      <c r="A1545" t="s">
        <v>5159</v>
      </c>
      <c r="B1545" s="6" t="s">
        <v>121</v>
      </c>
      <c r="C1545" s="6" t="s">
        <v>122</v>
      </c>
      <c r="D1545">
        <v>5402155123</v>
      </c>
      <c r="E1545">
        <v>540201001</v>
      </c>
      <c r="F1545" t="s">
        <v>52</v>
      </c>
      <c r="G1545" t="s">
        <v>5160</v>
      </c>
      <c r="H1545" s="1">
        <v>45968</v>
      </c>
      <c r="I1545" t="s">
        <v>5154</v>
      </c>
      <c r="J1545" s="8">
        <v>45982</v>
      </c>
      <c r="K1545" s="1" t="s">
        <v>4530</v>
      </c>
      <c r="L1545" t="s">
        <v>5161</v>
      </c>
      <c r="M1545" t="s">
        <v>5162</v>
      </c>
      <c r="N1545" s="12">
        <v>5188960</v>
      </c>
      <c r="O1545" t="s">
        <v>3648</v>
      </c>
      <c r="P1545" s="6" t="s">
        <v>2277</v>
      </c>
      <c r="R1545" t="s">
        <v>38</v>
      </c>
      <c r="S1545" s="9">
        <v>1808</v>
      </c>
      <c r="T1545" s="9">
        <v>957</v>
      </c>
      <c r="U1545" s="9">
        <v>1730256</v>
      </c>
      <c r="V1545" s="6" t="s">
        <v>4615</v>
      </c>
      <c r="W1545" t="s">
        <v>4616</v>
      </c>
      <c r="X1545">
        <v>7707443828</v>
      </c>
      <c r="Y1545">
        <v>770701001</v>
      </c>
      <c r="Z1545" s="3">
        <v>45982.443749999999</v>
      </c>
      <c r="AA1545" s="6">
        <v>2025</v>
      </c>
      <c r="AB1545" s="1">
        <v>46016</v>
      </c>
    </row>
    <row r="1546" spans="1:28" x14ac:dyDescent="0.3">
      <c r="A1546" t="s">
        <v>5164</v>
      </c>
      <c r="B1546" s="6" t="s">
        <v>121</v>
      </c>
      <c r="C1546" s="6" t="s">
        <v>122</v>
      </c>
      <c r="D1546">
        <v>5402155123</v>
      </c>
      <c r="E1546">
        <v>540201001</v>
      </c>
      <c r="F1546" t="s">
        <v>52</v>
      </c>
      <c r="G1546" t="s">
        <v>5165</v>
      </c>
      <c r="H1546" s="1">
        <v>45968</v>
      </c>
      <c r="I1546" t="s">
        <v>5154</v>
      </c>
      <c r="J1546" s="8">
        <v>45982</v>
      </c>
      <c r="K1546" s="1" t="s">
        <v>4530</v>
      </c>
      <c r="L1546" t="s">
        <v>5166</v>
      </c>
      <c r="M1546" t="s">
        <v>5167</v>
      </c>
      <c r="N1546" s="12">
        <v>5192576</v>
      </c>
      <c r="O1546" t="s">
        <v>4022</v>
      </c>
      <c r="P1546" s="6" t="s">
        <v>2941</v>
      </c>
      <c r="R1546" t="s">
        <v>38</v>
      </c>
      <c r="S1546" s="9">
        <v>1808</v>
      </c>
      <c r="T1546" s="9">
        <v>1374</v>
      </c>
      <c r="U1546" s="9">
        <v>2484192</v>
      </c>
      <c r="V1546" s="6" t="s">
        <v>4615</v>
      </c>
      <c r="W1546" t="s">
        <v>4616</v>
      </c>
      <c r="X1546">
        <v>7707443828</v>
      </c>
      <c r="Y1546">
        <v>770701001</v>
      </c>
      <c r="Z1546" s="3">
        <v>45982.430555555555</v>
      </c>
      <c r="AA1546" s="6">
        <v>2025</v>
      </c>
      <c r="AB1546" s="1">
        <v>46016</v>
      </c>
    </row>
    <row r="1547" spans="1:28" x14ac:dyDescent="0.3">
      <c r="A1547" s="4" t="s">
        <v>5168</v>
      </c>
      <c r="B1547" s="6" t="s">
        <v>121</v>
      </c>
      <c r="C1547" s="6" t="s">
        <v>122</v>
      </c>
      <c r="D1547">
        <v>5402155123</v>
      </c>
      <c r="E1547">
        <v>540201001</v>
      </c>
      <c r="F1547" t="s">
        <v>52</v>
      </c>
      <c r="G1547" t="s">
        <v>5165</v>
      </c>
      <c r="H1547" s="1">
        <v>45968</v>
      </c>
      <c r="I1547" t="s">
        <v>5154</v>
      </c>
      <c r="J1547" s="8">
        <v>45982</v>
      </c>
      <c r="K1547" s="1" t="s">
        <v>4530</v>
      </c>
      <c r="L1547" t="s">
        <v>5166</v>
      </c>
      <c r="M1547" t="s">
        <v>5167</v>
      </c>
      <c r="N1547" s="12">
        <v>5192576</v>
      </c>
      <c r="O1547" t="s">
        <v>3648</v>
      </c>
      <c r="P1547" s="6" t="s">
        <v>2277</v>
      </c>
      <c r="R1547" t="s">
        <v>38</v>
      </c>
      <c r="S1547" s="9">
        <v>1808</v>
      </c>
      <c r="T1547" s="9">
        <v>957</v>
      </c>
      <c r="U1547" s="9">
        <v>1730256</v>
      </c>
      <c r="V1547" s="6" t="s">
        <v>4615</v>
      </c>
      <c r="W1547" t="s">
        <v>4616</v>
      </c>
      <c r="X1547">
        <v>7707443828</v>
      </c>
      <c r="Y1547">
        <v>770701001</v>
      </c>
      <c r="Z1547" s="3">
        <v>45982.430555555555</v>
      </c>
      <c r="AA1547" s="6">
        <v>2025</v>
      </c>
      <c r="AB1547" s="1">
        <v>46016</v>
      </c>
    </row>
    <row r="1548" spans="1:28" x14ac:dyDescent="0.3">
      <c r="A1548" t="s">
        <v>5164</v>
      </c>
      <c r="B1548" s="6" t="s">
        <v>121</v>
      </c>
      <c r="C1548" s="6" t="s">
        <v>122</v>
      </c>
      <c r="D1548">
        <v>5402155123</v>
      </c>
      <c r="E1548">
        <v>540201001</v>
      </c>
      <c r="F1548" t="s">
        <v>52</v>
      </c>
      <c r="G1548" t="s">
        <v>5165</v>
      </c>
      <c r="H1548" s="1">
        <v>45968</v>
      </c>
      <c r="I1548" t="s">
        <v>5154</v>
      </c>
      <c r="J1548" s="8">
        <v>45982</v>
      </c>
      <c r="K1548" s="1" t="s">
        <v>4530</v>
      </c>
      <c r="L1548" t="s">
        <v>5166</v>
      </c>
      <c r="M1548" t="s">
        <v>5167</v>
      </c>
      <c r="N1548" s="12">
        <v>5192576</v>
      </c>
      <c r="O1548" t="s">
        <v>5163</v>
      </c>
      <c r="P1548" s="6" t="s">
        <v>891</v>
      </c>
      <c r="Q1548" t="s">
        <v>37</v>
      </c>
      <c r="R1548" t="s">
        <v>38</v>
      </c>
      <c r="S1548" s="9">
        <v>1808</v>
      </c>
      <c r="T1548" s="9">
        <v>541</v>
      </c>
      <c r="U1548" s="9">
        <v>978128</v>
      </c>
      <c r="V1548" s="6" t="s">
        <v>4615</v>
      </c>
      <c r="W1548" t="s">
        <v>4616</v>
      </c>
      <c r="X1548">
        <v>7707443828</v>
      </c>
      <c r="Y1548">
        <v>770701001</v>
      </c>
      <c r="Z1548" s="3">
        <v>45982.430555555555</v>
      </c>
      <c r="AA1548" s="6">
        <v>2025</v>
      </c>
      <c r="AB1548" s="1">
        <v>46016</v>
      </c>
    </row>
    <row r="1549" spans="1:28" x14ac:dyDescent="0.3">
      <c r="A1549" t="s">
        <v>5169</v>
      </c>
      <c r="B1549" s="6" t="s">
        <v>1393</v>
      </c>
      <c r="C1549" s="6" t="s">
        <v>105</v>
      </c>
      <c r="D1549">
        <v>6658027450</v>
      </c>
      <c r="E1549">
        <v>665801001</v>
      </c>
      <c r="F1549" t="s">
        <v>2712</v>
      </c>
      <c r="G1549" t="s">
        <v>5170</v>
      </c>
      <c r="H1549" s="1">
        <v>45971</v>
      </c>
      <c r="I1549" s="5" t="s">
        <v>5171</v>
      </c>
      <c r="J1549" s="8">
        <v>45982</v>
      </c>
      <c r="K1549" s="1" t="s">
        <v>4530</v>
      </c>
      <c r="L1549" s="1" t="s">
        <v>5172</v>
      </c>
      <c r="M1549" s="1" t="s">
        <v>3267</v>
      </c>
      <c r="N1549" s="2">
        <v>3190000</v>
      </c>
      <c r="O1549" s="1" t="s">
        <v>3265</v>
      </c>
      <c r="P1549" s="6" t="s">
        <v>36</v>
      </c>
      <c r="R1549" t="s">
        <v>38</v>
      </c>
      <c r="S1549" s="9">
        <v>3190</v>
      </c>
      <c r="T1549" s="9">
        <v>1000</v>
      </c>
      <c r="U1549" s="9">
        <v>3190000</v>
      </c>
      <c r="V1549" s="6" t="s">
        <v>58</v>
      </c>
      <c r="W1549" t="s">
        <v>59</v>
      </c>
      <c r="X1549">
        <v>5262222144</v>
      </c>
      <c r="Y1549">
        <v>526001001</v>
      </c>
      <c r="Z1549" s="3">
        <v>45978.554166666669</v>
      </c>
      <c r="AA1549" s="6">
        <v>2025</v>
      </c>
      <c r="AB1549" s="1">
        <v>46022</v>
      </c>
    </row>
    <row r="1550" spans="1:28" x14ac:dyDescent="0.3">
      <c r="A1550" t="s">
        <v>5173</v>
      </c>
      <c r="B1550" s="6" t="s">
        <v>1088</v>
      </c>
      <c r="C1550" s="6" t="s">
        <v>355</v>
      </c>
      <c r="D1550">
        <v>2466212607</v>
      </c>
      <c r="E1550">
        <v>246601001</v>
      </c>
      <c r="F1550" t="s">
        <v>52</v>
      </c>
      <c r="G1550" t="s">
        <v>5174</v>
      </c>
      <c r="H1550" s="1">
        <v>45971</v>
      </c>
      <c r="I1550" t="s">
        <v>5175</v>
      </c>
      <c r="J1550" s="8">
        <v>45982</v>
      </c>
      <c r="K1550" s="1" t="s">
        <v>4530</v>
      </c>
      <c r="L1550" t="s">
        <v>5176</v>
      </c>
      <c r="M1550" t="s">
        <v>5177</v>
      </c>
      <c r="N1550" s="12">
        <v>88585600</v>
      </c>
      <c r="O1550" t="s">
        <v>3633</v>
      </c>
      <c r="P1550" s="6" t="s">
        <v>36</v>
      </c>
      <c r="Q1550" t="s">
        <v>37</v>
      </c>
      <c r="R1550" t="s">
        <v>38</v>
      </c>
      <c r="S1550" s="9">
        <v>3800</v>
      </c>
      <c r="T1550" s="9">
        <v>12000</v>
      </c>
      <c r="U1550" s="9">
        <v>45600000</v>
      </c>
      <c r="V1550" s="6" t="s">
        <v>39</v>
      </c>
      <c r="W1550" t="s">
        <v>40</v>
      </c>
      <c r="X1550">
        <v>7810687137</v>
      </c>
      <c r="Y1550">
        <v>781401001</v>
      </c>
      <c r="Z1550" s="3">
        <v>45985.268055555556</v>
      </c>
      <c r="AA1550" s="6">
        <v>2026</v>
      </c>
      <c r="AB1550" s="1">
        <v>46142</v>
      </c>
    </row>
    <row r="1551" spans="1:28" x14ac:dyDescent="0.3">
      <c r="A1551" t="s">
        <v>5173</v>
      </c>
      <c r="B1551" s="6" t="s">
        <v>1088</v>
      </c>
      <c r="C1551" s="6" t="s">
        <v>355</v>
      </c>
      <c r="D1551">
        <v>2466212607</v>
      </c>
      <c r="E1551">
        <v>246601001</v>
      </c>
      <c r="F1551" t="s">
        <v>52</v>
      </c>
      <c r="G1551" t="s">
        <v>5174</v>
      </c>
      <c r="H1551" s="1">
        <v>45971</v>
      </c>
      <c r="I1551" t="s">
        <v>5175</v>
      </c>
      <c r="J1551" s="8">
        <v>45982</v>
      </c>
      <c r="K1551" s="1" t="s">
        <v>4530</v>
      </c>
      <c r="L1551" t="s">
        <v>5176</v>
      </c>
      <c r="M1551" t="s">
        <v>5177</v>
      </c>
      <c r="N1551" s="12">
        <v>88585600</v>
      </c>
      <c r="O1551" t="s">
        <v>3624</v>
      </c>
      <c r="P1551" s="6" t="s">
        <v>891</v>
      </c>
      <c r="Q1551" t="s">
        <v>37</v>
      </c>
      <c r="R1551" t="s">
        <v>38</v>
      </c>
      <c r="S1551" s="9">
        <v>3800</v>
      </c>
      <c r="T1551" s="9">
        <v>5500</v>
      </c>
      <c r="U1551" s="9">
        <v>20900000</v>
      </c>
      <c r="V1551" s="6" t="s">
        <v>39</v>
      </c>
      <c r="W1551" t="s">
        <v>40</v>
      </c>
      <c r="X1551">
        <v>7810687137</v>
      </c>
      <c r="Y1551">
        <v>781401001</v>
      </c>
      <c r="Z1551" s="3">
        <v>45985.268055555556</v>
      </c>
      <c r="AA1551" s="6">
        <v>2026</v>
      </c>
      <c r="AB1551" s="1">
        <v>46142</v>
      </c>
    </row>
    <row r="1552" spans="1:28" x14ac:dyDescent="0.3">
      <c r="A1552" t="s">
        <v>5173</v>
      </c>
      <c r="B1552" s="6" t="s">
        <v>1088</v>
      </c>
      <c r="C1552" s="6" t="s">
        <v>355</v>
      </c>
      <c r="D1552">
        <v>2466212607</v>
      </c>
      <c r="E1552">
        <v>246601001</v>
      </c>
      <c r="F1552" t="s">
        <v>52</v>
      </c>
      <c r="G1552" t="s">
        <v>5174</v>
      </c>
      <c r="H1552" s="1">
        <v>45971</v>
      </c>
      <c r="I1552" t="s">
        <v>5175</v>
      </c>
      <c r="J1552" s="8">
        <v>45982</v>
      </c>
      <c r="K1552" s="1" t="s">
        <v>4530</v>
      </c>
      <c r="L1552" t="s">
        <v>5176</v>
      </c>
      <c r="M1552" t="s">
        <v>5177</v>
      </c>
      <c r="N1552" s="12">
        <v>88585600</v>
      </c>
      <c r="O1552" t="s">
        <v>3648</v>
      </c>
      <c r="P1552" s="6" t="s">
        <v>2277</v>
      </c>
      <c r="Q1552" t="s">
        <v>37</v>
      </c>
      <c r="R1552" t="s">
        <v>38</v>
      </c>
      <c r="S1552" s="9">
        <v>3800</v>
      </c>
      <c r="T1552" s="9">
        <v>5812</v>
      </c>
      <c r="U1552" s="9">
        <v>22085600</v>
      </c>
      <c r="V1552" s="6" t="s">
        <v>39</v>
      </c>
      <c r="W1552" t="s">
        <v>40</v>
      </c>
      <c r="X1552">
        <v>7810687137</v>
      </c>
      <c r="Y1552">
        <v>781401001</v>
      </c>
      <c r="Z1552" s="3">
        <v>45985.268055555556</v>
      </c>
      <c r="AA1552" s="6">
        <v>2026</v>
      </c>
      <c r="AB1552" s="1">
        <v>46142</v>
      </c>
    </row>
    <row r="1553" spans="1:28" x14ac:dyDescent="0.3">
      <c r="A1553" t="s">
        <v>5178</v>
      </c>
      <c r="B1553" s="6" t="s">
        <v>1171</v>
      </c>
      <c r="C1553" s="6" t="s">
        <v>1172</v>
      </c>
      <c r="D1553">
        <v>5260101352</v>
      </c>
      <c r="E1553">
        <v>526001001</v>
      </c>
      <c r="F1553" t="s">
        <v>94</v>
      </c>
      <c r="G1553" t="s">
        <v>5179</v>
      </c>
      <c r="H1553" s="1">
        <v>45980</v>
      </c>
      <c r="J1553" s="8">
        <v>45985</v>
      </c>
      <c r="K1553" s="1" t="s">
        <v>4530</v>
      </c>
      <c r="L1553" t="s">
        <v>5180</v>
      </c>
      <c r="M1553" t="s">
        <v>5181</v>
      </c>
      <c r="N1553" s="12">
        <v>133000</v>
      </c>
      <c r="O1553" t="s">
        <v>3633</v>
      </c>
      <c r="P1553" s="6" t="s">
        <v>36</v>
      </c>
      <c r="R1553" t="s">
        <v>38</v>
      </c>
      <c r="S1553" s="9">
        <v>3800</v>
      </c>
      <c r="T1553" s="9">
        <v>35</v>
      </c>
      <c r="U1553" s="9">
        <v>133000</v>
      </c>
      <c r="V1553" s="6" t="s">
        <v>111</v>
      </c>
      <c r="W1553" t="s">
        <v>59</v>
      </c>
      <c r="X1553">
        <v>5262258091</v>
      </c>
      <c r="Y1553">
        <v>526001001</v>
      </c>
      <c r="Z1553" s="3">
        <v>45985.322222222225</v>
      </c>
      <c r="AA1553" s="6">
        <v>2026</v>
      </c>
      <c r="AB1553" s="1">
        <v>46240</v>
      </c>
    </row>
    <row r="1554" spans="1:28" x14ac:dyDescent="0.3">
      <c r="A1554" s="4" t="s">
        <v>5182</v>
      </c>
      <c r="B1554" s="6" t="s">
        <v>818</v>
      </c>
      <c r="C1554" s="6" t="s">
        <v>965</v>
      </c>
      <c r="D1554">
        <v>7018013613</v>
      </c>
      <c r="E1554">
        <v>701701001</v>
      </c>
      <c r="F1554" t="s">
        <v>149</v>
      </c>
      <c r="G1554" t="s">
        <v>5183</v>
      </c>
      <c r="H1554" s="1">
        <v>45980</v>
      </c>
      <c r="J1554" s="8">
        <v>45985</v>
      </c>
      <c r="K1554" s="1" t="s">
        <v>4530</v>
      </c>
      <c r="L1554" t="s">
        <v>5184</v>
      </c>
      <c r="M1554" t="s">
        <v>377</v>
      </c>
      <c r="N1554" s="12">
        <v>342000</v>
      </c>
      <c r="O1554" t="s">
        <v>3613</v>
      </c>
      <c r="P1554" s="6" t="s">
        <v>36</v>
      </c>
      <c r="R1554" t="s">
        <v>38</v>
      </c>
      <c r="S1554" s="9">
        <v>3800</v>
      </c>
      <c r="T1554" s="9">
        <v>90</v>
      </c>
      <c r="U1554" s="9">
        <v>342000</v>
      </c>
      <c r="V1554" s="6" t="s">
        <v>58</v>
      </c>
      <c r="W1554" t="s">
        <v>59</v>
      </c>
      <c r="X1554">
        <v>5262222144</v>
      </c>
      <c r="Y1554">
        <v>526001001</v>
      </c>
      <c r="Z1554" s="3">
        <v>45985.234027777777</v>
      </c>
      <c r="AA1554" s="6">
        <v>2026</v>
      </c>
      <c r="AB1554" s="1">
        <v>46128</v>
      </c>
    </row>
    <row r="1555" spans="1:28" x14ac:dyDescent="0.3">
      <c r="A1555" s="4" t="s">
        <v>5185</v>
      </c>
      <c r="B1555" s="6" t="s">
        <v>121</v>
      </c>
      <c r="C1555" s="6" t="s">
        <v>122</v>
      </c>
      <c r="D1555">
        <v>5402155123</v>
      </c>
      <c r="E1555">
        <v>540201001</v>
      </c>
      <c r="F1555" t="s">
        <v>52</v>
      </c>
      <c r="G1555" t="s">
        <v>5186</v>
      </c>
      <c r="H1555" s="1">
        <v>45974</v>
      </c>
      <c r="I1555" t="s">
        <v>5187</v>
      </c>
      <c r="J1555" s="8">
        <v>45986</v>
      </c>
      <c r="K1555" s="1" t="s">
        <v>4530</v>
      </c>
      <c r="L1555" t="s">
        <v>5188</v>
      </c>
      <c r="M1555" t="s">
        <v>5189</v>
      </c>
      <c r="N1555" s="12">
        <v>18297986.719999999</v>
      </c>
      <c r="O1555" t="s">
        <v>4022</v>
      </c>
      <c r="P1555" s="6" t="s">
        <v>2941</v>
      </c>
      <c r="R1555" t="s">
        <v>38</v>
      </c>
      <c r="S1555" s="9">
        <v>1805.96</v>
      </c>
      <c r="T1555" s="9">
        <v>10132</v>
      </c>
      <c r="U1555" s="9">
        <v>18297986.719999999</v>
      </c>
      <c r="V1555" s="6" t="s">
        <v>4615</v>
      </c>
      <c r="W1555" t="s">
        <v>4616</v>
      </c>
      <c r="X1555">
        <v>7707443828</v>
      </c>
      <c r="Y1555">
        <v>770701001</v>
      </c>
      <c r="Z1555" s="3">
        <v>45986.527777777781</v>
      </c>
      <c r="AA1555" s="6">
        <v>2025</v>
      </c>
      <c r="AB1555" s="1">
        <v>46016</v>
      </c>
    </row>
    <row r="1556" spans="1:28" x14ac:dyDescent="0.3">
      <c r="A1556" s="4" t="s">
        <v>5190</v>
      </c>
      <c r="B1556" s="6" t="s">
        <v>220</v>
      </c>
      <c r="C1556" s="6" t="s">
        <v>221</v>
      </c>
      <c r="D1556">
        <v>5024068656</v>
      </c>
      <c r="E1556">
        <v>502401001</v>
      </c>
      <c r="F1556" t="s">
        <v>94</v>
      </c>
      <c r="G1556" t="s">
        <v>5191</v>
      </c>
      <c r="H1556" s="1">
        <v>45982</v>
      </c>
      <c r="J1556" s="8">
        <v>45987</v>
      </c>
      <c r="K1556" s="1" t="s">
        <v>4530</v>
      </c>
      <c r="L1556" t="s">
        <v>5191</v>
      </c>
      <c r="M1556" t="s">
        <v>5192</v>
      </c>
      <c r="N1556" s="12">
        <v>94999.52</v>
      </c>
      <c r="O1556" t="s">
        <v>3633</v>
      </c>
      <c r="P1556" s="6" t="s">
        <v>36</v>
      </c>
      <c r="R1556" t="s">
        <v>38</v>
      </c>
      <c r="S1556" s="9">
        <v>3392.84</v>
      </c>
      <c r="T1556" s="9">
        <v>28</v>
      </c>
      <c r="U1556" s="9">
        <v>94999.52</v>
      </c>
      <c r="V1556" s="6" t="s">
        <v>128</v>
      </c>
      <c r="W1556" t="s">
        <v>129</v>
      </c>
      <c r="X1556">
        <v>274110679</v>
      </c>
      <c r="Y1556">
        <v>500801001</v>
      </c>
      <c r="Z1556" s="3">
        <v>45987.677083333336</v>
      </c>
      <c r="AA1556" s="6">
        <v>2025</v>
      </c>
      <c r="AB1556" s="1">
        <v>46021</v>
      </c>
    </row>
    <row r="1557" spans="1:28" x14ac:dyDescent="0.3">
      <c r="A1557" t="s">
        <v>5193</v>
      </c>
      <c r="B1557" s="6" t="s">
        <v>857</v>
      </c>
      <c r="C1557" s="6" t="s">
        <v>388</v>
      </c>
      <c r="D1557">
        <v>3808172327</v>
      </c>
      <c r="E1557">
        <v>380801001</v>
      </c>
      <c r="F1557" t="s">
        <v>52</v>
      </c>
      <c r="G1557" t="s">
        <v>5194</v>
      </c>
      <c r="H1557" s="1">
        <v>45975</v>
      </c>
      <c r="I1557" t="s">
        <v>5195</v>
      </c>
      <c r="J1557" s="8">
        <v>45988</v>
      </c>
      <c r="K1557" s="1" t="s">
        <v>4530</v>
      </c>
      <c r="L1557" t="s">
        <v>5196</v>
      </c>
      <c r="M1557" t="s">
        <v>3455</v>
      </c>
      <c r="N1557" s="12">
        <v>60480000</v>
      </c>
      <c r="O1557" t="s">
        <v>3648</v>
      </c>
      <c r="P1557" s="6" t="s">
        <v>2277</v>
      </c>
      <c r="R1557" t="s">
        <v>38</v>
      </c>
      <c r="S1557" s="9">
        <v>3200</v>
      </c>
      <c r="T1557" s="9">
        <v>9450</v>
      </c>
      <c r="U1557" s="9">
        <v>30240000</v>
      </c>
      <c r="V1557" s="6" t="s">
        <v>862</v>
      </c>
      <c r="W1557" t="s">
        <v>863</v>
      </c>
      <c r="X1557">
        <v>3810040374</v>
      </c>
      <c r="Y1557">
        <v>381001001</v>
      </c>
      <c r="Z1557" s="3">
        <v>45988.313888888886</v>
      </c>
      <c r="AA1557" s="6">
        <v>2026</v>
      </c>
      <c r="AB1557" s="1">
        <v>46387</v>
      </c>
    </row>
    <row r="1558" spans="1:28" x14ac:dyDescent="0.3">
      <c r="A1558" t="s">
        <v>5193</v>
      </c>
      <c r="B1558" s="6" t="s">
        <v>857</v>
      </c>
      <c r="C1558" s="6" t="s">
        <v>388</v>
      </c>
      <c r="D1558">
        <v>3808172327</v>
      </c>
      <c r="E1558">
        <v>380801001</v>
      </c>
      <c r="F1558" t="s">
        <v>52</v>
      </c>
      <c r="G1558" t="s">
        <v>5194</v>
      </c>
      <c r="H1558" s="1">
        <v>45975</v>
      </c>
      <c r="I1558" t="s">
        <v>5195</v>
      </c>
      <c r="J1558" s="8">
        <v>45988</v>
      </c>
      <c r="K1558" s="1" t="s">
        <v>4530</v>
      </c>
      <c r="L1558" t="s">
        <v>5196</v>
      </c>
      <c r="M1558" t="s">
        <v>3455</v>
      </c>
      <c r="N1558" s="12">
        <v>60480000</v>
      </c>
      <c r="O1558" t="s">
        <v>4036</v>
      </c>
      <c r="P1558" s="6" t="s">
        <v>2941</v>
      </c>
      <c r="R1558" t="s">
        <v>38</v>
      </c>
      <c r="S1558" s="9">
        <v>3200</v>
      </c>
      <c r="T1558" s="9">
        <v>9450</v>
      </c>
      <c r="U1558" s="9">
        <v>30240000</v>
      </c>
      <c r="V1558" s="6" t="s">
        <v>862</v>
      </c>
      <c r="W1558" t="s">
        <v>863</v>
      </c>
      <c r="X1558">
        <v>3810040374</v>
      </c>
      <c r="Y1558">
        <v>381001001</v>
      </c>
      <c r="Z1558" s="3">
        <v>45988.313888888886</v>
      </c>
      <c r="AA1558" s="6">
        <v>2026</v>
      </c>
      <c r="AB1558" s="1">
        <v>46387</v>
      </c>
    </row>
    <row r="1559" spans="1:28" x14ac:dyDescent="0.3">
      <c r="A1559" s="4" t="s">
        <v>5197</v>
      </c>
      <c r="B1559" s="6" t="s">
        <v>361</v>
      </c>
      <c r="C1559" s="6" t="s">
        <v>164</v>
      </c>
      <c r="D1559">
        <v>7714338609</v>
      </c>
      <c r="E1559">
        <v>771401001</v>
      </c>
      <c r="F1559" t="s">
        <v>94</v>
      </c>
      <c r="G1559" t="s">
        <v>5198</v>
      </c>
      <c r="H1559" s="1">
        <v>45985</v>
      </c>
      <c r="J1559" s="8">
        <v>45988</v>
      </c>
      <c r="K1559" s="1" t="s">
        <v>4530</v>
      </c>
      <c r="L1559" t="s">
        <v>5199</v>
      </c>
      <c r="M1559" t="s">
        <v>5200</v>
      </c>
      <c r="N1559" s="12">
        <v>1116000</v>
      </c>
      <c r="O1559" t="s">
        <v>3643</v>
      </c>
      <c r="P1559" s="6" t="s">
        <v>1814</v>
      </c>
      <c r="R1559" t="s">
        <v>38</v>
      </c>
      <c r="S1559" s="9">
        <v>6000</v>
      </c>
      <c r="T1559" s="9">
        <v>186</v>
      </c>
      <c r="U1559" s="9">
        <v>1116000</v>
      </c>
      <c r="V1559" s="6" t="s">
        <v>545</v>
      </c>
      <c r="W1559" t="s">
        <v>40</v>
      </c>
      <c r="X1559">
        <v>7713655588</v>
      </c>
      <c r="Y1559">
        <v>773001001</v>
      </c>
      <c r="Z1559" s="3">
        <v>45992.407638888886</v>
      </c>
      <c r="AA1559" s="6">
        <v>2025</v>
      </c>
      <c r="AB1559" s="1">
        <v>46020</v>
      </c>
    </row>
    <row r="1560" spans="1:28" x14ac:dyDescent="0.3">
      <c r="A1560" t="s">
        <v>5201</v>
      </c>
      <c r="B1560" s="6" t="s">
        <v>538</v>
      </c>
      <c r="C1560" s="6" t="s">
        <v>539</v>
      </c>
      <c r="D1560">
        <v>7808043833</v>
      </c>
      <c r="E1560">
        <v>784101001</v>
      </c>
      <c r="F1560" t="s">
        <v>52</v>
      </c>
      <c r="G1560" t="s">
        <v>5202</v>
      </c>
      <c r="H1560" s="1">
        <v>45981</v>
      </c>
      <c r="J1560" s="8">
        <v>45992</v>
      </c>
      <c r="K1560" s="1" t="s">
        <v>4530</v>
      </c>
      <c r="L1560" t="s">
        <v>5202</v>
      </c>
      <c r="M1560" t="s">
        <v>5203</v>
      </c>
      <c r="N1560" s="12">
        <v>184995000</v>
      </c>
      <c r="O1560" t="s">
        <v>3633</v>
      </c>
      <c r="P1560" s="6" t="s">
        <v>36</v>
      </c>
      <c r="R1560" t="s">
        <v>38</v>
      </c>
      <c r="S1560" s="9">
        <v>3000</v>
      </c>
      <c r="T1560" s="9">
        <v>61665</v>
      </c>
      <c r="U1560" s="9">
        <v>184995000</v>
      </c>
      <c r="V1560" s="6" t="s">
        <v>39</v>
      </c>
      <c r="W1560" t="s">
        <v>40</v>
      </c>
      <c r="X1560">
        <v>7810687137</v>
      </c>
      <c r="Y1560">
        <v>781401001</v>
      </c>
      <c r="Z1560" s="3">
        <v>45993.414583333331</v>
      </c>
      <c r="AA1560" s="6">
        <v>2025</v>
      </c>
      <c r="AB1560" s="1">
        <v>46022</v>
      </c>
    </row>
    <row r="1561" spans="1:28" x14ac:dyDescent="0.3">
      <c r="A1561" t="s">
        <v>5204</v>
      </c>
      <c r="B1561" s="6" t="s">
        <v>4919</v>
      </c>
      <c r="C1561" s="6" t="s">
        <v>164</v>
      </c>
      <c r="D1561">
        <v>7728016351</v>
      </c>
      <c r="E1561">
        <v>772801001</v>
      </c>
      <c r="F1561" t="s">
        <v>149</v>
      </c>
      <c r="G1561" t="s">
        <v>5205</v>
      </c>
      <c r="H1561" s="1">
        <v>45988</v>
      </c>
      <c r="J1561" s="8">
        <v>45993</v>
      </c>
      <c r="K1561" s="1" t="s">
        <v>4530</v>
      </c>
      <c r="L1561" t="s">
        <v>5206</v>
      </c>
      <c r="M1561" t="s">
        <v>377</v>
      </c>
      <c r="N1561" s="12">
        <v>4998000</v>
      </c>
      <c r="O1561" t="s">
        <v>3613</v>
      </c>
      <c r="P1561" s="6" t="s">
        <v>36</v>
      </c>
      <c r="R1561" t="s">
        <v>38</v>
      </c>
      <c r="S1561" s="9">
        <v>3400</v>
      </c>
      <c r="T1561" s="9">
        <v>1470</v>
      </c>
      <c r="U1561" s="9">
        <v>4998000</v>
      </c>
      <c r="V1561" s="6" t="s">
        <v>58</v>
      </c>
      <c r="W1561" t="s">
        <v>59</v>
      </c>
      <c r="X1561">
        <v>5262222144</v>
      </c>
      <c r="Y1561">
        <v>526001001</v>
      </c>
      <c r="Z1561" s="3">
        <v>45993.677777777775</v>
      </c>
      <c r="AA1561" s="6">
        <v>2026</v>
      </c>
      <c r="AB1561" s="1">
        <v>46418</v>
      </c>
    </row>
    <row r="1562" spans="1:28" x14ac:dyDescent="0.3">
      <c r="A1562" t="s">
        <v>5207</v>
      </c>
      <c r="B1562" s="6" t="s">
        <v>113</v>
      </c>
      <c r="C1562" s="6" t="s">
        <v>114</v>
      </c>
      <c r="D1562">
        <v>8601035838</v>
      </c>
      <c r="E1562">
        <v>860201001</v>
      </c>
      <c r="F1562" t="s">
        <v>52</v>
      </c>
      <c r="G1562" t="s">
        <v>5208</v>
      </c>
      <c r="H1562" s="1">
        <v>45982</v>
      </c>
      <c r="J1562" s="8">
        <v>45993</v>
      </c>
      <c r="K1562" s="1" t="s">
        <v>4530</v>
      </c>
      <c r="L1562" t="s">
        <v>5209</v>
      </c>
      <c r="M1562" t="s">
        <v>5210</v>
      </c>
      <c r="N1562" s="12">
        <v>933332.5</v>
      </c>
      <c r="O1562" t="s">
        <v>3633</v>
      </c>
      <c r="P1562" s="6" t="s">
        <v>36</v>
      </c>
      <c r="R1562" t="s">
        <v>38</v>
      </c>
      <c r="S1562" s="9">
        <v>3733.33</v>
      </c>
      <c r="T1562" s="9">
        <v>250</v>
      </c>
      <c r="U1562" s="9">
        <v>933332.5</v>
      </c>
      <c r="V1562" s="6" t="s">
        <v>58</v>
      </c>
      <c r="W1562" t="s">
        <v>59</v>
      </c>
      <c r="X1562">
        <v>5262222144</v>
      </c>
      <c r="Y1562">
        <v>526001001</v>
      </c>
      <c r="Z1562" s="3">
        <v>45993.452777777777</v>
      </c>
      <c r="AA1562" s="6">
        <v>2026</v>
      </c>
      <c r="AB1562" s="1">
        <v>46202</v>
      </c>
    </row>
    <row r="1563" spans="1:28" x14ac:dyDescent="0.3">
      <c r="A1563" t="s">
        <v>5211</v>
      </c>
      <c r="B1563" s="6" t="s">
        <v>491</v>
      </c>
      <c r="C1563" s="6" t="s">
        <v>492</v>
      </c>
      <c r="D1563">
        <v>2724041260</v>
      </c>
      <c r="E1563">
        <v>272101001</v>
      </c>
      <c r="F1563" t="s">
        <v>94</v>
      </c>
      <c r="G1563" t="s">
        <v>5212</v>
      </c>
      <c r="H1563" s="1">
        <v>45988</v>
      </c>
      <c r="J1563" s="8">
        <v>45993</v>
      </c>
      <c r="K1563" s="1" t="s">
        <v>4530</v>
      </c>
      <c r="L1563" t="s">
        <v>5212</v>
      </c>
      <c r="M1563" t="s">
        <v>4221</v>
      </c>
      <c r="N1563" s="12">
        <v>49400</v>
      </c>
      <c r="O1563" t="s">
        <v>5213</v>
      </c>
      <c r="P1563" s="6" t="s">
        <v>36</v>
      </c>
      <c r="R1563" t="s">
        <v>48</v>
      </c>
      <c r="S1563" s="9">
        <v>3800</v>
      </c>
      <c r="T1563" s="9">
        <v>13</v>
      </c>
      <c r="U1563" s="9">
        <v>49400</v>
      </c>
      <c r="V1563" s="6" t="s">
        <v>352</v>
      </c>
      <c r="W1563" t="s">
        <v>40</v>
      </c>
      <c r="X1563">
        <v>7843014747</v>
      </c>
      <c r="Y1563">
        <v>781401001</v>
      </c>
      <c r="Z1563" s="3">
        <v>45993.342361111114</v>
      </c>
      <c r="AA1563" s="6">
        <v>2025</v>
      </c>
      <c r="AB1563" s="1">
        <v>46021</v>
      </c>
    </row>
    <row r="1564" spans="1:28" x14ac:dyDescent="0.3">
      <c r="A1564" t="s">
        <v>5214</v>
      </c>
      <c r="B1564" s="6" t="s">
        <v>491</v>
      </c>
      <c r="C1564" s="6" t="s">
        <v>492</v>
      </c>
      <c r="D1564">
        <v>2724041260</v>
      </c>
      <c r="E1564">
        <v>272101001</v>
      </c>
      <c r="F1564" t="s">
        <v>94</v>
      </c>
      <c r="G1564" t="s">
        <v>5215</v>
      </c>
      <c r="H1564" s="1">
        <v>45988</v>
      </c>
      <c r="J1564" s="8">
        <v>45993</v>
      </c>
      <c r="K1564" s="1" t="s">
        <v>4530</v>
      </c>
      <c r="L1564" t="s">
        <v>5216</v>
      </c>
      <c r="M1564" t="s">
        <v>4221</v>
      </c>
      <c r="N1564" s="12">
        <v>49400</v>
      </c>
      <c r="O1564" t="s">
        <v>5213</v>
      </c>
      <c r="P1564" s="6" t="s">
        <v>36</v>
      </c>
      <c r="R1564" t="s">
        <v>48</v>
      </c>
      <c r="S1564" s="9">
        <v>3800</v>
      </c>
      <c r="T1564" s="9">
        <v>13</v>
      </c>
      <c r="U1564" s="9">
        <v>49400</v>
      </c>
      <c r="V1564" s="6" t="s">
        <v>352</v>
      </c>
      <c r="W1564" t="s">
        <v>40</v>
      </c>
      <c r="X1564">
        <v>7843014747</v>
      </c>
      <c r="Y1564">
        <v>781401001</v>
      </c>
      <c r="Z1564" s="3">
        <v>45993.334722222222</v>
      </c>
      <c r="AA1564" s="6">
        <v>2025</v>
      </c>
      <c r="AB1564" s="1">
        <v>46021</v>
      </c>
    </row>
    <row r="1565" spans="1:28" x14ac:dyDescent="0.3">
      <c r="A1565" t="s">
        <v>5217</v>
      </c>
      <c r="B1565" s="6" t="s">
        <v>491</v>
      </c>
      <c r="C1565" s="6" t="s">
        <v>492</v>
      </c>
      <c r="D1565">
        <v>2724041260</v>
      </c>
      <c r="E1565">
        <v>272101001</v>
      </c>
      <c r="F1565" t="s">
        <v>94</v>
      </c>
      <c r="G1565" t="s">
        <v>5218</v>
      </c>
      <c r="H1565" s="1">
        <v>45988</v>
      </c>
      <c r="J1565" s="8">
        <v>45993</v>
      </c>
      <c r="K1565" s="1" t="s">
        <v>4530</v>
      </c>
      <c r="L1565" t="s">
        <v>5218</v>
      </c>
      <c r="M1565" t="s">
        <v>4221</v>
      </c>
      <c r="N1565" s="12">
        <v>49400</v>
      </c>
      <c r="O1565" t="s">
        <v>3633</v>
      </c>
      <c r="P1565" s="6" t="s">
        <v>36</v>
      </c>
      <c r="R1565" t="s">
        <v>48</v>
      </c>
      <c r="S1565" s="9">
        <v>3800</v>
      </c>
      <c r="T1565" s="9">
        <v>13</v>
      </c>
      <c r="U1565" s="9">
        <v>49400</v>
      </c>
      <c r="V1565" s="6" t="s">
        <v>352</v>
      </c>
      <c r="W1565" t="s">
        <v>40</v>
      </c>
      <c r="X1565">
        <v>7843014747</v>
      </c>
      <c r="Y1565">
        <v>781401001</v>
      </c>
      <c r="Z1565" s="3">
        <v>45993.32916666667</v>
      </c>
      <c r="AA1565" s="6">
        <v>2025</v>
      </c>
      <c r="AB1565" s="1">
        <v>46021</v>
      </c>
    </row>
    <row r="1566" spans="1:28" x14ac:dyDescent="0.3">
      <c r="A1566" t="s">
        <v>5219</v>
      </c>
      <c r="B1566" s="6" t="s">
        <v>491</v>
      </c>
      <c r="C1566" s="6" t="s">
        <v>492</v>
      </c>
      <c r="D1566">
        <v>2724041260</v>
      </c>
      <c r="E1566">
        <v>272101001</v>
      </c>
      <c r="F1566" t="s">
        <v>94</v>
      </c>
      <c r="G1566" t="s">
        <v>5220</v>
      </c>
      <c r="H1566" s="1">
        <v>45988</v>
      </c>
      <c r="J1566" s="8">
        <v>45993</v>
      </c>
      <c r="K1566" s="1" t="s">
        <v>4530</v>
      </c>
      <c r="L1566" t="s">
        <v>5221</v>
      </c>
      <c r="M1566" t="s">
        <v>4221</v>
      </c>
      <c r="N1566" s="12">
        <v>38000</v>
      </c>
      <c r="O1566" t="s">
        <v>5213</v>
      </c>
      <c r="P1566" s="6" t="s">
        <v>36</v>
      </c>
      <c r="R1566" t="s">
        <v>48</v>
      </c>
      <c r="S1566" s="9">
        <v>3800</v>
      </c>
      <c r="T1566" s="9">
        <v>10</v>
      </c>
      <c r="U1566" s="9">
        <v>38000</v>
      </c>
      <c r="V1566" s="6" t="s">
        <v>352</v>
      </c>
      <c r="W1566" t="s">
        <v>40</v>
      </c>
      <c r="X1566">
        <v>7843014747</v>
      </c>
      <c r="Y1566">
        <v>781401001</v>
      </c>
      <c r="Z1566" s="3">
        <v>45993.317361111112</v>
      </c>
      <c r="AA1566" s="6">
        <v>2025</v>
      </c>
      <c r="AB1566" s="1">
        <v>46021</v>
      </c>
    </row>
    <row r="1567" spans="1:28" x14ac:dyDescent="0.3">
      <c r="A1567" s="4" t="s">
        <v>5222</v>
      </c>
      <c r="B1567" s="6" t="s">
        <v>491</v>
      </c>
      <c r="C1567" s="6" t="s">
        <v>492</v>
      </c>
      <c r="D1567">
        <v>2724041260</v>
      </c>
      <c r="E1567">
        <v>272101001</v>
      </c>
      <c r="F1567" t="s">
        <v>94</v>
      </c>
      <c r="G1567" t="s">
        <v>5223</v>
      </c>
      <c r="H1567" s="1">
        <v>45989</v>
      </c>
      <c r="J1567" s="8">
        <v>45994</v>
      </c>
      <c r="K1567" s="1" t="s">
        <v>4530</v>
      </c>
      <c r="L1567" t="s">
        <v>5223</v>
      </c>
      <c r="M1567" t="s">
        <v>4221</v>
      </c>
      <c r="N1567" s="12">
        <v>38000</v>
      </c>
      <c r="O1567" t="s">
        <v>5213</v>
      </c>
      <c r="P1567" s="6" t="s">
        <v>36</v>
      </c>
      <c r="R1567" t="s">
        <v>48</v>
      </c>
      <c r="S1567" s="9">
        <v>3800</v>
      </c>
      <c r="T1567" s="9">
        <v>10</v>
      </c>
      <c r="U1567" s="9">
        <v>38000</v>
      </c>
      <c r="V1567" s="6" t="s">
        <v>352</v>
      </c>
      <c r="W1567" t="s">
        <v>40</v>
      </c>
      <c r="X1567">
        <v>7843014747</v>
      </c>
      <c r="Y1567">
        <v>781401001</v>
      </c>
      <c r="Z1567" s="3">
        <v>45995.263194444444</v>
      </c>
      <c r="AA1567" s="6">
        <v>2025</v>
      </c>
      <c r="AB1567" s="1">
        <v>46021</v>
      </c>
    </row>
    <row r="1568" spans="1:28" x14ac:dyDescent="0.3">
      <c r="A1568" t="s">
        <v>5224</v>
      </c>
      <c r="B1568" s="6" t="s">
        <v>491</v>
      </c>
      <c r="C1568" s="6" t="s">
        <v>492</v>
      </c>
      <c r="D1568">
        <v>2724041260</v>
      </c>
      <c r="E1568">
        <v>272101001</v>
      </c>
      <c r="F1568" t="s">
        <v>94</v>
      </c>
      <c r="G1568" t="s">
        <v>5225</v>
      </c>
      <c r="H1568" s="1">
        <v>45989</v>
      </c>
      <c r="J1568" s="8">
        <v>45994</v>
      </c>
      <c r="K1568" s="1" t="s">
        <v>4530</v>
      </c>
      <c r="L1568" t="s">
        <v>5225</v>
      </c>
      <c r="M1568" t="s">
        <v>4221</v>
      </c>
      <c r="N1568" s="12">
        <v>38000</v>
      </c>
      <c r="O1568" t="s">
        <v>5213</v>
      </c>
      <c r="P1568" s="6" t="s">
        <v>36</v>
      </c>
      <c r="R1568" t="s">
        <v>48</v>
      </c>
      <c r="S1568" s="9">
        <v>3800</v>
      </c>
      <c r="T1568" s="9">
        <v>10</v>
      </c>
      <c r="U1568" s="9">
        <v>38000</v>
      </c>
      <c r="V1568" s="6" t="s">
        <v>352</v>
      </c>
      <c r="W1568" t="s">
        <v>40</v>
      </c>
      <c r="X1568">
        <v>7843014747</v>
      </c>
      <c r="Y1568">
        <v>781401001</v>
      </c>
      <c r="Z1568" s="3">
        <v>45995.259027777778</v>
      </c>
      <c r="AA1568" s="6">
        <v>2025</v>
      </c>
      <c r="AB1568" s="1">
        <v>46021</v>
      </c>
    </row>
    <row r="1569" spans="1:28" x14ac:dyDescent="0.3">
      <c r="A1569" t="s">
        <v>5226</v>
      </c>
      <c r="B1569" s="6" t="s">
        <v>491</v>
      </c>
      <c r="C1569" s="6" t="s">
        <v>492</v>
      </c>
      <c r="D1569">
        <v>2724041260</v>
      </c>
      <c r="E1569">
        <v>272101001</v>
      </c>
      <c r="F1569" t="s">
        <v>94</v>
      </c>
      <c r="G1569" t="s">
        <v>5227</v>
      </c>
      <c r="H1569" s="1">
        <v>45989</v>
      </c>
      <c r="J1569" s="8">
        <v>45994</v>
      </c>
      <c r="K1569" s="1" t="s">
        <v>4530</v>
      </c>
      <c r="L1569" t="s">
        <v>5227</v>
      </c>
      <c r="M1569" t="s">
        <v>4221</v>
      </c>
      <c r="N1569" s="12">
        <v>49400</v>
      </c>
      <c r="O1569" t="s">
        <v>5213</v>
      </c>
      <c r="P1569" s="6" t="s">
        <v>36</v>
      </c>
      <c r="R1569" t="s">
        <v>48</v>
      </c>
      <c r="S1569" s="9">
        <v>3800</v>
      </c>
      <c r="T1569" s="9">
        <v>13</v>
      </c>
      <c r="U1569" s="9">
        <v>49400</v>
      </c>
      <c r="V1569" s="6" t="s">
        <v>352</v>
      </c>
      <c r="W1569" t="s">
        <v>40</v>
      </c>
      <c r="X1569">
        <v>7843014747</v>
      </c>
      <c r="Y1569">
        <v>781401001</v>
      </c>
      <c r="Z1569" s="3">
        <v>45994.219444444447</v>
      </c>
      <c r="AA1569" s="6">
        <v>2025</v>
      </c>
      <c r="AB1569" s="1">
        <v>46021</v>
      </c>
    </row>
    <row r="1570" spans="1:28" x14ac:dyDescent="0.3">
      <c r="A1570" t="s">
        <v>5228</v>
      </c>
      <c r="B1570" s="6" t="s">
        <v>491</v>
      </c>
      <c r="C1570" s="6" t="s">
        <v>492</v>
      </c>
      <c r="D1570">
        <v>2724041260</v>
      </c>
      <c r="E1570">
        <v>272101001</v>
      </c>
      <c r="F1570" t="s">
        <v>94</v>
      </c>
      <c r="G1570" t="s">
        <v>5229</v>
      </c>
      <c r="H1570" s="1">
        <v>45989</v>
      </c>
      <c r="J1570" s="8">
        <v>45994</v>
      </c>
      <c r="K1570" s="1" t="s">
        <v>4530</v>
      </c>
      <c r="L1570" t="s">
        <v>5229</v>
      </c>
      <c r="M1570" t="s">
        <v>4221</v>
      </c>
      <c r="N1570" s="12">
        <v>49400</v>
      </c>
      <c r="O1570" t="s">
        <v>5213</v>
      </c>
      <c r="P1570" s="6" t="s">
        <v>36</v>
      </c>
      <c r="R1570" t="s">
        <v>48</v>
      </c>
      <c r="S1570" s="9">
        <v>3800</v>
      </c>
      <c r="T1570" s="9">
        <v>13</v>
      </c>
      <c r="U1570" s="9">
        <v>49400</v>
      </c>
      <c r="V1570" s="6" t="s">
        <v>352</v>
      </c>
      <c r="W1570" t="s">
        <v>40</v>
      </c>
      <c r="X1570">
        <v>7843014747</v>
      </c>
      <c r="Y1570">
        <v>781401001</v>
      </c>
      <c r="Z1570" s="3">
        <v>45994.214583333334</v>
      </c>
      <c r="AA1570" s="6">
        <v>2025</v>
      </c>
      <c r="AB1570" s="1">
        <v>46021</v>
      </c>
    </row>
    <row r="1571" spans="1:28" x14ac:dyDescent="0.3">
      <c r="A1571" t="s">
        <v>5230</v>
      </c>
      <c r="B1571" s="6" t="s">
        <v>782</v>
      </c>
      <c r="C1571" s="6" t="s">
        <v>388</v>
      </c>
      <c r="D1571">
        <v>6231025123</v>
      </c>
      <c r="E1571">
        <v>623401001</v>
      </c>
      <c r="F1571" t="s">
        <v>94</v>
      </c>
      <c r="G1571" t="s">
        <v>5231</v>
      </c>
      <c r="H1571" s="1">
        <v>45989</v>
      </c>
      <c r="J1571" s="8">
        <v>45994</v>
      </c>
      <c r="K1571" s="1" t="s">
        <v>4530</v>
      </c>
      <c r="L1571" t="s">
        <v>5232</v>
      </c>
      <c r="M1571" t="s">
        <v>787</v>
      </c>
      <c r="N1571" s="12">
        <v>1274388</v>
      </c>
      <c r="O1571" t="s">
        <v>3613</v>
      </c>
      <c r="P1571" s="6" t="s">
        <v>1814</v>
      </c>
      <c r="R1571" t="s">
        <v>48</v>
      </c>
      <c r="S1571" s="9">
        <v>6247</v>
      </c>
      <c r="T1571" s="9">
        <v>204</v>
      </c>
      <c r="U1571" s="9">
        <v>1274388</v>
      </c>
      <c r="V1571" s="6" t="s">
        <v>90</v>
      </c>
      <c r="W1571" t="s">
        <v>59</v>
      </c>
      <c r="X1571">
        <v>5259153331</v>
      </c>
      <c r="Y1571">
        <v>525901001</v>
      </c>
      <c r="Z1571" s="3">
        <v>45994.724305555559</v>
      </c>
      <c r="AA1571" s="6">
        <v>2025</v>
      </c>
      <c r="AB1571" s="1">
        <v>46021</v>
      </c>
    </row>
    <row r="1572" spans="1:28" x14ac:dyDescent="0.3">
      <c r="A1572" t="s">
        <v>5233</v>
      </c>
      <c r="B1572" s="6" t="s">
        <v>857</v>
      </c>
      <c r="C1572" s="6" t="s">
        <v>388</v>
      </c>
      <c r="D1572">
        <v>3808172327</v>
      </c>
      <c r="E1572">
        <v>380801001</v>
      </c>
      <c r="F1572" t="s">
        <v>149</v>
      </c>
      <c r="G1572" t="s">
        <v>5234</v>
      </c>
      <c r="H1572" s="1">
        <v>45992</v>
      </c>
      <c r="I1572" t="s">
        <v>5235</v>
      </c>
      <c r="J1572" s="8">
        <v>45995</v>
      </c>
      <c r="K1572" s="1" t="s">
        <v>4530</v>
      </c>
      <c r="L1572" t="s">
        <v>5236</v>
      </c>
      <c r="M1572" t="s">
        <v>377</v>
      </c>
      <c r="N1572" s="12">
        <v>1981350</v>
      </c>
      <c r="O1572" t="s">
        <v>3613</v>
      </c>
      <c r="P1572" s="6" t="s">
        <v>36</v>
      </c>
      <c r="R1572" t="s">
        <v>38</v>
      </c>
      <c r="S1572" s="9">
        <v>3150</v>
      </c>
      <c r="T1572" s="9">
        <v>629</v>
      </c>
      <c r="U1572" s="9">
        <v>1981350</v>
      </c>
      <c r="V1572" s="6" t="s">
        <v>862</v>
      </c>
      <c r="W1572" t="s">
        <v>863</v>
      </c>
      <c r="X1572">
        <v>3810040374</v>
      </c>
      <c r="Y1572">
        <v>381001001</v>
      </c>
      <c r="Z1572" s="3">
        <v>45995.199305555558</v>
      </c>
      <c r="AA1572" s="6">
        <v>2025</v>
      </c>
      <c r="AB1572" s="1">
        <v>46022</v>
      </c>
    </row>
    <row r="1573" spans="1:28" x14ac:dyDescent="0.3">
      <c r="A1573" t="s">
        <v>5237</v>
      </c>
      <c r="B1573" s="6" t="s">
        <v>491</v>
      </c>
      <c r="C1573" s="6" t="s">
        <v>492</v>
      </c>
      <c r="D1573">
        <v>2724041260</v>
      </c>
      <c r="E1573">
        <v>272101001</v>
      </c>
      <c r="F1573" t="s">
        <v>94</v>
      </c>
      <c r="G1573" t="s">
        <v>5238</v>
      </c>
      <c r="H1573" s="1">
        <v>45992</v>
      </c>
      <c r="J1573" s="8">
        <v>45995</v>
      </c>
      <c r="K1573" s="1" t="s">
        <v>4530</v>
      </c>
      <c r="L1573" t="s">
        <v>5238</v>
      </c>
      <c r="M1573" t="s">
        <v>4221</v>
      </c>
      <c r="N1573" s="12">
        <v>49400</v>
      </c>
      <c r="O1573" t="s">
        <v>5213</v>
      </c>
      <c r="P1573" s="6" t="s">
        <v>36</v>
      </c>
      <c r="R1573" t="s">
        <v>48</v>
      </c>
      <c r="S1573" s="9">
        <v>3800</v>
      </c>
      <c r="T1573" s="9">
        <v>13</v>
      </c>
      <c r="U1573" s="9">
        <v>49400</v>
      </c>
      <c r="V1573" s="6" t="s">
        <v>352</v>
      </c>
      <c r="W1573" t="s">
        <v>40</v>
      </c>
      <c r="X1573">
        <v>7843014747</v>
      </c>
      <c r="Y1573">
        <v>781401001</v>
      </c>
      <c r="Z1573" s="3">
        <v>45995.25277777778</v>
      </c>
      <c r="AA1573" s="6">
        <v>2025</v>
      </c>
      <c r="AB1573" s="1">
        <v>46021</v>
      </c>
    </row>
    <row r="1574" spans="1:28" x14ac:dyDescent="0.3">
      <c r="A1574" t="s">
        <v>5239</v>
      </c>
      <c r="B1574" s="6" t="s">
        <v>491</v>
      </c>
      <c r="C1574" s="6" t="s">
        <v>492</v>
      </c>
      <c r="D1574">
        <v>2724041260</v>
      </c>
      <c r="E1574">
        <v>272101001</v>
      </c>
      <c r="F1574" t="s">
        <v>94</v>
      </c>
      <c r="G1574" t="s">
        <v>5240</v>
      </c>
      <c r="H1574" s="1">
        <v>45992</v>
      </c>
      <c r="J1574" s="8">
        <v>45995</v>
      </c>
      <c r="K1574" s="1" t="s">
        <v>4530</v>
      </c>
      <c r="L1574" t="s">
        <v>5240</v>
      </c>
      <c r="M1574" t="s">
        <v>4221</v>
      </c>
      <c r="N1574" s="12">
        <v>49400</v>
      </c>
      <c r="O1574" t="s">
        <v>5213</v>
      </c>
      <c r="P1574" s="6" t="s">
        <v>36</v>
      </c>
      <c r="R1574" t="s">
        <v>48</v>
      </c>
      <c r="S1574" s="9">
        <v>3800</v>
      </c>
      <c r="T1574" s="9">
        <v>13</v>
      </c>
      <c r="U1574" s="9">
        <v>49400</v>
      </c>
      <c r="V1574" s="6" t="s">
        <v>352</v>
      </c>
      <c r="W1574" t="s">
        <v>40</v>
      </c>
      <c r="X1574">
        <v>7843014747</v>
      </c>
      <c r="Y1574">
        <v>781401001</v>
      </c>
      <c r="Z1574" s="3">
        <v>45995.220833333333</v>
      </c>
      <c r="AA1574" s="6">
        <v>2025</v>
      </c>
      <c r="AB1574" s="1">
        <v>46021</v>
      </c>
    </row>
    <row r="1575" spans="1:28" x14ac:dyDescent="0.3">
      <c r="A1575" t="s">
        <v>5241</v>
      </c>
      <c r="B1575" s="6" t="s">
        <v>491</v>
      </c>
      <c r="C1575" s="6" t="s">
        <v>492</v>
      </c>
      <c r="D1575">
        <v>2724041260</v>
      </c>
      <c r="E1575">
        <v>272101001</v>
      </c>
      <c r="F1575" t="s">
        <v>94</v>
      </c>
      <c r="G1575" t="s">
        <v>5242</v>
      </c>
      <c r="H1575" s="1">
        <v>45992</v>
      </c>
      <c r="J1575" s="8">
        <v>45995</v>
      </c>
      <c r="K1575" s="1" t="s">
        <v>4530</v>
      </c>
      <c r="L1575" t="s">
        <v>5242</v>
      </c>
      <c r="M1575" t="s">
        <v>4221</v>
      </c>
      <c r="N1575" s="12">
        <v>49400</v>
      </c>
      <c r="O1575" t="s">
        <v>5213</v>
      </c>
      <c r="P1575" s="6" t="s">
        <v>36</v>
      </c>
      <c r="R1575" t="s">
        <v>48</v>
      </c>
      <c r="S1575" s="9">
        <v>3800</v>
      </c>
      <c r="T1575" s="9">
        <v>13</v>
      </c>
      <c r="U1575" s="9">
        <v>49400</v>
      </c>
      <c r="V1575" s="6" t="s">
        <v>352</v>
      </c>
      <c r="W1575" t="s">
        <v>40</v>
      </c>
      <c r="X1575">
        <v>7843014747</v>
      </c>
      <c r="Y1575">
        <v>781401001</v>
      </c>
      <c r="Z1575" s="3">
        <v>45995.215277777781</v>
      </c>
      <c r="AA1575" s="6">
        <v>2025</v>
      </c>
      <c r="AB1575" s="1">
        <v>46021</v>
      </c>
    </row>
    <row r="1576" spans="1:28" x14ac:dyDescent="0.3">
      <c r="A1576" t="s">
        <v>5243</v>
      </c>
      <c r="B1576" s="6" t="s">
        <v>491</v>
      </c>
      <c r="C1576" s="6" t="s">
        <v>492</v>
      </c>
      <c r="D1576">
        <v>2724041260</v>
      </c>
      <c r="E1576">
        <v>272101001</v>
      </c>
      <c r="F1576" t="s">
        <v>94</v>
      </c>
      <c r="G1576" t="s">
        <v>5244</v>
      </c>
      <c r="H1576" s="1">
        <v>45993</v>
      </c>
      <c r="J1576" s="8">
        <v>45996</v>
      </c>
      <c r="K1576" s="1" t="s">
        <v>4530</v>
      </c>
      <c r="L1576" t="s">
        <v>5244</v>
      </c>
      <c r="M1576" t="s">
        <v>4221</v>
      </c>
      <c r="N1576" s="12">
        <v>49400</v>
      </c>
      <c r="O1576" t="s">
        <v>5213</v>
      </c>
      <c r="P1576" s="6" t="s">
        <v>36</v>
      </c>
      <c r="R1576" t="s">
        <v>48</v>
      </c>
      <c r="S1576" s="9">
        <v>3800</v>
      </c>
      <c r="T1576" s="9">
        <v>13</v>
      </c>
      <c r="U1576" s="9">
        <v>49400</v>
      </c>
      <c r="V1576" s="6" t="s">
        <v>352</v>
      </c>
      <c r="W1576" t="s">
        <v>40</v>
      </c>
      <c r="X1576">
        <v>7843014747</v>
      </c>
      <c r="Y1576">
        <v>781401001</v>
      </c>
      <c r="Z1576" s="3">
        <v>45996.306250000001</v>
      </c>
      <c r="AA1576" s="6">
        <v>2025</v>
      </c>
      <c r="AB1576" s="1">
        <v>46021</v>
      </c>
    </row>
    <row r="1577" spans="1:28" x14ac:dyDescent="0.3">
      <c r="A1577" t="s">
        <v>5245</v>
      </c>
      <c r="B1577" s="6" t="s">
        <v>491</v>
      </c>
      <c r="C1577" s="6" t="s">
        <v>492</v>
      </c>
      <c r="D1577">
        <v>2724041260</v>
      </c>
      <c r="E1577">
        <v>272101001</v>
      </c>
      <c r="F1577" t="s">
        <v>94</v>
      </c>
      <c r="G1577" t="s">
        <v>5246</v>
      </c>
      <c r="H1577" s="1">
        <v>45993</v>
      </c>
      <c r="J1577" s="8">
        <v>45996</v>
      </c>
      <c r="K1577" s="1" t="s">
        <v>4530</v>
      </c>
      <c r="L1577" t="s">
        <v>5246</v>
      </c>
      <c r="M1577" t="s">
        <v>4221</v>
      </c>
      <c r="N1577" s="12">
        <v>49400</v>
      </c>
      <c r="O1577" t="s">
        <v>5213</v>
      </c>
      <c r="P1577" s="6" t="s">
        <v>36</v>
      </c>
      <c r="R1577" t="s">
        <v>48</v>
      </c>
      <c r="S1577" s="9">
        <v>3800</v>
      </c>
      <c r="T1577" s="9">
        <v>13</v>
      </c>
      <c r="U1577" s="9">
        <v>49400</v>
      </c>
      <c r="V1577" s="6" t="s">
        <v>352</v>
      </c>
      <c r="W1577" t="s">
        <v>40</v>
      </c>
      <c r="X1577">
        <v>7843014747</v>
      </c>
      <c r="Y1577">
        <v>781401001</v>
      </c>
      <c r="Z1577" s="3">
        <v>45996.306250000001</v>
      </c>
      <c r="AA1577" s="6">
        <v>2025</v>
      </c>
      <c r="AB1577" s="1">
        <v>46021</v>
      </c>
    </row>
    <row r="1578" spans="1:28" x14ac:dyDescent="0.3">
      <c r="A1578" t="s">
        <v>5247</v>
      </c>
      <c r="B1578" s="6" t="s">
        <v>491</v>
      </c>
      <c r="C1578" s="6" t="s">
        <v>492</v>
      </c>
      <c r="D1578">
        <v>2724041260</v>
      </c>
      <c r="E1578">
        <v>272101001</v>
      </c>
      <c r="F1578" t="s">
        <v>94</v>
      </c>
      <c r="G1578" t="s">
        <v>5248</v>
      </c>
      <c r="H1578" s="1">
        <v>45993</v>
      </c>
      <c r="J1578" s="8">
        <v>45996</v>
      </c>
      <c r="K1578" s="1" t="s">
        <v>4530</v>
      </c>
      <c r="L1578" t="s">
        <v>5248</v>
      </c>
      <c r="M1578" t="s">
        <v>4221</v>
      </c>
      <c r="N1578" s="12">
        <v>49400</v>
      </c>
      <c r="O1578" t="s">
        <v>5213</v>
      </c>
      <c r="P1578" s="6" t="s">
        <v>36</v>
      </c>
      <c r="R1578" t="s">
        <v>48</v>
      </c>
      <c r="S1578" s="9">
        <v>3800</v>
      </c>
      <c r="T1578" s="9">
        <v>13</v>
      </c>
      <c r="U1578" s="9">
        <v>49400</v>
      </c>
      <c r="V1578" s="6" t="s">
        <v>352</v>
      </c>
      <c r="W1578" t="s">
        <v>40</v>
      </c>
      <c r="X1578">
        <v>7843014747</v>
      </c>
      <c r="Y1578">
        <v>781401001</v>
      </c>
      <c r="Z1578" s="3">
        <v>45996.268055555556</v>
      </c>
      <c r="AA1578" s="6">
        <v>2025</v>
      </c>
      <c r="AB1578" s="1">
        <v>46021</v>
      </c>
    </row>
    <row r="1579" spans="1:28" x14ac:dyDescent="0.3">
      <c r="A1579" t="s">
        <v>5249</v>
      </c>
      <c r="B1579" s="6" t="s">
        <v>491</v>
      </c>
      <c r="C1579" s="6" t="s">
        <v>492</v>
      </c>
      <c r="D1579">
        <v>2724041260</v>
      </c>
      <c r="E1579">
        <v>272101001</v>
      </c>
      <c r="F1579" t="s">
        <v>94</v>
      </c>
      <c r="G1579" t="s">
        <v>5250</v>
      </c>
      <c r="H1579" s="1">
        <v>45993</v>
      </c>
      <c r="J1579" s="8">
        <v>45996</v>
      </c>
      <c r="K1579" s="1" t="s">
        <v>4530</v>
      </c>
      <c r="L1579" t="s">
        <v>5250</v>
      </c>
      <c r="M1579" t="s">
        <v>4221</v>
      </c>
      <c r="N1579" s="12">
        <v>49400</v>
      </c>
      <c r="O1579" t="s">
        <v>5213</v>
      </c>
      <c r="P1579" s="6" t="s">
        <v>36</v>
      </c>
      <c r="R1579" t="s">
        <v>48</v>
      </c>
      <c r="S1579" s="9">
        <v>3800</v>
      </c>
      <c r="T1579" s="9">
        <v>13</v>
      </c>
      <c r="U1579" s="9">
        <v>49400</v>
      </c>
      <c r="V1579" s="6" t="s">
        <v>352</v>
      </c>
      <c r="W1579" t="s">
        <v>40</v>
      </c>
      <c r="X1579">
        <v>7843014747</v>
      </c>
      <c r="Y1579">
        <v>781401001</v>
      </c>
      <c r="Z1579" s="3">
        <v>45996.261805555558</v>
      </c>
      <c r="AA1579" s="6">
        <v>2025</v>
      </c>
      <c r="AB1579" s="1">
        <v>46021</v>
      </c>
    </row>
    <row r="1580" spans="1:28" x14ac:dyDescent="0.3">
      <c r="A1580" t="s">
        <v>5251</v>
      </c>
      <c r="B1580" s="6" t="s">
        <v>1022</v>
      </c>
      <c r="C1580" s="6" t="s">
        <v>1023</v>
      </c>
      <c r="D1580">
        <v>901024085</v>
      </c>
      <c r="E1580">
        <v>90101001</v>
      </c>
      <c r="F1580" t="s">
        <v>52</v>
      </c>
      <c r="G1580" t="s">
        <v>5252</v>
      </c>
      <c r="H1580" s="1">
        <v>45987</v>
      </c>
      <c r="I1580" t="s">
        <v>5253</v>
      </c>
      <c r="J1580" s="8">
        <v>45999</v>
      </c>
      <c r="K1580" s="1" t="s">
        <v>4530</v>
      </c>
      <c r="L1580" t="s">
        <v>5252</v>
      </c>
      <c r="M1580" t="s">
        <v>5254</v>
      </c>
      <c r="N1580" s="12">
        <v>8834622.4600000009</v>
      </c>
      <c r="O1580" t="s">
        <v>3633</v>
      </c>
      <c r="P1580" s="6" t="s">
        <v>36</v>
      </c>
      <c r="R1580" t="s">
        <v>38</v>
      </c>
      <c r="S1580" s="9">
        <v>3226.67</v>
      </c>
      <c r="T1580" s="9">
        <v>1369</v>
      </c>
      <c r="U1580" s="9">
        <v>4417311.2300000004</v>
      </c>
      <c r="V1580" s="6" t="s">
        <v>58</v>
      </c>
      <c r="W1580" t="s">
        <v>59</v>
      </c>
      <c r="X1580">
        <v>5262222144</v>
      </c>
      <c r="Y1580">
        <v>526001001</v>
      </c>
      <c r="Z1580" s="3">
        <v>45999.738194444442</v>
      </c>
      <c r="AA1580" s="6">
        <v>2026</v>
      </c>
      <c r="AB1580" s="1">
        <v>46203</v>
      </c>
    </row>
    <row r="1581" spans="1:28" x14ac:dyDescent="0.3">
      <c r="A1581" t="s">
        <v>5251</v>
      </c>
      <c r="B1581" s="6" t="s">
        <v>1022</v>
      </c>
      <c r="C1581" s="6" t="s">
        <v>1023</v>
      </c>
      <c r="D1581">
        <v>901024085</v>
      </c>
      <c r="E1581">
        <v>90101001</v>
      </c>
      <c r="F1581" t="s">
        <v>52</v>
      </c>
      <c r="G1581" t="s">
        <v>5252</v>
      </c>
      <c r="H1581" s="1">
        <v>45987</v>
      </c>
      <c r="I1581" t="s">
        <v>5253</v>
      </c>
      <c r="J1581" s="8">
        <v>45999</v>
      </c>
      <c r="K1581" s="1" t="s">
        <v>4530</v>
      </c>
      <c r="L1581" t="s">
        <v>5252</v>
      </c>
      <c r="M1581" t="s">
        <v>5254</v>
      </c>
      <c r="N1581" s="12">
        <v>8834622.4600000009</v>
      </c>
      <c r="O1581" t="s">
        <v>4036</v>
      </c>
      <c r="P1581" s="6" t="s">
        <v>2941</v>
      </c>
      <c r="R1581" t="s">
        <v>38</v>
      </c>
      <c r="S1581" s="9">
        <v>3226.67</v>
      </c>
      <c r="T1581" s="9">
        <v>1369</v>
      </c>
      <c r="U1581" s="9">
        <v>4417311.2300000004</v>
      </c>
      <c r="V1581" s="6" t="s">
        <v>58</v>
      </c>
      <c r="W1581" t="s">
        <v>59</v>
      </c>
      <c r="X1581">
        <v>5262222144</v>
      </c>
      <c r="Y1581">
        <v>526001001</v>
      </c>
      <c r="Z1581" s="3">
        <v>45999.738194444442</v>
      </c>
      <c r="AA1581" s="6">
        <v>2026</v>
      </c>
      <c r="AB1581" s="1">
        <v>46203</v>
      </c>
    </row>
    <row r="1582" spans="1:28" x14ac:dyDescent="0.3">
      <c r="A1582" t="s">
        <v>5255</v>
      </c>
      <c r="B1582" s="6" t="s">
        <v>220</v>
      </c>
      <c r="C1582" s="6" t="s">
        <v>221</v>
      </c>
      <c r="D1582">
        <v>5024068656</v>
      </c>
      <c r="E1582">
        <v>502401001</v>
      </c>
      <c r="F1582" t="s">
        <v>52</v>
      </c>
      <c r="G1582" t="s">
        <v>5256</v>
      </c>
      <c r="H1582" s="1">
        <v>45987</v>
      </c>
      <c r="J1582" s="8">
        <v>45999</v>
      </c>
      <c r="K1582" s="1" t="s">
        <v>4530</v>
      </c>
      <c r="L1582" t="s">
        <v>5256</v>
      </c>
      <c r="M1582" t="s">
        <v>5257</v>
      </c>
      <c r="N1582" s="12">
        <v>356248.2</v>
      </c>
      <c r="O1582" t="s">
        <v>3633</v>
      </c>
      <c r="P1582" s="6" t="s">
        <v>36</v>
      </c>
      <c r="R1582" t="s">
        <v>38</v>
      </c>
      <c r="S1582" s="9">
        <v>3392.84</v>
      </c>
      <c r="T1582" s="9">
        <v>105</v>
      </c>
      <c r="U1582" s="9">
        <v>356248.2</v>
      </c>
      <c r="V1582" s="6" t="s">
        <v>128</v>
      </c>
      <c r="W1582" t="s">
        <v>129</v>
      </c>
      <c r="X1582">
        <v>274110679</v>
      </c>
      <c r="Y1582">
        <v>500801001</v>
      </c>
      <c r="Z1582" s="3">
        <v>46000.643055555556</v>
      </c>
      <c r="AA1582" s="6">
        <v>2026</v>
      </c>
      <c r="AB1582" s="1">
        <v>46118</v>
      </c>
    </row>
    <row r="1583" spans="1:28" x14ac:dyDescent="0.3">
      <c r="A1583" t="s">
        <v>5258</v>
      </c>
      <c r="B1583" s="6" t="s">
        <v>862</v>
      </c>
      <c r="C1583" s="6" t="s">
        <v>388</v>
      </c>
      <c r="D1583">
        <v>3810040374</v>
      </c>
      <c r="E1583">
        <v>381001001</v>
      </c>
      <c r="F1583" t="s">
        <v>44</v>
      </c>
      <c r="I1583" t="s">
        <v>5259</v>
      </c>
      <c r="J1583" s="8">
        <v>46000</v>
      </c>
      <c r="K1583" s="1" t="s">
        <v>4530</v>
      </c>
      <c r="L1583" t="s">
        <v>5260</v>
      </c>
      <c r="M1583" s="1" t="s">
        <v>5261</v>
      </c>
      <c r="N1583" s="12">
        <v>1544424</v>
      </c>
      <c r="O1583" s="1" t="s">
        <v>5262</v>
      </c>
      <c r="P1583" s="6" t="s">
        <v>36</v>
      </c>
      <c r="R1583" s="1" t="s">
        <v>5263</v>
      </c>
      <c r="S1583" s="9">
        <v>2436</v>
      </c>
      <c r="T1583" s="9">
        <v>634</v>
      </c>
      <c r="U1583" s="9">
        <v>1544424</v>
      </c>
      <c r="Z1583" s="3"/>
      <c r="AA1583" s="6">
        <v>2025</v>
      </c>
      <c r="AB1583" s="1">
        <v>46021</v>
      </c>
    </row>
    <row r="1584" spans="1:28" x14ac:dyDescent="0.3">
      <c r="A1584" t="s">
        <v>5264</v>
      </c>
      <c r="B1584" s="6" t="s">
        <v>862</v>
      </c>
      <c r="C1584" s="6" t="s">
        <v>388</v>
      </c>
      <c r="D1584">
        <v>3810040374</v>
      </c>
      <c r="E1584">
        <v>381001001</v>
      </c>
      <c r="F1584" t="s">
        <v>44</v>
      </c>
      <c r="I1584" t="s">
        <v>5259</v>
      </c>
      <c r="J1584" s="8">
        <v>46001</v>
      </c>
      <c r="K1584" s="1" t="s">
        <v>4530</v>
      </c>
      <c r="L1584" t="s">
        <v>5265</v>
      </c>
      <c r="M1584" s="1" t="s">
        <v>5266</v>
      </c>
      <c r="N1584" s="12">
        <v>58590000</v>
      </c>
      <c r="O1584" s="1" t="s">
        <v>5267</v>
      </c>
      <c r="P1584" s="6" t="s">
        <v>2277</v>
      </c>
      <c r="Q1584" t="s">
        <v>37</v>
      </c>
      <c r="R1584" s="1" t="s">
        <v>5263</v>
      </c>
      <c r="S1584" s="9">
        <v>3100</v>
      </c>
      <c r="T1584" s="9">
        <v>9450</v>
      </c>
      <c r="U1584" s="9">
        <v>29295000</v>
      </c>
      <c r="Z1584" s="3"/>
      <c r="AA1584" s="6">
        <v>2026</v>
      </c>
      <c r="AB1584" s="1">
        <v>46386</v>
      </c>
    </row>
    <row r="1585" spans="1:28" x14ac:dyDescent="0.3">
      <c r="A1585" t="s">
        <v>5264</v>
      </c>
      <c r="B1585" s="6" t="s">
        <v>862</v>
      </c>
      <c r="C1585" s="6" t="s">
        <v>388</v>
      </c>
      <c r="D1585">
        <v>3810040374</v>
      </c>
      <c r="E1585">
        <v>381001001</v>
      </c>
      <c r="F1585" t="s">
        <v>44</v>
      </c>
      <c r="I1585" t="s">
        <v>5259</v>
      </c>
      <c r="J1585" s="8">
        <v>46001</v>
      </c>
      <c r="K1585" s="1" t="s">
        <v>4530</v>
      </c>
      <c r="L1585" t="s">
        <v>5265</v>
      </c>
      <c r="M1585" s="1" t="s">
        <v>5266</v>
      </c>
      <c r="N1585" s="12">
        <v>58590000</v>
      </c>
      <c r="O1585" s="1" t="s">
        <v>5267</v>
      </c>
      <c r="P1585" s="6" t="s">
        <v>891</v>
      </c>
      <c r="Q1585" t="s">
        <v>37</v>
      </c>
      <c r="R1585" s="1" t="s">
        <v>5263</v>
      </c>
      <c r="S1585" s="9">
        <v>3100</v>
      </c>
      <c r="T1585" s="9">
        <v>9450</v>
      </c>
      <c r="U1585" s="9">
        <v>29295000</v>
      </c>
      <c r="Z1585" s="3"/>
      <c r="AA1585" s="6">
        <v>2026</v>
      </c>
      <c r="AB1585" s="1">
        <v>46386</v>
      </c>
    </row>
    <row r="1586" spans="1:28" x14ac:dyDescent="0.3">
      <c r="A1586" t="s">
        <v>5268</v>
      </c>
      <c r="B1586" s="6" t="s">
        <v>220</v>
      </c>
      <c r="C1586" s="6" t="s">
        <v>221</v>
      </c>
      <c r="D1586">
        <v>5024068656</v>
      </c>
      <c r="E1586">
        <v>502401001</v>
      </c>
      <c r="F1586" t="s">
        <v>52</v>
      </c>
      <c r="G1586" t="s">
        <v>5269</v>
      </c>
      <c r="H1586" s="1">
        <v>45989</v>
      </c>
      <c r="J1586" s="8">
        <v>46001</v>
      </c>
      <c r="K1586" s="1" t="s">
        <v>4530</v>
      </c>
      <c r="L1586" t="s">
        <v>5269</v>
      </c>
      <c r="M1586" t="s">
        <v>5270</v>
      </c>
      <c r="N1586" s="12">
        <v>300639.84000000003</v>
      </c>
      <c r="O1586" t="s">
        <v>3643</v>
      </c>
      <c r="P1586" s="6" t="s">
        <v>1814</v>
      </c>
      <c r="R1586" t="s">
        <v>38</v>
      </c>
      <c r="S1586" s="9">
        <v>6263.33</v>
      </c>
      <c r="T1586" s="9">
        <v>48</v>
      </c>
      <c r="U1586" s="9">
        <v>300639.84000000003</v>
      </c>
      <c r="V1586" s="6" t="s">
        <v>545</v>
      </c>
      <c r="W1586" t="s">
        <v>40</v>
      </c>
      <c r="X1586">
        <v>7713655588</v>
      </c>
      <c r="Y1586">
        <v>773001001</v>
      </c>
      <c r="Z1586" s="3">
        <v>46001.592361111114</v>
      </c>
      <c r="AA1586" s="6">
        <v>2026</v>
      </c>
      <c r="AB1586" s="1">
        <v>46066</v>
      </c>
    </row>
    <row r="1587" spans="1:28" x14ac:dyDescent="0.3">
      <c r="A1587" s="4" t="s">
        <v>5271</v>
      </c>
      <c r="B1587" s="6" t="s">
        <v>245</v>
      </c>
      <c r="C1587" s="6" t="s">
        <v>246</v>
      </c>
      <c r="D1587">
        <v>7107006311</v>
      </c>
      <c r="E1587">
        <v>710701001</v>
      </c>
      <c r="F1587" t="s">
        <v>149</v>
      </c>
      <c r="G1587" t="s">
        <v>5272</v>
      </c>
      <c r="H1587" s="1">
        <v>45999</v>
      </c>
      <c r="J1587" s="8">
        <v>46002</v>
      </c>
      <c r="K1587" s="1" t="s">
        <v>4530</v>
      </c>
      <c r="L1587" t="s">
        <v>5273</v>
      </c>
      <c r="M1587" t="s">
        <v>377</v>
      </c>
      <c r="N1587" s="12">
        <v>936000</v>
      </c>
      <c r="O1587" t="s">
        <v>3613</v>
      </c>
      <c r="P1587" s="6" t="s">
        <v>1814</v>
      </c>
      <c r="R1587" t="s">
        <v>38</v>
      </c>
      <c r="S1587" s="9">
        <v>6500</v>
      </c>
      <c r="T1587" s="9">
        <v>144</v>
      </c>
      <c r="U1587" s="9">
        <v>936000</v>
      </c>
      <c r="V1587" s="6" t="s">
        <v>90</v>
      </c>
      <c r="W1587" t="s">
        <v>59</v>
      </c>
      <c r="X1587">
        <v>5259153331</v>
      </c>
      <c r="Y1587">
        <v>525901001</v>
      </c>
      <c r="Z1587" s="3">
        <v>46002.573611111111</v>
      </c>
      <c r="AA1587" s="6">
        <v>2025</v>
      </c>
      <c r="AB1587" s="1">
        <v>46021</v>
      </c>
    </row>
    <row r="1588" spans="1:28" x14ac:dyDescent="0.3">
      <c r="A1588" t="s">
        <v>5274</v>
      </c>
      <c r="B1588" s="6" t="s">
        <v>1022</v>
      </c>
      <c r="C1588" s="6" t="s">
        <v>1023</v>
      </c>
      <c r="D1588">
        <v>901024085</v>
      </c>
      <c r="E1588">
        <v>90101001</v>
      </c>
      <c r="F1588" t="s">
        <v>52</v>
      </c>
      <c r="G1588" t="s">
        <v>5275</v>
      </c>
      <c r="H1588" s="1">
        <v>45993</v>
      </c>
      <c r="J1588" s="8">
        <v>46006</v>
      </c>
      <c r="K1588" s="1" t="s">
        <v>4530</v>
      </c>
      <c r="L1588" t="s">
        <v>5275</v>
      </c>
      <c r="M1588" t="s">
        <v>5276</v>
      </c>
      <c r="N1588" s="12">
        <v>484005</v>
      </c>
      <c r="O1588" t="s">
        <v>5277</v>
      </c>
      <c r="P1588" s="6" t="s">
        <v>891</v>
      </c>
      <c r="Q1588" t="s">
        <v>37</v>
      </c>
      <c r="R1588" t="s">
        <v>38</v>
      </c>
      <c r="S1588" s="9">
        <v>3226.7</v>
      </c>
      <c r="T1588" s="9">
        <v>150</v>
      </c>
      <c r="U1588" s="9">
        <v>484005</v>
      </c>
      <c r="V1588" s="6" t="s">
        <v>58</v>
      </c>
      <c r="W1588" t="s">
        <v>59</v>
      </c>
      <c r="X1588">
        <v>5262222144</v>
      </c>
      <c r="Y1588">
        <v>526001001</v>
      </c>
      <c r="Z1588" s="3">
        <v>46006.752083333333</v>
      </c>
      <c r="AA1588" s="6">
        <v>2026</v>
      </c>
      <c r="AB1588" s="1">
        <v>46387</v>
      </c>
    </row>
    <row r="1589" spans="1:28" x14ac:dyDescent="0.3">
      <c r="A1589" t="s">
        <v>5278</v>
      </c>
      <c r="B1589" s="6" t="s">
        <v>220</v>
      </c>
      <c r="C1589" s="6" t="s">
        <v>221</v>
      </c>
      <c r="D1589">
        <v>5024068656</v>
      </c>
      <c r="E1589">
        <v>502401001</v>
      </c>
      <c r="F1589" t="s">
        <v>52</v>
      </c>
      <c r="G1589" t="s">
        <v>5279</v>
      </c>
      <c r="H1589" s="1">
        <v>45993</v>
      </c>
      <c r="J1589" s="8">
        <v>46006</v>
      </c>
      <c r="K1589" s="1" t="s">
        <v>4530</v>
      </c>
      <c r="L1589" t="s">
        <v>5279</v>
      </c>
      <c r="M1589" t="s">
        <v>5280</v>
      </c>
      <c r="N1589" s="12">
        <v>274820.03999999998</v>
      </c>
      <c r="O1589" t="s">
        <v>3633</v>
      </c>
      <c r="P1589" s="6" t="s">
        <v>36</v>
      </c>
      <c r="R1589" t="s">
        <v>38</v>
      </c>
      <c r="S1589" s="9">
        <v>3392.84</v>
      </c>
      <c r="T1589" s="9">
        <v>81</v>
      </c>
      <c r="U1589" s="9">
        <v>274820.03999999998</v>
      </c>
      <c r="V1589" s="6" t="s">
        <v>128</v>
      </c>
      <c r="W1589" t="s">
        <v>129</v>
      </c>
      <c r="X1589">
        <v>274110679</v>
      </c>
      <c r="Y1589">
        <v>500801001</v>
      </c>
      <c r="Z1589" s="3">
        <v>46006.677083333336</v>
      </c>
      <c r="AA1589" s="6">
        <v>2026</v>
      </c>
      <c r="AB1589" s="1">
        <v>46118</v>
      </c>
    </row>
    <row r="1590" spans="1:28" x14ac:dyDescent="0.3">
      <c r="A1590" t="s">
        <v>5281</v>
      </c>
      <c r="B1590" s="6" t="s">
        <v>220</v>
      </c>
      <c r="C1590" s="6" t="s">
        <v>221</v>
      </c>
      <c r="D1590">
        <v>5024068656</v>
      </c>
      <c r="E1590">
        <v>502401001</v>
      </c>
      <c r="F1590" t="s">
        <v>52</v>
      </c>
      <c r="G1590" t="s">
        <v>5282</v>
      </c>
      <c r="H1590" s="1">
        <v>45993</v>
      </c>
      <c r="J1590" s="8">
        <v>46006</v>
      </c>
      <c r="K1590" s="1" t="s">
        <v>4530</v>
      </c>
      <c r="L1590" t="s">
        <v>5282</v>
      </c>
      <c r="M1590" t="s">
        <v>5283</v>
      </c>
      <c r="N1590" s="12">
        <v>173034.84</v>
      </c>
      <c r="O1590" t="s">
        <v>3633</v>
      </c>
      <c r="P1590" s="6" t="s">
        <v>36</v>
      </c>
      <c r="R1590" t="s">
        <v>38</v>
      </c>
      <c r="S1590" s="9">
        <v>3392.84</v>
      </c>
      <c r="T1590" s="9">
        <v>51</v>
      </c>
      <c r="U1590" s="9">
        <v>173034.84</v>
      </c>
      <c r="V1590" s="6" t="s">
        <v>128</v>
      </c>
      <c r="W1590" t="s">
        <v>129</v>
      </c>
      <c r="X1590">
        <v>274110679</v>
      </c>
      <c r="Y1590">
        <v>500801001</v>
      </c>
      <c r="Z1590" s="3">
        <v>46006.67083333333</v>
      </c>
      <c r="AA1590" s="6">
        <v>2026</v>
      </c>
      <c r="AB1590" s="1">
        <v>46071</v>
      </c>
    </row>
    <row r="1591" spans="1:28" x14ac:dyDescent="0.3">
      <c r="A1591" t="s">
        <v>5284</v>
      </c>
      <c r="B1591" s="6" t="s">
        <v>163</v>
      </c>
      <c r="C1591" s="6" t="s">
        <v>164</v>
      </c>
      <c r="D1591">
        <v>7705004254</v>
      </c>
      <c r="E1591">
        <v>770501001</v>
      </c>
      <c r="F1591" t="s">
        <v>52</v>
      </c>
      <c r="G1591" t="s">
        <v>5285</v>
      </c>
      <c r="H1591" s="1">
        <v>45995</v>
      </c>
      <c r="J1591" s="8">
        <v>46006</v>
      </c>
      <c r="K1591" s="1" t="s">
        <v>4530</v>
      </c>
      <c r="L1591" t="s">
        <v>5286</v>
      </c>
      <c r="M1591" t="s">
        <v>5287</v>
      </c>
      <c r="N1591" s="12">
        <v>901677.6</v>
      </c>
      <c r="O1591" t="s">
        <v>5288</v>
      </c>
      <c r="P1591" s="6" t="s">
        <v>36</v>
      </c>
      <c r="R1591" t="s">
        <v>38</v>
      </c>
      <c r="S1591" s="9">
        <v>3756.99</v>
      </c>
      <c r="T1591" s="9">
        <v>240</v>
      </c>
      <c r="U1591" s="9">
        <v>901677.6</v>
      </c>
      <c r="V1591" s="6" t="s">
        <v>111</v>
      </c>
      <c r="W1591" t="s">
        <v>59</v>
      </c>
      <c r="X1591">
        <v>5262258091</v>
      </c>
      <c r="Y1591">
        <v>526001001</v>
      </c>
      <c r="Z1591" s="3">
        <v>46006.504166666666</v>
      </c>
      <c r="AA1591" s="6">
        <v>2026</v>
      </c>
      <c r="AB1591" s="1">
        <v>46356</v>
      </c>
    </row>
    <row r="1592" spans="1:28" x14ac:dyDescent="0.3">
      <c r="A1592" t="s">
        <v>5289</v>
      </c>
      <c r="B1592" s="6" t="s">
        <v>157</v>
      </c>
      <c r="C1592" s="6" t="s">
        <v>105</v>
      </c>
      <c r="D1592">
        <v>6612049211</v>
      </c>
      <c r="E1592">
        <v>661201001</v>
      </c>
      <c r="F1592" t="s">
        <v>149</v>
      </c>
      <c r="G1592" t="s">
        <v>5290</v>
      </c>
      <c r="H1592" s="1">
        <v>46001</v>
      </c>
      <c r="J1592" s="8">
        <v>46006</v>
      </c>
      <c r="K1592" s="1" t="s">
        <v>4530</v>
      </c>
      <c r="L1592" t="s">
        <v>5290</v>
      </c>
      <c r="M1592" t="s">
        <v>377</v>
      </c>
      <c r="N1592" s="12">
        <v>380000</v>
      </c>
      <c r="O1592" t="s">
        <v>3613</v>
      </c>
      <c r="P1592" s="6" t="s">
        <v>36</v>
      </c>
      <c r="R1592" t="s">
        <v>38</v>
      </c>
      <c r="S1592" s="9">
        <v>3800</v>
      </c>
      <c r="T1592" s="9">
        <v>100</v>
      </c>
      <c r="U1592" s="9">
        <v>380000</v>
      </c>
      <c r="V1592" s="6" t="s">
        <v>58</v>
      </c>
      <c r="W1592" t="s">
        <v>59</v>
      </c>
      <c r="X1592">
        <v>5262222144</v>
      </c>
      <c r="Y1592">
        <v>526001001</v>
      </c>
      <c r="Z1592" s="3">
        <v>46007.270833333336</v>
      </c>
      <c r="AA1592" s="6">
        <v>2026</v>
      </c>
      <c r="AB1592" s="1">
        <v>46752</v>
      </c>
    </row>
    <row r="1593" spans="1:28" x14ac:dyDescent="0.3">
      <c r="A1593" t="s">
        <v>5291</v>
      </c>
      <c r="B1593" s="6" t="s">
        <v>491</v>
      </c>
      <c r="C1593" s="6" t="s">
        <v>492</v>
      </c>
      <c r="D1593">
        <v>2724041260</v>
      </c>
      <c r="E1593">
        <v>272101001</v>
      </c>
      <c r="F1593" t="s">
        <v>94</v>
      </c>
      <c r="G1593" t="s">
        <v>5292</v>
      </c>
      <c r="H1593" s="1">
        <v>46001</v>
      </c>
      <c r="J1593" s="8">
        <v>46006</v>
      </c>
      <c r="K1593" s="1" t="s">
        <v>4530</v>
      </c>
      <c r="L1593" t="s">
        <v>5293</v>
      </c>
      <c r="M1593" t="s">
        <v>4221</v>
      </c>
      <c r="N1593" s="12">
        <v>49400</v>
      </c>
      <c r="O1593" t="s">
        <v>5213</v>
      </c>
      <c r="P1593" s="6" t="s">
        <v>36</v>
      </c>
      <c r="R1593" t="s">
        <v>48</v>
      </c>
      <c r="S1593" s="9">
        <v>3800</v>
      </c>
      <c r="T1593" s="9">
        <v>13</v>
      </c>
      <c r="U1593" s="9">
        <v>49400</v>
      </c>
      <c r="V1593" s="6" t="s">
        <v>352</v>
      </c>
      <c r="W1593" t="s">
        <v>40</v>
      </c>
      <c r="X1593">
        <v>7843014747</v>
      </c>
      <c r="Y1593">
        <v>781401001</v>
      </c>
      <c r="Z1593" s="3">
        <v>46006.326388888891</v>
      </c>
      <c r="AA1593" s="6">
        <v>2025</v>
      </c>
      <c r="AB1593" s="1">
        <v>46021</v>
      </c>
    </row>
    <row r="1594" spans="1:28" x14ac:dyDescent="0.3">
      <c r="A1594" t="s">
        <v>5294</v>
      </c>
      <c r="B1594" s="6" t="s">
        <v>491</v>
      </c>
      <c r="C1594" s="6" t="s">
        <v>492</v>
      </c>
      <c r="D1594">
        <v>2724041260</v>
      </c>
      <c r="E1594">
        <v>272101001</v>
      </c>
      <c r="F1594" t="s">
        <v>94</v>
      </c>
      <c r="G1594" t="s">
        <v>5295</v>
      </c>
      <c r="H1594" s="1">
        <v>46001</v>
      </c>
      <c r="J1594" s="8">
        <v>46006</v>
      </c>
      <c r="K1594" s="1" t="s">
        <v>4530</v>
      </c>
      <c r="L1594" t="s">
        <v>5295</v>
      </c>
      <c r="M1594" t="s">
        <v>4221</v>
      </c>
      <c r="N1594" s="12">
        <v>49400</v>
      </c>
      <c r="O1594" t="s">
        <v>5213</v>
      </c>
      <c r="P1594" s="6" t="s">
        <v>36</v>
      </c>
      <c r="R1594" t="s">
        <v>48</v>
      </c>
      <c r="S1594" s="9">
        <v>3800</v>
      </c>
      <c r="T1594" s="9">
        <v>13</v>
      </c>
      <c r="U1594" s="9">
        <v>49400</v>
      </c>
      <c r="V1594" s="6" t="s">
        <v>352</v>
      </c>
      <c r="W1594" t="s">
        <v>40</v>
      </c>
      <c r="X1594">
        <v>7843014747</v>
      </c>
      <c r="Y1594">
        <v>781401001</v>
      </c>
      <c r="Z1594" s="3">
        <v>46006.3125</v>
      </c>
      <c r="AA1594" s="6">
        <v>2025</v>
      </c>
      <c r="AB1594" s="1">
        <v>46021</v>
      </c>
    </row>
    <row r="1595" spans="1:28" x14ac:dyDescent="0.3">
      <c r="A1595" t="s">
        <v>5296</v>
      </c>
      <c r="B1595" s="6" t="s">
        <v>418</v>
      </c>
      <c r="C1595" s="6" t="s">
        <v>148</v>
      </c>
      <c r="D1595">
        <v>274157821</v>
      </c>
      <c r="E1595">
        <v>27401001</v>
      </c>
      <c r="F1595" t="s">
        <v>149</v>
      </c>
      <c r="G1595" t="s">
        <v>5297</v>
      </c>
      <c r="H1595" s="1">
        <v>46002</v>
      </c>
      <c r="J1595" s="8">
        <v>46007</v>
      </c>
      <c r="K1595" s="1" t="s">
        <v>4530</v>
      </c>
      <c r="L1595" t="s">
        <v>5297</v>
      </c>
      <c r="M1595" t="s">
        <v>377</v>
      </c>
      <c r="N1595" s="12">
        <v>1901279.38</v>
      </c>
      <c r="O1595" t="s">
        <v>5298</v>
      </c>
      <c r="P1595" s="6" t="s">
        <v>36</v>
      </c>
      <c r="R1595" t="s">
        <v>38</v>
      </c>
      <c r="S1595" s="9">
        <v>2984.74</v>
      </c>
      <c r="T1595" s="9">
        <v>637</v>
      </c>
      <c r="U1595" s="9">
        <v>1901279.38</v>
      </c>
      <c r="V1595" s="6" t="s">
        <v>128</v>
      </c>
      <c r="W1595" t="s">
        <v>129</v>
      </c>
      <c r="X1595">
        <v>274110679</v>
      </c>
      <c r="Y1595">
        <v>500801001</v>
      </c>
      <c r="Z1595" s="3">
        <v>46008.540972222225</v>
      </c>
      <c r="AA1595" s="6">
        <v>2025</v>
      </c>
      <c r="AB1595" s="1">
        <v>46022</v>
      </c>
    </row>
    <row r="1596" spans="1:28" x14ac:dyDescent="0.3">
      <c r="A1596" t="s">
        <v>5299</v>
      </c>
      <c r="B1596" s="6" t="s">
        <v>220</v>
      </c>
      <c r="C1596" s="6" t="s">
        <v>221</v>
      </c>
      <c r="D1596">
        <v>5024068656</v>
      </c>
      <c r="E1596">
        <v>502401001</v>
      </c>
      <c r="F1596" t="s">
        <v>52</v>
      </c>
      <c r="G1596" t="s">
        <v>5300</v>
      </c>
      <c r="H1596" s="1">
        <v>45996</v>
      </c>
      <c r="J1596" s="8">
        <v>46007</v>
      </c>
      <c r="K1596" s="1" t="s">
        <v>4530</v>
      </c>
      <c r="L1596" t="s">
        <v>5300</v>
      </c>
      <c r="M1596" t="s">
        <v>5301</v>
      </c>
      <c r="N1596" s="12">
        <v>91606.68</v>
      </c>
      <c r="O1596" t="s">
        <v>3633</v>
      </c>
      <c r="P1596" s="6" t="s">
        <v>36</v>
      </c>
      <c r="R1596" t="s">
        <v>38</v>
      </c>
      <c r="S1596" s="9">
        <v>3392.84</v>
      </c>
      <c r="T1596" s="9">
        <v>27</v>
      </c>
      <c r="U1596" s="9">
        <v>91606.68</v>
      </c>
      <c r="V1596" s="6" t="s">
        <v>128</v>
      </c>
      <c r="W1596" t="s">
        <v>129</v>
      </c>
      <c r="X1596">
        <v>274110679</v>
      </c>
      <c r="Y1596">
        <v>500801001</v>
      </c>
      <c r="Z1596" s="3">
        <v>46007.782638888886</v>
      </c>
      <c r="AA1596" s="6">
        <v>2026</v>
      </c>
      <c r="AB1596" s="1">
        <v>46118</v>
      </c>
    </row>
    <row r="1597" spans="1:28" x14ac:dyDescent="0.3">
      <c r="A1597" t="s">
        <v>5302</v>
      </c>
      <c r="B1597" s="6" t="s">
        <v>245</v>
      </c>
      <c r="C1597" s="6" t="s">
        <v>246</v>
      </c>
      <c r="D1597">
        <v>7107006311</v>
      </c>
      <c r="E1597">
        <v>710701001</v>
      </c>
      <c r="F1597" t="s">
        <v>94</v>
      </c>
      <c r="G1597" t="s">
        <v>5303</v>
      </c>
      <c r="H1597" s="1">
        <v>46003</v>
      </c>
      <c r="J1597" s="8">
        <v>46008</v>
      </c>
      <c r="K1597" s="1" t="s">
        <v>4530</v>
      </c>
      <c r="L1597" t="s">
        <v>5304</v>
      </c>
      <c r="M1597" t="s">
        <v>5305</v>
      </c>
      <c r="N1597" s="12">
        <v>1131000</v>
      </c>
      <c r="O1597" t="s">
        <v>3613</v>
      </c>
      <c r="P1597" s="6" t="s">
        <v>891</v>
      </c>
      <c r="Q1597" t="s">
        <v>37</v>
      </c>
      <c r="R1597" t="s">
        <v>38</v>
      </c>
      <c r="S1597" s="9">
        <v>2900</v>
      </c>
      <c r="T1597" s="9">
        <v>390</v>
      </c>
      <c r="U1597" s="9">
        <v>1131000</v>
      </c>
      <c r="V1597" s="6" t="s">
        <v>251</v>
      </c>
      <c r="W1597" t="s">
        <v>252</v>
      </c>
      <c r="X1597">
        <v>5027262517</v>
      </c>
      <c r="Y1597">
        <v>502701001</v>
      </c>
      <c r="Z1597" s="3">
        <v>46008.59097222222</v>
      </c>
      <c r="AA1597" s="6">
        <v>2026</v>
      </c>
      <c r="AB1597" s="1">
        <v>46386</v>
      </c>
    </row>
    <row r="1598" spans="1:28" x14ac:dyDescent="0.3">
      <c r="A1598" t="s">
        <v>5306</v>
      </c>
      <c r="B1598" s="6" t="s">
        <v>361</v>
      </c>
      <c r="C1598" s="6" t="s">
        <v>164</v>
      </c>
      <c r="D1598">
        <v>7714338609</v>
      </c>
      <c r="E1598">
        <v>771401001</v>
      </c>
      <c r="F1598" t="s">
        <v>94</v>
      </c>
      <c r="G1598" t="s">
        <v>5307</v>
      </c>
      <c r="H1598" s="1">
        <v>46003</v>
      </c>
      <c r="J1598" s="8">
        <v>46008</v>
      </c>
      <c r="K1598" s="1" t="s">
        <v>4530</v>
      </c>
      <c r="L1598" t="s">
        <v>5308</v>
      </c>
      <c r="M1598" t="s">
        <v>5309</v>
      </c>
      <c r="N1598" s="12">
        <v>834000</v>
      </c>
      <c r="O1598" t="s">
        <v>3643</v>
      </c>
      <c r="P1598" s="6" t="s">
        <v>1814</v>
      </c>
      <c r="R1598" t="s">
        <v>38</v>
      </c>
      <c r="S1598" s="9">
        <v>6000</v>
      </c>
      <c r="T1598" s="9">
        <v>139</v>
      </c>
      <c r="U1598" s="9">
        <v>834000</v>
      </c>
      <c r="V1598" s="6" t="s">
        <v>4628</v>
      </c>
      <c r="W1598" t="s">
        <v>1816</v>
      </c>
      <c r="X1598">
        <v>7728732370</v>
      </c>
      <c r="Y1598">
        <v>772801001</v>
      </c>
      <c r="Z1598" s="3">
        <v>46010.363194444442</v>
      </c>
      <c r="AA1598" s="6">
        <v>2026</v>
      </c>
      <c r="AB1598" s="1">
        <v>46071</v>
      </c>
    </row>
    <row r="1599" spans="1:28" x14ac:dyDescent="0.3">
      <c r="A1599" t="s">
        <v>5310</v>
      </c>
      <c r="B1599" s="6" t="s">
        <v>5311</v>
      </c>
      <c r="C1599" s="6" t="s">
        <v>122</v>
      </c>
      <c r="D1599">
        <v>5408100138</v>
      </c>
      <c r="E1599">
        <v>540843001</v>
      </c>
      <c r="F1599" t="s">
        <v>149</v>
      </c>
      <c r="G1599" t="s">
        <v>5312</v>
      </c>
      <c r="H1599" s="1">
        <v>46007</v>
      </c>
      <c r="I1599" t="s">
        <v>5313</v>
      </c>
      <c r="J1599" s="8">
        <v>46010</v>
      </c>
      <c r="K1599" s="1" t="s">
        <v>4530</v>
      </c>
      <c r="L1599" t="s">
        <v>5312</v>
      </c>
      <c r="M1599" t="s">
        <v>377</v>
      </c>
      <c r="N1599" s="12">
        <v>1820000</v>
      </c>
      <c r="O1599" t="s">
        <v>3613</v>
      </c>
      <c r="P1599" s="6" t="s">
        <v>36</v>
      </c>
      <c r="R1599" t="s">
        <v>38</v>
      </c>
      <c r="S1599" s="9">
        <v>5200</v>
      </c>
      <c r="T1599" s="9">
        <v>350</v>
      </c>
      <c r="U1599" s="9">
        <v>1820000</v>
      </c>
      <c r="V1599" s="6" t="s">
        <v>750</v>
      </c>
      <c r="W1599" t="s">
        <v>59</v>
      </c>
      <c r="X1599">
        <v>540123954976</v>
      </c>
      <c r="Z1599" s="3">
        <v>46010.286805555559</v>
      </c>
      <c r="AA1599" s="6">
        <v>2026</v>
      </c>
      <c r="AB1599" s="1">
        <v>46387</v>
      </c>
    </row>
    <row r="1600" spans="1:28" x14ac:dyDescent="0.3">
      <c r="A1600" t="s">
        <v>5310</v>
      </c>
      <c r="B1600" s="6" t="s">
        <v>5311</v>
      </c>
      <c r="C1600" s="6" t="s">
        <v>122</v>
      </c>
      <c r="D1600">
        <v>5408100138</v>
      </c>
      <c r="E1600">
        <v>540843001</v>
      </c>
      <c r="F1600" t="s">
        <v>149</v>
      </c>
      <c r="G1600" t="s">
        <v>5312</v>
      </c>
      <c r="H1600" s="1">
        <v>46007</v>
      </c>
      <c r="I1600" t="s">
        <v>5313</v>
      </c>
      <c r="J1600" s="8">
        <v>46010</v>
      </c>
      <c r="K1600" s="1" t="s">
        <v>4530</v>
      </c>
      <c r="L1600" t="s">
        <v>5312</v>
      </c>
      <c r="M1600" t="s">
        <v>377</v>
      </c>
      <c r="N1600" s="12">
        <v>1820000</v>
      </c>
      <c r="O1600" t="s">
        <v>3613</v>
      </c>
      <c r="P1600" s="6" t="s">
        <v>36</v>
      </c>
      <c r="R1600" t="s">
        <v>38</v>
      </c>
      <c r="S1600" s="9">
        <v>5200</v>
      </c>
      <c r="T1600" s="9">
        <v>350</v>
      </c>
      <c r="U1600" s="9">
        <v>1820000</v>
      </c>
      <c r="V1600" s="6" t="s">
        <v>750</v>
      </c>
      <c r="W1600" t="s">
        <v>59</v>
      </c>
      <c r="X1600">
        <v>540123954976</v>
      </c>
      <c r="Z1600" s="3">
        <v>46015.26666666667</v>
      </c>
      <c r="AA1600" s="6">
        <v>2026</v>
      </c>
      <c r="AB1600" s="1">
        <v>46387</v>
      </c>
    </row>
    <row r="1601" spans="1:28" x14ac:dyDescent="0.3">
      <c r="A1601" t="s">
        <v>5314</v>
      </c>
      <c r="B1601" s="6" t="s">
        <v>501</v>
      </c>
      <c r="C1601" s="6" t="s">
        <v>502</v>
      </c>
      <c r="D1601">
        <v>6318197367</v>
      </c>
      <c r="E1601">
        <v>631801001</v>
      </c>
      <c r="F1601" t="s">
        <v>52</v>
      </c>
      <c r="G1601" t="s">
        <v>5315</v>
      </c>
      <c r="H1601" s="1">
        <v>46002</v>
      </c>
      <c r="I1601" t="s">
        <v>5316</v>
      </c>
      <c r="J1601" s="8">
        <v>46013</v>
      </c>
      <c r="K1601" s="1" t="s">
        <v>4530</v>
      </c>
      <c r="L1601" t="s">
        <v>5317</v>
      </c>
      <c r="M1601" t="s">
        <v>5318</v>
      </c>
      <c r="N1601" s="12">
        <v>1380000</v>
      </c>
      <c r="O1601" t="s">
        <v>5072</v>
      </c>
      <c r="P1601" s="6" t="s">
        <v>1814</v>
      </c>
      <c r="R1601" t="s">
        <v>38</v>
      </c>
      <c r="S1601" s="9">
        <v>6000</v>
      </c>
      <c r="T1601" s="9">
        <v>230</v>
      </c>
      <c r="U1601" s="9">
        <v>1380000</v>
      </c>
      <c r="V1601" s="6" t="s">
        <v>90</v>
      </c>
      <c r="W1601" t="s">
        <v>59</v>
      </c>
      <c r="X1601">
        <v>5259153331</v>
      </c>
      <c r="Y1601">
        <v>525901001</v>
      </c>
      <c r="Z1601" s="3">
        <v>46014.519444444442</v>
      </c>
      <c r="AA1601" s="6">
        <v>2026</v>
      </c>
      <c r="AB1601" s="1">
        <v>46387</v>
      </c>
    </row>
    <row r="1602" spans="1:28" x14ac:dyDescent="0.3">
      <c r="A1602" t="s">
        <v>5319</v>
      </c>
      <c r="B1602" s="6" t="s">
        <v>1424</v>
      </c>
      <c r="C1602" s="6" t="s">
        <v>132</v>
      </c>
      <c r="D1602">
        <v>6027024000</v>
      </c>
      <c r="E1602">
        <v>602701001</v>
      </c>
      <c r="F1602" t="s">
        <v>149</v>
      </c>
      <c r="G1602" t="s">
        <v>5320</v>
      </c>
      <c r="H1602" s="1">
        <v>46008</v>
      </c>
      <c r="J1602" s="8">
        <v>46013</v>
      </c>
      <c r="K1602" s="1" t="s">
        <v>4530</v>
      </c>
      <c r="L1602" t="s">
        <v>5321</v>
      </c>
      <c r="M1602" t="s">
        <v>377</v>
      </c>
      <c r="N1602" s="12">
        <v>1379000</v>
      </c>
      <c r="O1602" t="s">
        <v>3633</v>
      </c>
      <c r="P1602" s="6" t="s">
        <v>36</v>
      </c>
      <c r="R1602" t="s">
        <v>38</v>
      </c>
      <c r="S1602" s="9">
        <v>3500</v>
      </c>
      <c r="T1602" s="9">
        <v>394</v>
      </c>
      <c r="U1602" s="9">
        <v>1379000</v>
      </c>
      <c r="V1602" s="6" t="s">
        <v>39</v>
      </c>
      <c r="W1602" t="s">
        <v>40</v>
      </c>
      <c r="X1602">
        <v>7810687137</v>
      </c>
      <c r="Y1602">
        <v>781401001</v>
      </c>
      <c r="Z1602" s="3">
        <v>46014.390972222223</v>
      </c>
      <c r="AA1602" s="6">
        <v>2026</v>
      </c>
      <c r="AB1602" s="1">
        <v>46070</v>
      </c>
    </row>
    <row r="1603" spans="1:28" x14ac:dyDescent="0.3">
      <c r="A1603" t="s">
        <v>5322</v>
      </c>
      <c r="B1603" s="6" t="s">
        <v>245</v>
      </c>
      <c r="C1603" s="6" t="s">
        <v>246</v>
      </c>
      <c r="D1603">
        <v>7107006311</v>
      </c>
      <c r="E1603">
        <v>710701001</v>
      </c>
      <c r="F1603" t="s">
        <v>94</v>
      </c>
      <c r="G1603" t="s">
        <v>5323</v>
      </c>
      <c r="H1603" s="1">
        <v>46008</v>
      </c>
      <c r="J1603" s="8">
        <v>46013</v>
      </c>
      <c r="K1603" s="1" t="s">
        <v>4530</v>
      </c>
      <c r="L1603" t="s">
        <v>5324</v>
      </c>
      <c r="M1603" t="s">
        <v>5305</v>
      </c>
      <c r="N1603" s="12">
        <v>2842000</v>
      </c>
      <c r="O1603" t="s">
        <v>3613</v>
      </c>
      <c r="P1603" s="6" t="s">
        <v>891</v>
      </c>
      <c r="Q1603" t="s">
        <v>37</v>
      </c>
      <c r="R1603" t="s">
        <v>38</v>
      </c>
      <c r="S1603" s="9">
        <v>2842</v>
      </c>
      <c r="T1603" s="9">
        <v>1000</v>
      </c>
      <c r="U1603" s="9">
        <v>2842000</v>
      </c>
      <c r="V1603" s="6" t="s">
        <v>251</v>
      </c>
      <c r="W1603" t="s">
        <v>252</v>
      </c>
      <c r="X1603">
        <v>5027262517</v>
      </c>
      <c r="Y1603">
        <v>502701001</v>
      </c>
      <c r="Z1603" s="3">
        <v>46013.570833333331</v>
      </c>
      <c r="AA1603" s="6">
        <v>2026</v>
      </c>
      <c r="AB1603" s="1">
        <v>46386</v>
      </c>
    </row>
    <row r="1604" spans="1:28" x14ac:dyDescent="0.3">
      <c r="A1604" t="s">
        <v>5325</v>
      </c>
      <c r="B1604" s="6" t="s">
        <v>2748</v>
      </c>
      <c r="C1604" s="6" t="s">
        <v>114</v>
      </c>
      <c r="D1604">
        <v>8603112809</v>
      </c>
      <c r="E1604">
        <v>860301001</v>
      </c>
      <c r="F1604" t="s">
        <v>52</v>
      </c>
      <c r="G1604" t="s">
        <v>5326</v>
      </c>
      <c r="H1604" s="1">
        <v>46002</v>
      </c>
      <c r="J1604" s="8">
        <v>46013</v>
      </c>
      <c r="K1604" s="1" t="s">
        <v>4530</v>
      </c>
      <c r="L1604" t="s">
        <v>5327</v>
      </c>
      <c r="M1604" t="s">
        <v>409</v>
      </c>
      <c r="N1604" s="12">
        <v>365333.6</v>
      </c>
      <c r="O1604" t="s">
        <v>5328</v>
      </c>
      <c r="P1604" s="6" t="s">
        <v>36</v>
      </c>
      <c r="R1604" t="s">
        <v>66</v>
      </c>
      <c r="S1604" s="9">
        <v>4566.67</v>
      </c>
      <c r="T1604" s="9">
        <v>80</v>
      </c>
      <c r="U1604" s="9">
        <v>365333.6</v>
      </c>
      <c r="V1604" s="6" t="s">
        <v>723</v>
      </c>
      <c r="W1604" t="s">
        <v>402</v>
      </c>
      <c r="X1604">
        <v>890507752198</v>
      </c>
      <c r="Z1604" s="3">
        <v>46013.413888888892</v>
      </c>
      <c r="AA1604" s="6">
        <v>2026</v>
      </c>
      <c r="AB1604" s="1">
        <v>46387</v>
      </c>
    </row>
    <row r="1605" spans="1:28" x14ac:dyDescent="0.3">
      <c r="A1605" s="4" t="s">
        <v>5329</v>
      </c>
      <c r="B1605" s="6" t="s">
        <v>1022</v>
      </c>
      <c r="C1605" s="6" t="s">
        <v>1023</v>
      </c>
      <c r="D1605">
        <v>901024085</v>
      </c>
      <c r="E1605">
        <v>90101001</v>
      </c>
      <c r="F1605" t="s">
        <v>52</v>
      </c>
      <c r="G1605" t="s">
        <v>5330</v>
      </c>
      <c r="H1605" s="1">
        <v>45993</v>
      </c>
      <c r="I1605" t="s">
        <v>5331</v>
      </c>
      <c r="J1605" s="8">
        <v>46014</v>
      </c>
      <c r="K1605" s="1" t="s">
        <v>4530</v>
      </c>
      <c r="L1605" t="s">
        <v>5330</v>
      </c>
      <c r="M1605" t="s">
        <v>5332</v>
      </c>
      <c r="N1605" s="12">
        <v>26749343</v>
      </c>
      <c r="O1605" t="s">
        <v>3624</v>
      </c>
      <c r="P1605" s="6" t="s">
        <v>891</v>
      </c>
      <c r="Q1605" t="s">
        <v>37</v>
      </c>
      <c r="R1605" t="s">
        <v>38</v>
      </c>
      <c r="S1605" s="9">
        <v>3226.7</v>
      </c>
      <c r="T1605" s="9">
        <v>4145</v>
      </c>
      <c r="U1605" s="9">
        <v>13374671.5</v>
      </c>
      <c r="V1605" s="6" t="s">
        <v>58</v>
      </c>
      <c r="W1605" t="s">
        <v>59</v>
      </c>
      <c r="X1605">
        <v>5262222144</v>
      </c>
      <c r="Y1605">
        <v>526001001</v>
      </c>
      <c r="Z1605" s="3">
        <v>46014.5625</v>
      </c>
      <c r="AA1605" s="6">
        <v>2026</v>
      </c>
      <c r="AB1605" s="1">
        <v>46387</v>
      </c>
    </row>
    <row r="1606" spans="1:28" x14ac:dyDescent="0.3">
      <c r="A1606" t="s">
        <v>5333</v>
      </c>
      <c r="B1606" s="6" t="s">
        <v>1022</v>
      </c>
      <c r="C1606" s="6" t="s">
        <v>1023</v>
      </c>
      <c r="D1606">
        <v>901024085</v>
      </c>
      <c r="E1606">
        <v>90101001</v>
      </c>
      <c r="F1606" t="s">
        <v>52</v>
      </c>
      <c r="G1606" t="s">
        <v>5330</v>
      </c>
      <c r="H1606" s="1">
        <v>45993</v>
      </c>
      <c r="I1606" t="s">
        <v>5331</v>
      </c>
      <c r="J1606" s="8">
        <v>46014</v>
      </c>
      <c r="K1606" s="1" t="s">
        <v>4530</v>
      </c>
      <c r="L1606" t="s">
        <v>5330</v>
      </c>
      <c r="M1606" t="s">
        <v>5332</v>
      </c>
      <c r="N1606" s="12">
        <v>26749343</v>
      </c>
      <c r="O1606" t="s">
        <v>3633</v>
      </c>
      <c r="P1606" s="6" t="s">
        <v>36</v>
      </c>
      <c r="Q1606" t="s">
        <v>37</v>
      </c>
      <c r="R1606" t="s">
        <v>38</v>
      </c>
      <c r="S1606" s="9">
        <v>3226.7</v>
      </c>
      <c r="T1606" s="9">
        <v>4145</v>
      </c>
      <c r="U1606" s="9">
        <v>13374671.5</v>
      </c>
      <c r="V1606" s="6" t="s">
        <v>58</v>
      </c>
      <c r="W1606" t="s">
        <v>59</v>
      </c>
      <c r="X1606">
        <v>5262222144</v>
      </c>
      <c r="Y1606">
        <v>526001001</v>
      </c>
      <c r="Z1606" s="3">
        <v>46014.5625</v>
      </c>
      <c r="AA1606" s="6">
        <v>2026</v>
      </c>
      <c r="AB1606" s="1">
        <v>46387</v>
      </c>
    </row>
    <row r="1607" spans="1:28" x14ac:dyDescent="0.3">
      <c r="A1607" t="s">
        <v>5334</v>
      </c>
      <c r="B1607" s="6" t="s">
        <v>113</v>
      </c>
      <c r="C1607" s="6" t="s">
        <v>114</v>
      </c>
      <c r="D1607">
        <v>8601035838</v>
      </c>
      <c r="E1607">
        <v>860201001</v>
      </c>
      <c r="F1607" t="s">
        <v>52</v>
      </c>
      <c r="G1607" t="s">
        <v>5335</v>
      </c>
      <c r="H1607" s="1">
        <v>46003</v>
      </c>
      <c r="J1607" s="8">
        <v>46014</v>
      </c>
      <c r="K1607" s="1" t="s">
        <v>4530</v>
      </c>
      <c r="L1607" t="s">
        <v>5336</v>
      </c>
      <c r="M1607" t="s">
        <v>5337</v>
      </c>
      <c r="N1607" s="12">
        <v>40376041.200000003</v>
      </c>
      <c r="O1607" t="s">
        <v>3624</v>
      </c>
      <c r="P1607" s="6" t="s">
        <v>891</v>
      </c>
      <c r="Q1607" t="s">
        <v>37</v>
      </c>
      <c r="R1607" t="s">
        <v>38</v>
      </c>
      <c r="S1607" s="9">
        <v>3266.67</v>
      </c>
      <c r="T1607" s="9">
        <v>2360</v>
      </c>
      <c r="U1607" s="9">
        <v>7709341.2000000002</v>
      </c>
      <c r="V1607" s="6" t="s">
        <v>58</v>
      </c>
      <c r="W1607" t="s">
        <v>59</v>
      </c>
      <c r="X1607">
        <v>5262222144</v>
      </c>
      <c r="Y1607">
        <v>526001001</v>
      </c>
      <c r="Z1607" s="3">
        <v>46014.400694444441</v>
      </c>
      <c r="AA1607" s="6">
        <v>2026</v>
      </c>
      <c r="AB1607" s="1">
        <v>46125</v>
      </c>
    </row>
    <row r="1608" spans="1:28" x14ac:dyDescent="0.3">
      <c r="A1608" t="s">
        <v>5334</v>
      </c>
      <c r="B1608" s="6" t="s">
        <v>113</v>
      </c>
      <c r="C1608" s="6" t="s">
        <v>114</v>
      </c>
      <c r="D1608">
        <v>8601035838</v>
      </c>
      <c r="E1608">
        <v>860201001</v>
      </c>
      <c r="F1608" t="s">
        <v>52</v>
      </c>
      <c r="G1608" t="s">
        <v>5335</v>
      </c>
      <c r="H1608" s="1">
        <v>46003</v>
      </c>
      <c r="J1608" s="8">
        <v>46014</v>
      </c>
      <c r="K1608" s="1" t="s">
        <v>4530</v>
      </c>
      <c r="L1608" t="s">
        <v>5336</v>
      </c>
      <c r="M1608" t="s">
        <v>5337</v>
      </c>
      <c r="N1608" s="12">
        <v>40376041.200000003</v>
      </c>
      <c r="O1608" t="s">
        <v>3633</v>
      </c>
      <c r="P1608" s="6" t="s">
        <v>36</v>
      </c>
      <c r="Q1608" t="s">
        <v>37</v>
      </c>
      <c r="R1608" t="s">
        <v>38</v>
      </c>
      <c r="S1608" s="9">
        <v>3266.67</v>
      </c>
      <c r="T1608" s="9">
        <v>10000</v>
      </c>
      <c r="U1608" s="9">
        <v>32666700</v>
      </c>
      <c r="V1608" s="6" t="s">
        <v>58</v>
      </c>
      <c r="W1608" t="s">
        <v>59</v>
      </c>
      <c r="X1608">
        <v>5262222144</v>
      </c>
      <c r="Y1608">
        <v>526001001</v>
      </c>
      <c r="Z1608" s="3">
        <v>46014.400694444441</v>
      </c>
      <c r="AA1608" s="6">
        <v>2026</v>
      </c>
      <c r="AB1608" s="1">
        <v>46125</v>
      </c>
    </row>
    <row r="1609" spans="1:28" x14ac:dyDescent="0.3">
      <c r="A1609" t="s">
        <v>5338</v>
      </c>
      <c r="B1609" s="6" t="s">
        <v>573</v>
      </c>
      <c r="C1609" s="6" t="s">
        <v>405</v>
      </c>
      <c r="D1609">
        <v>562044550</v>
      </c>
      <c r="E1609">
        <v>57201001</v>
      </c>
      <c r="F1609" t="s">
        <v>94</v>
      </c>
      <c r="G1609" t="s">
        <v>5339</v>
      </c>
      <c r="H1609" s="1">
        <v>46009</v>
      </c>
      <c r="I1609" t="s">
        <v>5340</v>
      </c>
      <c r="J1609" s="8">
        <v>46014</v>
      </c>
      <c r="K1609" s="1" t="s">
        <v>4530</v>
      </c>
      <c r="L1609" t="s">
        <v>5339</v>
      </c>
      <c r="M1609" t="s">
        <v>5341</v>
      </c>
      <c r="N1609" s="12">
        <v>1716800</v>
      </c>
      <c r="O1609" t="s">
        <v>3633</v>
      </c>
      <c r="P1609" s="6" t="s">
        <v>36</v>
      </c>
      <c r="R1609" t="s">
        <v>38</v>
      </c>
      <c r="S1609" s="9">
        <v>2900</v>
      </c>
      <c r="T1609" s="9">
        <v>592</v>
      </c>
      <c r="U1609" s="9">
        <v>1716800</v>
      </c>
      <c r="V1609" s="6" t="s">
        <v>352</v>
      </c>
      <c r="W1609" t="s">
        <v>40</v>
      </c>
      <c r="X1609">
        <v>7843014747</v>
      </c>
      <c r="Y1609">
        <v>781401001</v>
      </c>
      <c r="Z1609" s="3">
        <v>46016.729166666664</v>
      </c>
      <c r="AA1609" s="6">
        <v>2026</v>
      </c>
      <c r="AB1609" s="1">
        <v>46387</v>
      </c>
    </row>
    <row r="1610" spans="1:28" x14ac:dyDescent="0.3">
      <c r="A1610" t="s">
        <v>5342</v>
      </c>
      <c r="B1610" s="6" t="s">
        <v>1145</v>
      </c>
      <c r="C1610" s="6" t="s">
        <v>1146</v>
      </c>
      <c r="D1610">
        <v>6501024966</v>
      </c>
      <c r="E1610">
        <v>650101001</v>
      </c>
      <c r="F1610" t="s">
        <v>149</v>
      </c>
      <c r="G1610" t="s">
        <v>5343</v>
      </c>
      <c r="H1610" s="1">
        <v>46009</v>
      </c>
      <c r="J1610" s="8">
        <v>46014</v>
      </c>
      <c r="K1610" s="1" t="s">
        <v>4530</v>
      </c>
      <c r="L1610" t="s">
        <v>5343</v>
      </c>
      <c r="M1610" t="s">
        <v>377</v>
      </c>
      <c r="N1610" s="12">
        <v>198739.62</v>
      </c>
      <c r="O1610" t="s">
        <v>3613</v>
      </c>
      <c r="P1610" s="6" t="s">
        <v>36</v>
      </c>
      <c r="R1610" t="s">
        <v>38</v>
      </c>
      <c r="S1610" s="9">
        <v>3486.66</v>
      </c>
      <c r="T1610" s="9">
        <v>57</v>
      </c>
      <c r="U1610" s="9">
        <v>198739.62</v>
      </c>
      <c r="V1610" s="6" t="s">
        <v>58</v>
      </c>
      <c r="W1610" t="s">
        <v>59</v>
      </c>
      <c r="X1610">
        <v>5262222144</v>
      </c>
      <c r="Y1610">
        <v>526001001</v>
      </c>
      <c r="Z1610" s="3">
        <v>46017.500694444447</v>
      </c>
      <c r="AA1610" s="6">
        <v>2026</v>
      </c>
      <c r="AB1610" s="1">
        <v>46111</v>
      </c>
    </row>
    <row r="1611" spans="1:28" x14ac:dyDescent="0.3">
      <c r="A1611" t="s">
        <v>5344</v>
      </c>
      <c r="B1611" s="6" t="s">
        <v>567</v>
      </c>
      <c r="C1611" s="6" t="s">
        <v>568</v>
      </c>
      <c r="D1611">
        <v>4909085785</v>
      </c>
      <c r="E1611">
        <v>490901001</v>
      </c>
      <c r="F1611" t="s">
        <v>149</v>
      </c>
      <c r="G1611" t="s">
        <v>5345</v>
      </c>
      <c r="H1611" s="1">
        <v>46010</v>
      </c>
      <c r="J1611" s="8">
        <v>46015</v>
      </c>
      <c r="K1611" s="1" t="s">
        <v>4530</v>
      </c>
      <c r="L1611" t="s">
        <v>5346</v>
      </c>
      <c r="M1611" t="s">
        <v>377</v>
      </c>
      <c r="N1611" s="12">
        <v>2791800</v>
      </c>
      <c r="O1611" t="s">
        <v>3633</v>
      </c>
      <c r="P1611" s="6" t="s">
        <v>36</v>
      </c>
      <c r="R1611" t="s">
        <v>38</v>
      </c>
      <c r="S1611" s="9">
        <v>3300</v>
      </c>
      <c r="T1611" s="9">
        <v>846</v>
      </c>
      <c r="U1611" s="9">
        <v>2791800</v>
      </c>
      <c r="V1611" s="6" t="s">
        <v>39</v>
      </c>
      <c r="W1611" t="s">
        <v>40</v>
      </c>
      <c r="X1611">
        <v>7810687137</v>
      </c>
      <c r="Y1611">
        <v>781401001</v>
      </c>
      <c r="Z1611" s="3">
        <v>46015.336111111108</v>
      </c>
      <c r="AA1611" s="6">
        <v>2026</v>
      </c>
      <c r="AB1611" s="1">
        <v>46387</v>
      </c>
    </row>
    <row r="1612" spans="1:28" x14ac:dyDescent="0.3">
      <c r="A1612" t="s">
        <v>5347</v>
      </c>
      <c r="B1612" s="6" t="s">
        <v>147</v>
      </c>
      <c r="C1612" s="6" t="s">
        <v>148</v>
      </c>
      <c r="D1612">
        <v>274019476</v>
      </c>
      <c r="E1612">
        <v>27401001</v>
      </c>
      <c r="F1612" t="s">
        <v>149</v>
      </c>
      <c r="G1612" t="s">
        <v>5348</v>
      </c>
      <c r="H1612" s="1">
        <v>46013</v>
      </c>
      <c r="J1612" s="8">
        <v>46016</v>
      </c>
      <c r="K1612" s="1" t="s">
        <v>4530</v>
      </c>
      <c r="L1612" t="s">
        <v>5348</v>
      </c>
      <c r="M1612" t="s">
        <v>377</v>
      </c>
      <c r="N1612" s="12">
        <v>880000</v>
      </c>
      <c r="O1612" t="s">
        <v>5349</v>
      </c>
      <c r="P1612" s="6" t="s">
        <v>36</v>
      </c>
      <c r="R1612" t="s">
        <v>38</v>
      </c>
      <c r="S1612" s="9">
        <v>8800</v>
      </c>
      <c r="T1612" s="9">
        <v>100</v>
      </c>
      <c r="U1612" s="9">
        <v>880000</v>
      </c>
      <c r="V1612" s="6" t="s">
        <v>5350</v>
      </c>
      <c r="W1612" t="s">
        <v>5351</v>
      </c>
      <c r="X1612">
        <v>27102504002</v>
      </c>
      <c r="Z1612" s="3">
        <v>46017.446527777778</v>
      </c>
      <c r="AA1612" s="6">
        <v>2026</v>
      </c>
      <c r="AB1612" s="1">
        <v>46387</v>
      </c>
    </row>
    <row r="1613" spans="1:28" x14ac:dyDescent="0.3">
      <c r="A1613" t="s">
        <v>5352</v>
      </c>
      <c r="B1613" s="6" t="s">
        <v>220</v>
      </c>
      <c r="C1613" s="6" t="s">
        <v>221</v>
      </c>
      <c r="D1613">
        <v>5024068656</v>
      </c>
      <c r="E1613">
        <v>502401001</v>
      </c>
      <c r="F1613" t="s">
        <v>52</v>
      </c>
      <c r="G1613" t="s">
        <v>5353</v>
      </c>
      <c r="H1613" s="1">
        <v>46009</v>
      </c>
      <c r="J1613" s="8">
        <v>46020</v>
      </c>
      <c r="K1613" s="1" t="s">
        <v>4530</v>
      </c>
      <c r="L1613" t="s">
        <v>5353</v>
      </c>
      <c r="M1613" t="s">
        <v>5354</v>
      </c>
      <c r="N1613" s="12">
        <v>391277.9</v>
      </c>
      <c r="O1613" t="s">
        <v>3633</v>
      </c>
      <c r="P1613" s="6" t="s">
        <v>36</v>
      </c>
      <c r="R1613" t="s">
        <v>38</v>
      </c>
      <c r="S1613" s="9">
        <v>3009.83</v>
      </c>
      <c r="T1613" s="9">
        <v>130</v>
      </c>
      <c r="U1613" s="9">
        <v>391277.9</v>
      </c>
      <c r="V1613" s="6" t="s">
        <v>128</v>
      </c>
      <c r="W1613" t="s">
        <v>129</v>
      </c>
      <c r="X1613">
        <v>274110679</v>
      </c>
      <c r="Y1613">
        <v>500801001</v>
      </c>
      <c r="Z1613" s="3">
        <v>46020.786805555559</v>
      </c>
      <c r="AA1613" s="6">
        <v>2026</v>
      </c>
      <c r="AB1613" s="1">
        <v>46070</v>
      </c>
    </row>
    <row r="1614" spans="1:28" x14ac:dyDescent="0.3">
      <c r="A1614" t="s">
        <v>5355</v>
      </c>
      <c r="B1614" s="6" t="s">
        <v>394</v>
      </c>
      <c r="C1614" s="6" t="s">
        <v>395</v>
      </c>
      <c r="D1614">
        <v>7203000249</v>
      </c>
      <c r="E1614">
        <v>720301001</v>
      </c>
      <c r="F1614" t="s">
        <v>94</v>
      </c>
      <c r="G1614" t="s">
        <v>5356</v>
      </c>
      <c r="H1614" s="1">
        <v>46015</v>
      </c>
      <c r="J1614" s="8">
        <v>46020</v>
      </c>
      <c r="K1614" s="1" t="s">
        <v>4530</v>
      </c>
      <c r="L1614" t="s">
        <v>5357</v>
      </c>
      <c r="M1614" t="s">
        <v>4994</v>
      </c>
      <c r="N1614" s="12">
        <v>2587250</v>
      </c>
      <c r="O1614" t="s">
        <v>4063</v>
      </c>
      <c r="P1614" s="6" t="s">
        <v>36</v>
      </c>
      <c r="R1614" t="s">
        <v>38</v>
      </c>
      <c r="S1614" s="9">
        <v>3950</v>
      </c>
      <c r="T1614" s="9">
        <v>655</v>
      </c>
      <c r="U1614" s="9">
        <v>2587250</v>
      </c>
      <c r="V1614" s="6" t="s">
        <v>723</v>
      </c>
      <c r="W1614" t="s">
        <v>402</v>
      </c>
      <c r="X1614">
        <v>890507752198</v>
      </c>
      <c r="Z1614" s="3">
        <v>46020.284722222219</v>
      </c>
      <c r="AA1614" s="6">
        <v>2026</v>
      </c>
      <c r="AB1614" s="1">
        <v>46142</v>
      </c>
    </row>
    <row r="1615" spans="1:28" x14ac:dyDescent="0.3">
      <c r="A1615" t="s">
        <v>5358</v>
      </c>
      <c r="B1615" s="6" t="s">
        <v>1029</v>
      </c>
      <c r="C1615" s="6" t="s">
        <v>1030</v>
      </c>
      <c r="D1615">
        <v>7536149975</v>
      </c>
      <c r="E1615">
        <v>753601001</v>
      </c>
      <c r="F1615" t="s">
        <v>52</v>
      </c>
      <c r="G1615" t="s">
        <v>5359</v>
      </c>
      <c r="H1615" s="1">
        <v>46009</v>
      </c>
      <c r="I1615" t="s">
        <v>5360</v>
      </c>
      <c r="J1615" s="8">
        <v>46020</v>
      </c>
      <c r="K1615" s="1" t="s">
        <v>4530</v>
      </c>
      <c r="L1615" t="s">
        <v>5361</v>
      </c>
      <c r="M1615" t="s">
        <v>5362</v>
      </c>
      <c r="N1615" s="12">
        <v>19551750</v>
      </c>
      <c r="O1615" t="s">
        <v>3613</v>
      </c>
      <c r="P1615" s="6" t="s">
        <v>2277</v>
      </c>
      <c r="R1615" t="s">
        <v>38</v>
      </c>
      <c r="S1615" s="9">
        <v>4975</v>
      </c>
      <c r="T1615" s="9">
        <v>3930</v>
      </c>
      <c r="U1615" s="9">
        <v>19551750</v>
      </c>
      <c r="V1615" s="6" t="s">
        <v>90</v>
      </c>
      <c r="W1615" t="s">
        <v>59</v>
      </c>
      <c r="X1615">
        <v>5259153331</v>
      </c>
      <c r="Y1615">
        <v>525901001</v>
      </c>
      <c r="Z1615" s="3">
        <v>46020.138888888891</v>
      </c>
      <c r="AA1615" s="6">
        <v>2026</v>
      </c>
      <c r="AB1615" s="1">
        <v>46387</v>
      </c>
    </row>
    <row r="1616" spans="1:28" x14ac:dyDescent="0.3">
      <c r="A1616" t="s">
        <v>5363</v>
      </c>
      <c r="B1616" s="6" t="s">
        <v>5364</v>
      </c>
      <c r="C1616" s="6" t="s">
        <v>30</v>
      </c>
      <c r="D1616">
        <v>3234012053</v>
      </c>
      <c r="E1616">
        <v>325701001</v>
      </c>
      <c r="F1616" t="s">
        <v>52</v>
      </c>
      <c r="G1616" t="s">
        <v>5365</v>
      </c>
      <c r="H1616" s="1">
        <v>46016</v>
      </c>
      <c r="I1616" t="s">
        <v>5366</v>
      </c>
      <c r="J1616" s="8">
        <v>46028</v>
      </c>
      <c r="K1616" s="1" t="s">
        <v>5367</v>
      </c>
      <c r="L1616" t="s">
        <v>5368</v>
      </c>
      <c r="M1616" t="s">
        <v>5369</v>
      </c>
      <c r="N1616" s="12">
        <v>370464</v>
      </c>
      <c r="O1616" t="s">
        <v>5370</v>
      </c>
      <c r="P1616" s="6" t="s">
        <v>36</v>
      </c>
      <c r="R1616" t="s">
        <v>38</v>
      </c>
      <c r="S1616" s="9">
        <v>3704.67</v>
      </c>
      <c r="T1616" s="9">
        <v>100</v>
      </c>
      <c r="U1616" s="9">
        <v>370464</v>
      </c>
      <c r="V1616" s="6" t="s">
        <v>352</v>
      </c>
      <c r="W1616" t="s">
        <v>40</v>
      </c>
      <c r="X1616">
        <v>7843014747</v>
      </c>
      <c r="Y1616">
        <v>781401001</v>
      </c>
      <c r="Z1616" s="3"/>
      <c r="AA1616" s="6">
        <v>2026</v>
      </c>
      <c r="AB1616" s="1">
        <v>46387</v>
      </c>
    </row>
    <row r="1617" spans="1:28" x14ac:dyDescent="0.3">
      <c r="A1617" t="s">
        <v>5371</v>
      </c>
      <c r="B1617" s="6" t="s">
        <v>964</v>
      </c>
      <c r="C1617" s="6" t="s">
        <v>965</v>
      </c>
      <c r="D1617">
        <v>7021021653</v>
      </c>
      <c r="E1617">
        <v>701701001</v>
      </c>
      <c r="F1617" t="s">
        <v>149</v>
      </c>
      <c r="G1617" t="s">
        <v>5372</v>
      </c>
      <c r="H1617" s="1">
        <v>46017</v>
      </c>
      <c r="J1617" s="8">
        <v>46034</v>
      </c>
      <c r="K1617" s="1" t="s">
        <v>5367</v>
      </c>
      <c r="L1617" t="s">
        <v>5373</v>
      </c>
      <c r="M1617" t="s">
        <v>377</v>
      </c>
      <c r="N1617" s="12">
        <v>320000</v>
      </c>
      <c r="O1617" t="s">
        <v>3613</v>
      </c>
      <c r="P1617" s="6" t="s">
        <v>36</v>
      </c>
      <c r="R1617" t="s">
        <v>38</v>
      </c>
      <c r="S1617" s="9">
        <v>3200</v>
      </c>
      <c r="T1617" s="9">
        <v>100</v>
      </c>
      <c r="U1617" s="9">
        <v>320000</v>
      </c>
      <c r="V1617" s="6" t="s">
        <v>58</v>
      </c>
      <c r="W1617" t="s">
        <v>59</v>
      </c>
      <c r="X1617">
        <v>5262222144</v>
      </c>
      <c r="Y1617">
        <v>526001001</v>
      </c>
      <c r="Z1617" s="3">
        <v>46037.223611111112</v>
      </c>
      <c r="AA1617" s="6">
        <v>2026</v>
      </c>
      <c r="AB1617" s="1">
        <v>46265</v>
      </c>
    </row>
    <row r="1618" spans="1:28" x14ac:dyDescent="0.3">
      <c r="A1618" t="s">
        <v>5371</v>
      </c>
      <c r="B1618" s="6" t="s">
        <v>964</v>
      </c>
      <c r="C1618" s="6" t="s">
        <v>965</v>
      </c>
      <c r="D1618">
        <v>7021021653</v>
      </c>
      <c r="E1618">
        <v>701701001</v>
      </c>
      <c r="F1618" t="s">
        <v>149</v>
      </c>
      <c r="G1618" t="s">
        <v>5372</v>
      </c>
      <c r="H1618" s="1">
        <v>46017</v>
      </c>
      <c r="J1618" s="8">
        <v>46034</v>
      </c>
      <c r="K1618" s="1" t="s">
        <v>5367</v>
      </c>
      <c r="L1618" t="s">
        <v>5373</v>
      </c>
      <c r="M1618" t="s">
        <v>377</v>
      </c>
      <c r="N1618" s="12">
        <v>320000</v>
      </c>
      <c r="O1618" t="s">
        <v>3613</v>
      </c>
      <c r="P1618" s="6" t="s">
        <v>36</v>
      </c>
      <c r="R1618" t="s">
        <v>38</v>
      </c>
      <c r="S1618" s="9">
        <v>3200</v>
      </c>
      <c r="T1618" s="9">
        <v>100</v>
      </c>
      <c r="U1618" s="9">
        <v>320000</v>
      </c>
      <c r="V1618" s="6" t="s">
        <v>58</v>
      </c>
      <c r="W1618" t="s">
        <v>59</v>
      </c>
      <c r="X1618">
        <v>5262222144</v>
      </c>
      <c r="Y1618">
        <v>526001001</v>
      </c>
      <c r="Z1618" s="3">
        <v>46037.223611111112</v>
      </c>
      <c r="AA1618" s="6">
        <v>2026</v>
      </c>
      <c r="AB1618" s="1">
        <v>46265</v>
      </c>
    </row>
    <row r="1619" spans="1:28" x14ac:dyDescent="0.3">
      <c r="A1619" t="s">
        <v>5374</v>
      </c>
      <c r="B1619" s="6" t="s">
        <v>75</v>
      </c>
      <c r="C1619" s="6" t="s">
        <v>76</v>
      </c>
      <c r="D1619">
        <v>2633004253</v>
      </c>
      <c r="E1619">
        <v>263601001</v>
      </c>
      <c r="F1619" t="s">
        <v>52</v>
      </c>
      <c r="G1619" t="s">
        <v>5375</v>
      </c>
      <c r="H1619" s="1">
        <v>46015</v>
      </c>
      <c r="I1619" t="s">
        <v>5376</v>
      </c>
      <c r="J1619" s="8">
        <v>46035</v>
      </c>
      <c r="K1619" s="1" t="s">
        <v>5367</v>
      </c>
      <c r="L1619" t="s">
        <v>5375</v>
      </c>
      <c r="M1619" t="s">
        <v>5377</v>
      </c>
      <c r="N1619" s="12">
        <v>20039628.510000002</v>
      </c>
      <c r="O1619" t="s">
        <v>3633</v>
      </c>
      <c r="P1619" s="6" t="s">
        <v>36</v>
      </c>
      <c r="R1619" t="s">
        <v>38</v>
      </c>
      <c r="S1619" s="9">
        <v>2890.47</v>
      </c>
      <c r="T1619" s="9">
        <v>1000</v>
      </c>
      <c r="U1619" s="9">
        <v>2890470</v>
      </c>
      <c r="V1619" s="6" t="s">
        <v>39</v>
      </c>
      <c r="W1619" t="s">
        <v>40</v>
      </c>
      <c r="X1619">
        <v>7810687137</v>
      </c>
      <c r="Y1619">
        <v>781401001</v>
      </c>
      <c r="Z1619" s="3">
        <v>46036.393055555556</v>
      </c>
      <c r="AA1619" s="6">
        <v>2026</v>
      </c>
      <c r="AB1619" s="1">
        <v>46387</v>
      </c>
    </row>
    <row r="1620" spans="1:28" x14ac:dyDescent="0.3">
      <c r="A1620" t="s">
        <v>5374</v>
      </c>
      <c r="B1620" s="6" t="s">
        <v>75</v>
      </c>
      <c r="C1620" s="6" t="s">
        <v>76</v>
      </c>
      <c r="D1620">
        <v>2633004253</v>
      </c>
      <c r="E1620">
        <v>263601001</v>
      </c>
      <c r="F1620" t="s">
        <v>52</v>
      </c>
      <c r="G1620" t="s">
        <v>5375</v>
      </c>
      <c r="H1620" s="1">
        <v>46015</v>
      </c>
      <c r="I1620" t="s">
        <v>5376</v>
      </c>
      <c r="J1620" s="8">
        <v>46035</v>
      </c>
      <c r="K1620" s="1" t="s">
        <v>5367</v>
      </c>
      <c r="L1620" t="s">
        <v>5375</v>
      </c>
      <c r="M1620" t="s">
        <v>5377</v>
      </c>
      <c r="N1620" s="12">
        <v>20039628.510000002</v>
      </c>
      <c r="O1620" t="s">
        <v>4022</v>
      </c>
      <c r="P1620" s="6" t="s">
        <v>2941</v>
      </c>
      <c r="R1620" t="s">
        <v>38</v>
      </c>
      <c r="S1620" s="9">
        <v>2890.47</v>
      </c>
      <c r="T1620" s="9">
        <v>5933</v>
      </c>
      <c r="U1620" s="9">
        <v>17149158.510000002</v>
      </c>
      <c r="V1620" s="6" t="s">
        <v>39</v>
      </c>
      <c r="W1620" t="s">
        <v>40</v>
      </c>
      <c r="X1620">
        <v>7810687137</v>
      </c>
      <c r="Y1620">
        <v>781401001</v>
      </c>
      <c r="Z1620" s="3">
        <v>46036.393055555556</v>
      </c>
      <c r="AA1620" s="6">
        <v>2026</v>
      </c>
      <c r="AB1620" s="1">
        <v>46387</v>
      </c>
    </row>
    <row r="1621" spans="1:28" x14ac:dyDescent="0.3">
      <c r="A1621" t="s">
        <v>5378</v>
      </c>
      <c r="B1621" s="6" t="s">
        <v>131</v>
      </c>
      <c r="C1621" s="6" t="s">
        <v>132</v>
      </c>
      <c r="D1621">
        <v>6027053995</v>
      </c>
      <c r="E1621">
        <v>602701001</v>
      </c>
      <c r="F1621" t="s">
        <v>149</v>
      </c>
      <c r="G1621" t="s">
        <v>5379</v>
      </c>
      <c r="H1621" s="1">
        <v>46020</v>
      </c>
      <c r="I1621" t="s">
        <v>5380</v>
      </c>
      <c r="J1621" s="8">
        <v>46035</v>
      </c>
      <c r="K1621" s="1" t="s">
        <v>5367</v>
      </c>
      <c r="L1621" t="s">
        <v>5381</v>
      </c>
      <c r="M1621" t="s">
        <v>377</v>
      </c>
      <c r="N1621" s="12">
        <v>4875500</v>
      </c>
      <c r="O1621" t="s">
        <v>3633</v>
      </c>
      <c r="P1621" s="6" t="s">
        <v>36</v>
      </c>
      <c r="R1621" t="s">
        <v>38</v>
      </c>
      <c r="S1621" s="9">
        <v>3500</v>
      </c>
      <c r="T1621" s="9">
        <v>1393</v>
      </c>
      <c r="U1621" s="9">
        <v>4875500</v>
      </c>
      <c r="V1621" s="6" t="s">
        <v>39</v>
      </c>
      <c r="W1621" t="s">
        <v>40</v>
      </c>
      <c r="X1621">
        <v>7810687137</v>
      </c>
      <c r="Y1621">
        <v>781401001</v>
      </c>
      <c r="Z1621" s="3">
        <v>46035.379861111112</v>
      </c>
      <c r="AA1621" s="6">
        <v>2026</v>
      </c>
      <c r="AB1621" s="1">
        <v>46386</v>
      </c>
    </row>
    <row r="1622" spans="1:28" x14ac:dyDescent="0.3">
      <c r="A1622" t="s">
        <v>5382</v>
      </c>
      <c r="B1622" s="6" t="s">
        <v>131</v>
      </c>
      <c r="C1622" s="6" t="s">
        <v>132</v>
      </c>
      <c r="D1622">
        <v>6027053995</v>
      </c>
      <c r="E1622">
        <v>602701001</v>
      </c>
      <c r="F1622" t="s">
        <v>149</v>
      </c>
      <c r="G1622" t="s">
        <v>5383</v>
      </c>
      <c r="H1622" s="1">
        <v>46020</v>
      </c>
      <c r="I1622" t="s">
        <v>5380</v>
      </c>
      <c r="J1622" s="8">
        <v>46035</v>
      </c>
      <c r="K1622" s="1" t="s">
        <v>5367</v>
      </c>
      <c r="L1622" t="s">
        <v>5384</v>
      </c>
      <c r="M1622" t="s">
        <v>377</v>
      </c>
      <c r="N1622" s="12">
        <v>4875500</v>
      </c>
      <c r="O1622" t="s">
        <v>3633</v>
      </c>
      <c r="P1622" s="6" t="s">
        <v>36</v>
      </c>
      <c r="R1622" t="s">
        <v>38</v>
      </c>
      <c r="S1622" s="9">
        <v>3500</v>
      </c>
      <c r="T1622" s="9">
        <v>1393</v>
      </c>
      <c r="U1622" s="9">
        <v>4875500</v>
      </c>
      <c r="V1622" s="6" t="s">
        <v>39</v>
      </c>
      <c r="W1622" t="s">
        <v>40</v>
      </c>
      <c r="X1622">
        <v>7810687137</v>
      </c>
      <c r="Y1622">
        <v>781401001</v>
      </c>
      <c r="Z1622" s="3">
        <v>46035.37777777778</v>
      </c>
      <c r="AA1622" s="6">
        <v>2026</v>
      </c>
      <c r="AB1622" s="1">
        <v>46386</v>
      </c>
    </row>
    <row r="1623" spans="1:28" x14ac:dyDescent="0.3">
      <c r="A1623" t="s">
        <v>5385</v>
      </c>
      <c r="B1623" s="6" t="s">
        <v>131</v>
      </c>
      <c r="C1623" s="6" t="s">
        <v>132</v>
      </c>
      <c r="D1623">
        <v>6027053995</v>
      </c>
      <c r="E1623">
        <v>602701001</v>
      </c>
      <c r="F1623" t="s">
        <v>149</v>
      </c>
      <c r="G1623" t="s">
        <v>5386</v>
      </c>
      <c r="H1623" s="1">
        <v>46020</v>
      </c>
      <c r="I1623" t="s">
        <v>5380</v>
      </c>
      <c r="J1623" s="8">
        <v>46035</v>
      </c>
      <c r="K1623" s="1" t="s">
        <v>5367</v>
      </c>
      <c r="L1623" t="s">
        <v>5387</v>
      </c>
      <c r="M1623" t="s">
        <v>377</v>
      </c>
      <c r="N1623" s="12">
        <v>4875500</v>
      </c>
      <c r="O1623" t="s">
        <v>3633</v>
      </c>
      <c r="P1623" s="6" t="s">
        <v>36</v>
      </c>
      <c r="R1623" t="s">
        <v>38</v>
      </c>
      <c r="S1623" s="9">
        <v>3500</v>
      </c>
      <c r="T1623" s="9">
        <v>1393</v>
      </c>
      <c r="U1623" s="9">
        <v>4875500</v>
      </c>
      <c r="V1623" s="6" t="s">
        <v>39</v>
      </c>
      <c r="W1623" t="s">
        <v>40</v>
      </c>
      <c r="X1623">
        <v>7810687137</v>
      </c>
      <c r="Y1623">
        <v>781401001</v>
      </c>
      <c r="Z1623" s="3">
        <v>46035.372916666667</v>
      </c>
      <c r="AA1623" s="6">
        <v>2026</v>
      </c>
      <c r="AB1623" s="1">
        <v>46386</v>
      </c>
    </row>
    <row r="1624" spans="1:28" x14ac:dyDescent="0.3">
      <c r="A1624" t="s">
        <v>5388</v>
      </c>
      <c r="B1624" s="6" t="s">
        <v>131</v>
      </c>
      <c r="C1624" s="6" t="s">
        <v>132</v>
      </c>
      <c r="D1624">
        <v>6027053995</v>
      </c>
      <c r="E1624">
        <v>602701001</v>
      </c>
      <c r="F1624" t="s">
        <v>149</v>
      </c>
      <c r="G1624" t="s">
        <v>5389</v>
      </c>
      <c r="H1624" s="1">
        <v>46020</v>
      </c>
      <c r="I1624" t="s">
        <v>5380</v>
      </c>
      <c r="J1624" s="8">
        <v>46035</v>
      </c>
      <c r="K1624" s="1" t="s">
        <v>5367</v>
      </c>
      <c r="L1624" t="s">
        <v>5390</v>
      </c>
      <c r="M1624" t="s">
        <v>377</v>
      </c>
      <c r="N1624" s="12">
        <v>245000</v>
      </c>
      <c r="O1624" t="s">
        <v>5391</v>
      </c>
      <c r="P1624" s="6" t="s">
        <v>891</v>
      </c>
      <c r="Q1624" t="s">
        <v>37</v>
      </c>
      <c r="R1624" t="s">
        <v>38</v>
      </c>
      <c r="S1624" s="9">
        <v>3500</v>
      </c>
      <c r="T1624" s="9">
        <v>70</v>
      </c>
      <c r="U1624" s="9">
        <v>245000</v>
      </c>
      <c r="V1624" s="6" t="s">
        <v>39</v>
      </c>
      <c r="W1624" t="s">
        <v>40</v>
      </c>
      <c r="X1624">
        <v>7810687137</v>
      </c>
      <c r="Y1624">
        <v>781401001</v>
      </c>
      <c r="Z1624" s="3">
        <v>46035.370833333334</v>
      </c>
      <c r="AA1624" s="6">
        <v>2026</v>
      </c>
      <c r="AB1624" s="1">
        <v>46386</v>
      </c>
    </row>
    <row r="1625" spans="1:28" x14ac:dyDescent="0.3">
      <c r="A1625" t="s">
        <v>5392</v>
      </c>
      <c r="B1625" s="6" t="s">
        <v>1145</v>
      </c>
      <c r="C1625" s="6" t="s">
        <v>1146</v>
      </c>
      <c r="D1625">
        <v>6501024966</v>
      </c>
      <c r="E1625">
        <v>650101001</v>
      </c>
      <c r="F1625" t="s">
        <v>149</v>
      </c>
      <c r="G1625" t="s">
        <v>5393</v>
      </c>
      <c r="H1625" s="1">
        <v>46020</v>
      </c>
      <c r="J1625" s="8">
        <v>46035</v>
      </c>
      <c r="K1625" s="1" t="s">
        <v>5367</v>
      </c>
      <c r="L1625" t="s">
        <v>5393</v>
      </c>
      <c r="M1625" t="s">
        <v>377</v>
      </c>
      <c r="N1625" s="12">
        <v>198739.62</v>
      </c>
      <c r="O1625" t="s">
        <v>3613</v>
      </c>
      <c r="P1625" s="6" t="s">
        <v>36</v>
      </c>
      <c r="R1625" t="s">
        <v>38</v>
      </c>
      <c r="S1625" s="9">
        <v>3486.66</v>
      </c>
      <c r="T1625" s="9">
        <v>57</v>
      </c>
      <c r="U1625" s="9">
        <v>198739.62</v>
      </c>
      <c r="V1625" s="6" t="s">
        <v>58</v>
      </c>
      <c r="W1625" t="s">
        <v>59</v>
      </c>
      <c r="X1625">
        <v>5262222144</v>
      </c>
      <c r="Y1625">
        <v>526001001</v>
      </c>
      <c r="Z1625" s="3">
        <v>46038.442361111112</v>
      </c>
      <c r="AA1625" s="6">
        <v>2026</v>
      </c>
      <c r="AB1625" s="1">
        <v>46112</v>
      </c>
    </row>
    <row r="1626" spans="1:28" x14ac:dyDescent="0.3">
      <c r="A1626" t="s">
        <v>5394</v>
      </c>
      <c r="B1626" s="6" t="s">
        <v>1145</v>
      </c>
      <c r="C1626" s="6" t="s">
        <v>1146</v>
      </c>
      <c r="D1626">
        <v>6501024966</v>
      </c>
      <c r="E1626">
        <v>650101001</v>
      </c>
      <c r="F1626" t="s">
        <v>149</v>
      </c>
      <c r="G1626" t="s">
        <v>5395</v>
      </c>
      <c r="H1626" s="1">
        <v>46020</v>
      </c>
      <c r="J1626" s="8">
        <v>46035</v>
      </c>
      <c r="K1626" s="1" t="s">
        <v>5367</v>
      </c>
      <c r="L1626" t="s">
        <v>5395</v>
      </c>
      <c r="M1626" t="s">
        <v>377</v>
      </c>
      <c r="N1626" s="12">
        <v>198739.62</v>
      </c>
      <c r="O1626" t="s">
        <v>3613</v>
      </c>
      <c r="P1626" s="6" t="s">
        <v>36</v>
      </c>
      <c r="R1626" t="s">
        <v>38</v>
      </c>
      <c r="S1626" s="9">
        <v>3486.66</v>
      </c>
      <c r="T1626" s="9">
        <v>57</v>
      </c>
      <c r="U1626" s="9">
        <v>198739.62</v>
      </c>
      <c r="V1626" s="6" t="s">
        <v>58</v>
      </c>
      <c r="W1626" t="s">
        <v>59</v>
      </c>
      <c r="X1626">
        <v>5262222144</v>
      </c>
      <c r="Y1626">
        <v>526001001</v>
      </c>
      <c r="Z1626" s="3">
        <v>46038.440972222219</v>
      </c>
      <c r="AA1626" s="6">
        <v>2026</v>
      </c>
      <c r="AB1626" s="1">
        <v>46112</v>
      </c>
    </row>
    <row r="1627" spans="1:28" x14ac:dyDescent="0.3">
      <c r="A1627" t="s">
        <v>5396</v>
      </c>
      <c r="B1627" s="6" t="s">
        <v>1145</v>
      </c>
      <c r="C1627" s="6" t="s">
        <v>1146</v>
      </c>
      <c r="D1627">
        <v>6501024966</v>
      </c>
      <c r="E1627">
        <v>650101001</v>
      </c>
      <c r="F1627" t="s">
        <v>149</v>
      </c>
      <c r="G1627" t="s">
        <v>5397</v>
      </c>
      <c r="H1627" s="1">
        <v>46020</v>
      </c>
      <c r="J1627" s="8">
        <v>46035</v>
      </c>
      <c r="K1627" s="1" t="s">
        <v>5367</v>
      </c>
      <c r="L1627" t="s">
        <v>5397</v>
      </c>
      <c r="M1627" t="s">
        <v>377</v>
      </c>
      <c r="N1627" s="12">
        <v>198739.62</v>
      </c>
      <c r="O1627" t="s">
        <v>3613</v>
      </c>
      <c r="P1627" s="6" t="s">
        <v>36</v>
      </c>
      <c r="R1627" t="s">
        <v>38</v>
      </c>
      <c r="S1627" s="9">
        <v>3486.66</v>
      </c>
      <c r="T1627" s="9">
        <v>57</v>
      </c>
      <c r="U1627" s="9">
        <v>198739.62</v>
      </c>
      <c r="V1627" s="6" t="s">
        <v>58</v>
      </c>
      <c r="W1627" t="s">
        <v>59</v>
      </c>
      <c r="X1627">
        <v>5262222144</v>
      </c>
      <c r="Y1627">
        <v>526001001</v>
      </c>
      <c r="Z1627" s="3">
        <v>46038.4375</v>
      </c>
      <c r="AA1627" s="6">
        <v>2026</v>
      </c>
      <c r="AB1627" s="1">
        <v>46112</v>
      </c>
    </row>
    <row r="1628" spans="1:28" x14ac:dyDescent="0.3">
      <c r="A1628" t="s">
        <v>5398</v>
      </c>
      <c r="B1628" s="6" t="s">
        <v>1145</v>
      </c>
      <c r="C1628" s="6" t="s">
        <v>1146</v>
      </c>
      <c r="D1628">
        <v>6501024966</v>
      </c>
      <c r="E1628">
        <v>650101001</v>
      </c>
      <c r="F1628" t="s">
        <v>149</v>
      </c>
      <c r="G1628" t="s">
        <v>5399</v>
      </c>
      <c r="H1628" s="1">
        <v>46020</v>
      </c>
      <c r="J1628" s="8">
        <v>46035</v>
      </c>
      <c r="K1628" s="1" t="s">
        <v>5367</v>
      </c>
      <c r="L1628" t="s">
        <v>5399</v>
      </c>
      <c r="M1628" t="s">
        <v>377</v>
      </c>
      <c r="N1628" s="12">
        <v>198739.62</v>
      </c>
      <c r="O1628" t="s">
        <v>3613</v>
      </c>
      <c r="P1628" s="6" t="s">
        <v>36</v>
      </c>
      <c r="R1628" t="s">
        <v>38</v>
      </c>
      <c r="S1628" s="9">
        <v>3486.66</v>
      </c>
      <c r="T1628" s="9">
        <v>57</v>
      </c>
      <c r="U1628" s="9">
        <v>198739.62</v>
      </c>
      <c r="V1628" s="6" t="s">
        <v>58</v>
      </c>
      <c r="W1628" t="s">
        <v>59</v>
      </c>
      <c r="X1628">
        <v>5262222144</v>
      </c>
      <c r="Y1628">
        <v>526001001</v>
      </c>
      <c r="Z1628" s="3">
        <v>46038.436805555553</v>
      </c>
      <c r="AA1628" s="6">
        <v>2026</v>
      </c>
      <c r="AB1628" s="1">
        <v>46387</v>
      </c>
    </row>
    <row r="1629" spans="1:28" x14ac:dyDescent="0.3">
      <c r="A1629" t="s">
        <v>5400</v>
      </c>
      <c r="B1629" s="6" t="s">
        <v>1145</v>
      </c>
      <c r="C1629" s="6" t="s">
        <v>1146</v>
      </c>
      <c r="D1629">
        <v>6501024966</v>
      </c>
      <c r="E1629">
        <v>650101001</v>
      </c>
      <c r="F1629" t="s">
        <v>149</v>
      </c>
      <c r="G1629" t="s">
        <v>5401</v>
      </c>
      <c r="H1629" s="1">
        <v>46020</v>
      </c>
      <c r="J1629" s="8">
        <v>46035</v>
      </c>
      <c r="K1629" s="1" t="s">
        <v>5367</v>
      </c>
      <c r="L1629" t="s">
        <v>5401</v>
      </c>
      <c r="M1629" t="s">
        <v>377</v>
      </c>
      <c r="N1629" s="12">
        <v>198739.62</v>
      </c>
      <c r="O1629" t="s">
        <v>3613</v>
      </c>
      <c r="P1629" s="6" t="s">
        <v>36</v>
      </c>
      <c r="R1629" t="s">
        <v>38</v>
      </c>
      <c r="S1629" s="9">
        <v>3486.66</v>
      </c>
      <c r="T1629" s="9">
        <v>57</v>
      </c>
      <c r="U1629" s="9">
        <v>198739.62</v>
      </c>
      <c r="V1629" s="6" t="s">
        <v>58</v>
      </c>
      <c r="W1629" t="s">
        <v>59</v>
      </c>
      <c r="X1629">
        <v>5262222144</v>
      </c>
      <c r="Y1629">
        <v>526001001</v>
      </c>
      <c r="Z1629" s="3">
        <v>46038.436111111114</v>
      </c>
      <c r="AA1629" s="6">
        <v>2026</v>
      </c>
      <c r="AB1629" s="1">
        <v>46112</v>
      </c>
    </row>
    <row r="1630" spans="1:28" x14ac:dyDescent="0.3">
      <c r="A1630" t="s">
        <v>5402</v>
      </c>
      <c r="B1630" s="6" t="s">
        <v>1145</v>
      </c>
      <c r="C1630" s="6" t="s">
        <v>1146</v>
      </c>
      <c r="D1630">
        <v>6501024966</v>
      </c>
      <c r="E1630">
        <v>650101001</v>
      </c>
      <c r="F1630" t="s">
        <v>149</v>
      </c>
      <c r="G1630" t="s">
        <v>5403</v>
      </c>
      <c r="H1630" s="1">
        <v>46020</v>
      </c>
      <c r="J1630" s="8">
        <v>46035</v>
      </c>
      <c r="K1630" s="1" t="s">
        <v>5367</v>
      </c>
      <c r="L1630" t="s">
        <v>5403</v>
      </c>
      <c r="M1630" t="s">
        <v>377</v>
      </c>
      <c r="N1630" s="12">
        <v>198739.62</v>
      </c>
      <c r="O1630" t="s">
        <v>3613</v>
      </c>
      <c r="P1630" s="6" t="s">
        <v>36</v>
      </c>
      <c r="R1630" t="s">
        <v>38</v>
      </c>
      <c r="S1630" s="9">
        <v>3486.66</v>
      </c>
      <c r="T1630" s="9">
        <v>57</v>
      </c>
      <c r="U1630" s="9">
        <v>198739.62</v>
      </c>
      <c r="V1630" s="6" t="s">
        <v>58</v>
      </c>
      <c r="W1630" t="s">
        <v>59</v>
      </c>
      <c r="X1630">
        <v>5262222144</v>
      </c>
      <c r="Y1630">
        <v>526001001</v>
      </c>
      <c r="Z1630" s="3">
        <v>46038.436111111114</v>
      </c>
      <c r="AA1630" s="6">
        <v>2026</v>
      </c>
      <c r="AB1630" s="1">
        <v>46112</v>
      </c>
    </row>
    <row r="1631" spans="1:28" x14ac:dyDescent="0.3">
      <c r="A1631" t="s">
        <v>5404</v>
      </c>
      <c r="B1631" s="6" t="s">
        <v>862</v>
      </c>
      <c r="C1631" s="6" t="s">
        <v>388</v>
      </c>
      <c r="D1631">
        <v>3810040374</v>
      </c>
      <c r="E1631">
        <v>381001001</v>
      </c>
      <c r="F1631" t="s">
        <v>44</v>
      </c>
      <c r="H1631" s="1">
        <v>46036</v>
      </c>
      <c r="I1631" t="s">
        <v>5405</v>
      </c>
      <c r="J1631" s="8">
        <v>46036</v>
      </c>
      <c r="K1631" s="1" t="s">
        <v>5367</v>
      </c>
      <c r="L1631" t="s">
        <v>5406</v>
      </c>
      <c r="M1631" s="1" t="s">
        <v>5407</v>
      </c>
      <c r="N1631" s="12">
        <v>16968204</v>
      </c>
      <c r="O1631" s="1" t="s">
        <v>5261</v>
      </c>
      <c r="P1631" s="6" t="s">
        <v>36</v>
      </c>
      <c r="R1631" t="s">
        <v>38</v>
      </c>
      <c r="S1631" s="9">
        <v>2673</v>
      </c>
      <c r="T1631" s="9">
        <v>6348</v>
      </c>
      <c r="U1631" s="9">
        <v>16968204</v>
      </c>
      <c r="Z1631" s="3"/>
      <c r="AA1631" s="6">
        <v>2026</v>
      </c>
      <c r="AB1631" s="1">
        <v>46387</v>
      </c>
    </row>
    <row r="1632" spans="1:28" x14ac:dyDescent="0.3">
      <c r="A1632" t="s">
        <v>5408</v>
      </c>
      <c r="B1632" s="6" t="s">
        <v>220</v>
      </c>
      <c r="C1632" s="6" t="s">
        <v>221</v>
      </c>
      <c r="D1632">
        <v>5024068656</v>
      </c>
      <c r="E1632">
        <v>502401001</v>
      </c>
      <c r="F1632" t="s">
        <v>52</v>
      </c>
      <c r="G1632" t="s">
        <v>5409</v>
      </c>
      <c r="H1632" s="1">
        <v>46015</v>
      </c>
      <c r="J1632" s="8">
        <v>46036</v>
      </c>
      <c r="K1632" s="1" t="s">
        <v>5367</v>
      </c>
      <c r="L1632" t="s">
        <v>5409</v>
      </c>
      <c r="M1632" t="s">
        <v>5410</v>
      </c>
      <c r="N1632" s="12">
        <v>264641.52</v>
      </c>
      <c r="O1632" t="s">
        <v>3633</v>
      </c>
      <c r="P1632" s="6" t="s">
        <v>36</v>
      </c>
      <c r="R1632" t="s">
        <v>38</v>
      </c>
      <c r="S1632" s="9">
        <v>3392.84</v>
      </c>
      <c r="T1632" s="9">
        <v>78</v>
      </c>
      <c r="U1632" s="9">
        <v>264641.52</v>
      </c>
      <c r="V1632" s="6" t="s">
        <v>128</v>
      </c>
      <c r="W1632" t="s">
        <v>129</v>
      </c>
      <c r="X1632">
        <v>274110679</v>
      </c>
      <c r="Y1632">
        <v>500801001</v>
      </c>
      <c r="Z1632" s="3">
        <v>46036.595833333333</v>
      </c>
      <c r="AA1632" s="6">
        <v>2026</v>
      </c>
      <c r="AB1632" s="1">
        <v>46079</v>
      </c>
    </row>
    <row r="1633" spans="1:28" x14ac:dyDescent="0.3">
      <c r="A1633" t="s">
        <v>5411</v>
      </c>
      <c r="B1633" s="6" t="s">
        <v>524</v>
      </c>
      <c r="C1633" s="6" t="s">
        <v>525</v>
      </c>
      <c r="D1633">
        <v>721060278</v>
      </c>
      <c r="E1633">
        <v>72501001</v>
      </c>
      <c r="F1633" t="s">
        <v>149</v>
      </c>
      <c r="G1633" t="s">
        <v>5412</v>
      </c>
      <c r="H1633" s="1">
        <v>46022</v>
      </c>
      <c r="J1633" s="8">
        <v>46036</v>
      </c>
      <c r="K1633" s="1" t="s">
        <v>5367</v>
      </c>
      <c r="L1633" t="s">
        <v>5413</v>
      </c>
      <c r="M1633" t="s">
        <v>377</v>
      </c>
      <c r="N1633" s="12">
        <v>2756500</v>
      </c>
      <c r="O1633" t="s">
        <v>3633</v>
      </c>
      <c r="P1633" s="6" t="s">
        <v>36</v>
      </c>
      <c r="R1633" t="s">
        <v>38</v>
      </c>
      <c r="S1633" s="9">
        <v>3700</v>
      </c>
      <c r="T1633" s="9">
        <v>745</v>
      </c>
      <c r="U1633" s="9">
        <v>2756500</v>
      </c>
      <c r="V1633" s="6" t="s">
        <v>39</v>
      </c>
      <c r="W1633" t="s">
        <v>40</v>
      </c>
      <c r="X1633">
        <v>7810687137</v>
      </c>
      <c r="Y1633">
        <v>781401001</v>
      </c>
      <c r="Z1633" s="3">
        <v>46036.582638888889</v>
      </c>
      <c r="AA1633" s="6">
        <v>2026</v>
      </c>
      <c r="AB1633" s="1">
        <v>46387</v>
      </c>
    </row>
    <row r="1634" spans="1:28" x14ac:dyDescent="0.3">
      <c r="A1634" t="s">
        <v>5414</v>
      </c>
      <c r="B1634" s="6" t="s">
        <v>220</v>
      </c>
      <c r="C1634" s="6" t="s">
        <v>221</v>
      </c>
      <c r="D1634">
        <v>5024068656</v>
      </c>
      <c r="E1634">
        <v>502401001</v>
      </c>
      <c r="F1634" t="s">
        <v>52</v>
      </c>
      <c r="G1634" t="s">
        <v>5415</v>
      </c>
      <c r="H1634" s="1">
        <v>46013</v>
      </c>
      <c r="J1634" s="8">
        <v>46036</v>
      </c>
      <c r="K1634" s="1" t="s">
        <v>5367</v>
      </c>
      <c r="L1634" t="s">
        <v>5415</v>
      </c>
      <c r="M1634" t="s">
        <v>5416</v>
      </c>
      <c r="N1634" s="12">
        <v>531000</v>
      </c>
      <c r="O1634" t="s">
        <v>3643</v>
      </c>
      <c r="P1634" s="6" t="s">
        <v>1814</v>
      </c>
      <c r="R1634" t="s">
        <v>38</v>
      </c>
      <c r="S1634" s="9">
        <v>5900</v>
      </c>
      <c r="T1634" s="9">
        <v>90</v>
      </c>
      <c r="U1634" s="9">
        <v>531000</v>
      </c>
      <c r="V1634" s="6" t="s">
        <v>545</v>
      </c>
      <c r="W1634" t="s">
        <v>40</v>
      </c>
      <c r="X1634">
        <v>7713655588</v>
      </c>
      <c r="Y1634">
        <v>773001001</v>
      </c>
      <c r="Z1634" s="3">
        <v>46036.568055555559</v>
      </c>
      <c r="AA1634" s="6">
        <v>2026</v>
      </c>
      <c r="AB1634" s="1">
        <v>46096</v>
      </c>
    </row>
    <row r="1635" spans="1:28" x14ac:dyDescent="0.3">
      <c r="A1635" t="s">
        <v>5417</v>
      </c>
      <c r="B1635" s="6" t="s">
        <v>857</v>
      </c>
      <c r="C1635" s="6" t="s">
        <v>388</v>
      </c>
      <c r="D1635">
        <v>3808172327</v>
      </c>
      <c r="E1635">
        <v>380801001</v>
      </c>
      <c r="F1635" t="s">
        <v>149</v>
      </c>
      <c r="G1635" t="s">
        <v>5418</v>
      </c>
      <c r="H1635" s="1">
        <v>46021</v>
      </c>
      <c r="I1635" t="s">
        <v>5419</v>
      </c>
      <c r="J1635" s="8">
        <v>46036</v>
      </c>
      <c r="K1635" s="1" t="s">
        <v>5367</v>
      </c>
      <c r="L1635" t="s">
        <v>5420</v>
      </c>
      <c r="M1635" t="s">
        <v>377</v>
      </c>
      <c r="N1635" s="12">
        <v>4999050</v>
      </c>
      <c r="O1635" t="s">
        <v>5421</v>
      </c>
      <c r="P1635" s="6" t="s">
        <v>36</v>
      </c>
      <c r="R1635" t="s">
        <v>38</v>
      </c>
      <c r="S1635" s="9">
        <v>3150</v>
      </c>
      <c r="T1635" s="9">
        <v>1587</v>
      </c>
      <c r="U1635" s="9">
        <v>4999050</v>
      </c>
      <c r="V1635" s="6" t="s">
        <v>862</v>
      </c>
      <c r="W1635" t="s">
        <v>863</v>
      </c>
      <c r="X1635">
        <v>3810040374</v>
      </c>
      <c r="Y1635">
        <v>381001001</v>
      </c>
      <c r="Z1635" s="3">
        <v>46036.302083333336</v>
      </c>
      <c r="AA1635" s="6">
        <v>2026</v>
      </c>
      <c r="AB1635" s="1">
        <v>46387</v>
      </c>
    </row>
    <row r="1636" spans="1:28" x14ac:dyDescent="0.3">
      <c r="A1636" t="s">
        <v>5422</v>
      </c>
      <c r="B1636" s="6" t="s">
        <v>857</v>
      </c>
      <c r="C1636" s="6" t="s">
        <v>388</v>
      </c>
      <c r="D1636">
        <v>3808172327</v>
      </c>
      <c r="E1636">
        <v>380801001</v>
      </c>
      <c r="F1636" t="s">
        <v>149</v>
      </c>
      <c r="G1636" t="s">
        <v>5423</v>
      </c>
      <c r="H1636" s="1">
        <v>46021</v>
      </c>
      <c r="I1636" t="s">
        <v>5419</v>
      </c>
      <c r="J1636" s="8">
        <v>46036</v>
      </c>
      <c r="K1636" s="1" t="s">
        <v>5367</v>
      </c>
      <c r="L1636" t="s">
        <v>5424</v>
      </c>
      <c r="M1636" t="s">
        <v>377</v>
      </c>
      <c r="N1636" s="12">
        <v>4999050</v>
      </c>
      <c r="O1636" t="s">
        <v>5421</v>
      </c>
      <c r="P1636" s="6" t="s">
        <v>36</v>
      </c>
      <c r="R1636" t="s">
        <v>38</v>
      </c>
      <c r="S1636" s="9">
        <v>3150</v>
      </c>
      <c r="T1636" s="9">
        <v>1587</v>
      </c>
      <c r="U1636" s="9">
        <v>4999050</v>
      </c>
      <c r="V1636" s="6" t="s">
        <v>862</v>
      </c>
      <c r="W1636" t="s">
        <v>863</v>
      </c>
      <c r="X1636">
        <v>3810040374</v>
      </c>
      <c r="Y1636">
        <v>381001001</v>
      </c>
      <c r="Z1636" s="3">
        <v>46036.300694444442</v>
      </c>
      <c r="AA1636" s="6">
        <v>2026</v>
      </c>
      <c r="AB1636" s="1">
        <v>46387</v>
      </c>
    </row>
    <row r="1637" spans="1:28" x14ac:dyDescent="0.3">
      <c r="A1637" t="s">
        <v>5425</v>
      </c>
      <c r="B1637" s="6" t="s">
        <v>857</v>
      </c>
      <c r="C1637" s="6" t="s">
        <v>388</v>
      </c>
      <c r="D1637">
        <v>3808172327</v>
      </c>
      <c r="E1637">
        <v>380801001</v>
      </c>
      <c r="F1637" t="s">
        <v>149</v>
      </c>
      <c r="G1637" t="s">
        <v>5426</v>
      </c>
      <c r="H1637" s="1">
        <v>46021</v>
      </c>
      <c r="I1637" t="s">
        <v>5419</v>
      </c>
      <c r="J1637" s="8">
        <v>46036</v>
      </c>
      <c r="K1637" s="1" t="s">
        <v>5367</v>
      </c>
      <c r="L1637" t="s">
        <v>5427</v>
      </c>
      <c r="M1637" t="s">
        <v>377</v>
      </c>
      <c r="N1637" s="12">
        <v>4999050</v>
      </c>
      <c r="O1637" t="s">
        <v>5421</v>
      </c>
      <c r="P1637" s="6" t="s">
        <v>36</v>
      </c>
      <c r="R1637" t="s">
        <v>38</v>
      </c>
      <c r="S1637" s="9">
        <v>3150</v>
      </c>
      <c r="T1637" s="9">
        <v>1587</v>
      </c>
      <c r="U1637" s="9">
        <v>4999050</v>
      </c>
      <c r="V1637" s="6" t="s">
        <v>862</v>
      </c>
      <c r="W1637" t="s">
        <v>863</v>
      </c>
      <c r="X1637">
        <v>3810040374</v>
      </c>
      <c r="Y1637">
        <v>381001001</v>
      </c>
      <c r="Z1637" s="3">
        <v>46036.296527777777</v>
      </c>
      <c r="AA1637" s="6">
        <v>2026</v>
      </c>
      <c r="AB1637" s="1">
        <v>46387</v>
      </c>
    </row>
    <row r="1638" spans="1:28" x14ac:dyDescent="0.3">
      <c r="A1638" t="s">
        <v>5428</v>
      </c>
      <c r="B1638" s="6" t="s">
        <v>857</v>
      </c>
      <c r="C1638" s="6" t="s">
        <v>388</v>
      </c>
      <c r="D1638">
        <v>3808172327</v>
      </c>
      <c r="E1638">
        <v>380801001</v>
      </c>
      <c r="F1638" t="s">
        <v>149</v>
      </c>
      <c r="G1638" t="s">
        <v>5429</v>
      </c>
      <c r="H1638" s="1">
        <v>46021</v>
      </c>
      <c r="I1638" t="s">
        <v>5419</v>
      </c>
      <c r="J1638" s="8">
        <v>46036</v>
      </c>
      <c r="K1638" s="1" t="s">
        <v>5367</v>
      </c>
      <c r="L1638" t="s">
        <v>5430</v>
      </c>
      <c r="M1638" t="s">
        <v>377</v>
      </c>
      <c r="N1638" s="12">
        <v>4999050</v>
      </c>
      <c r="O1638" t="s">
        <v>5421</v>
      </c>
      <c r="P1638" s="6" t="s">
        <v>36</v>
      </c>
      <c r="R1638" t="s">
        <v>38</v>
      </c>
      <c r="S1638" s="9">
        <v>3150</v>
      </c>
      <c r="T1638" s="9">
        <v>1587</v>
      </c>
      <c r="U1638" s="9">
        <v>4999050</v>
      </c>
      <c r="V1638" s="6" t="s">
        <v>862</v>
      </c>
      <c r="W1638" t="s">
        <v>863</v>
      </c>
      <c r="X1638">
        <v>3810040374</v>
      </c>
      <c r="Y1638">
        <v>381001001</v>
      </c>
      <c r="Z1638" s="3">
        <v>46036.293055555558</v>
      </c>
      <c r="AA1638" s="6">
        <v>2026</v>
      </c>
      <c r="AB1638" s="1">
        <v>46387</v>
      </c>
    </row>
    <row r="1639" spans="1:28" x14ac:dyDescent="0.3">
      <c r="A1639" t="s">
        <v>5431</v>
      </c>
      <c r="B1639" s="6" t="s">
        <v>1145</v>
      </c>
      <c r="C1639" s="6" t="s">
        <v>1146</v>
      </c>
      <c r="D1639">
        <v>6501024966</v>
      </c>
      <c r="E1639">
        <v>650101001</v>
      </c>
      <c r="F1639" t="s">
        <v>52</v>
      </c>
      <c r="G1639" t="s">
        <v>5432</v>
      </c>
      <c r="H1639" s="1">
        <v>46016</v>
      </c>
      <c r="J1639" s="8">
        <v>46036</v>
      </c>
      <c r="K1639" s="1" t="s">
        <v>5367</v>
      </c>
      <c r="L1639" t="s">
        <v>5432</v>
      </c>
      <c r="M1639" t="s">
        <v>5433</v>
      </c>
      <c r="N1639" s="12">
        <v>6296907.96</v>
      </c>
      <c r="O1639" t="s">
        <v>3633</v>
      </c>
      <c r="P1639" s="6" t="s">
        <v>36</v>
      </c>
      <c r="R1639" t="s">
        <v>38</v>
      </c>
      <c r="S1639" s="9">
        <v>3486.66</v>
      </c>
      <c r="T1639" s="9">
        <v>1806</v>
      </c>
      <c r="U1639" s="9">
        <v>6296907.96</v>
      </c>
      <c r="V1639" s="6" t="s">
        <v>111</v>
      </c>
      <c r="W1639" t="s">
        <v>59</v>
      </c>
      <c r="X1639">
        <v>5262258091</v>
      </c>
      <c r="Y1639">
        <v>526001001</v>
      </c>
      <c r="Z1639" s="3">
        <v>46041.076388888891</v>
      </c>
      <c r="AA1639" s="6">
        <v>2026</v>
      </c>
      <c r="AB1639" s="1">
        <v>46110</v>
      </c>
    </row>
    <row r="1640" spans="1:28" x14ac:dyDescent="0.3">
      <c r="A1640" t="s">
        <v>5434</v>
      </c>
      <c r="B1640" s="6" t="s">
        <v>220</v>
      </c>
      <c r="C1640" s="6" t="s">
        <v>221</v>
      </c>
      <c r="D1640">
        <v>5024068656</v>
      </c>
      <c r="E1640">
        <v>502401001</v>
      </c>
      <c r="F1640" t="s">
        <v>52</v>
      </c>
      <c r="G1640" t="s">
        <v>5435</v>
      </c>
      <c r="H1640" s="1">
        <v>46014</v>
      </c>
      <c r="J1640" s="8">
        <v>46037</v>
      </c>
      <c r="K1640" s="1" t="s">
        <v>5367</v>
      </c>
      <c r="L1640" t="s">
        <v>5435</v>
      </c>
      <c r="M1640" t="s">
        <v>5436</v>
      </c>
      <c r="N1640" s="12">
        <v>108352134.3</v>
      </c>
      <c r="O1640" t="s">
        <v>3633</v>
      </c>
      <c r="P1640" s="6" t="s">
        <v>36</v>
      </c>
      <c r="R1640" t="s">
        <v>38</v>
      </c>
      <c r="S1640" s="9">
        <v>1911.24</v>
      </c>
      <c r="T1640" s="9">
        <v>56692</v>
      </c>
      <c r="U1640" s="9">
        <v>108352134.3</v>
      </c>
      <c r="V1640" s="6" t="s">
        <v>128</v>
      </c>
      <c r="W1640" t="s">
        <v>129</v>
      </c>
      <c r="X1640" s="4">
        <v>274110679</v>
      </c>
      <c r="Y1640">
        <v>500801001</v>
      </c>
      <c r="Z1640" s="3">
        <v>46037.61041666667</v>
      </c>
      <c r="AA1640" s="6">
        <v>2026</v>
      </c>
      <c r="AB1640" s="1">
        <v>46087</v>
      </c>
    </row>
    <row r="1641" spans="1:28" x14ac:dyDescent="0.3">
      <c r="A1641" t="s">
        <v>5437</v>
      </c>
      <c r="B1641" s="6" t="s">
        <v>924</v>
      </c>
      <c r="C1641" s="6" t="s">
        <v>925</v>
      </c>
      <c r="D1641">
        <v>4205349664</v>
      </c>
      <c r="E1641">
        <v>420501001</v>
      </c>
      <c r="F1641" t="s">
        <v>52</v>
      </c>
      <c r="G1641" t="s">
        <v>5438</v>
      </c>
      <c r="H1641" s="1">
        <v>46020</v>
      </c>
      <c r="I1641" t="s">
        <v>5439</v>
      </c>
      <c r="J1641" s="8">
        <v>46037</v>
      </c>
      <c r="K1641" s="1" t="s">
        <v>5367</v>
      </c>
      <c r="L1641" t="s">
        <v>5440</v>
      </c>
      <c r="M1641" t="s">
        <v>179</v>
      </c>
      <c r="N1641" s="12">
        <v>113400</v>
      </c>
      <c r="O1641" t="s">
        <v>3745</v>
      </c>
      <c r="P1641" s="6" t="s">
        <v>2277</v>
      </c>
      <c r="R1641" t="s">
        <v>38</v>
      </c>
      <c r="S1641" s="9">
        <v>2700</v>
      </c>
      <c r="T1641" s="9">
        <v>42</v>
      </c>
      <c r="U1641" s="9">
        <v>113400</v>
      </c>
      <c r="V1641" s="6" t="s">
        <v>111</v>
      </c>
      <c r="W1641" t="s">
        <v>59</v>
      </c>
      <c r="X1641">
        <v>5262258091</v>
      </c>
      <c r="Y1641">
        <v>526001001</v>
      </c>
      <c r="Z1641" s="3">
        <v>46037.406944444447</v>
      </c>
      <c r="AA1641" s="6">
        <v>2026</v>
      </c>
      <c r="AB1641" s="1">
        <v>46387</v>
      </c>
    </row>
    <row r="1642" spans="1:28" x14ac:dyDescent="0.3">
      <c r="A1642" t="s">
        <v>5441</v>
      </c>
      <c r="B1642" s="6" t="s">
        <v>554</v>
      </c>
      <c r="C1642" s="6" t="s">
        <v>555</v>
      </c>
      <c r="D1642">
        <v>7453135827</v>
      </c>
      <c r="E1642">
        <v>745301001</v>
      </c>
      <c r="F1642" t="s">
        <v>52</v>
      </c>
      <c r="G1642" t="s">
        <v>5442</v>
      </c>
      <c r="H1642" s="1">
        <v>46020</v>
      </c>
      <c r="J1642" s="8">
        <v>46038</v>
      </c>
      <c r="K1642" s="1" t="s">
        <v>5367</v>
      </c>
      <c r="L1642" t="s">
        <v>5443</v>
      </c>
      <c r="M1642" t="s">
        <v>5444</v>
      </c>
      <c r="N1642" s="12">
        <v>719999.42</v>
      </c>
      <c r="O1642" t="s">
        <v>5445</v>
      </c>
      <c r="P1642" s="6" t="s">
        <v>1814</v>
      </c>
      <c r="R1642" t="s">
        <v>66</v>
      </c>
      <c r="S1642" s="9">
        <v>6101.69</v>
      </c>
      <c r="T1642" s="9">
        <v>118</v>
      </c>
      <c r="U1642" s="9">
        <v>719999.42</v>
      </c>
      <c r="V1642" s="6" t="s">
        <v>4695</v>
      </c>
      <c r="W1642" t="s">
        <v>4696</v>
      </c>
      <c r="X1642">
        <v>9717006926</v>
      </c>
      <c r="Y1642">
        <v>771701001</v>
      </c>
      <c r="Z1642" s="3">
        <v>46042.601388888892</v>
      </c>
      <c r="AA1642" s="6">
        <v>2026</v>
      </c>
      <c r="AB1642" s="1">
        <v>46112</v>
      </c>
    </row>
    <row r="1643" spans="1:28" x14ac:dyDescent="0.3">
      <c r="A1643" t="s">
        <v>5446</v>
      </c>
      <c r="B1643" s="6" t="s">
        <v>104</v>
      </c>
      <c r="C1643" s="6" t="s">
        <v>105</v>
      </c>
      <c r="D1643">
        <v>6660010415</v>
      </c>
      <c r="E1643">
        <v>667101001</v>
      </c>
      <c r="F1643" t="s">
        <v>52</v>
      </c>
      <c r="G1643" t="s">
        <v>5447</v>
      </c>
      <c r="H1643" s="1">
        <v>46020</v>
      </c>
      <c r="J1643" s="8">
        <v>46038</v>
      </c>
      <c r="K1643" s="1" t="s">
        <v>5367</v>
      </c>
      <c r="L1643" t="s">
        <v>5448</v>
      </c>
      <c r="M1643" t="s">
        <v>377</v>
      </c>
      <c r="N1643" s="12">
        <v>38001600</v>
      </c>
      <c r="O1643" t="s">
        <v>3624</v>
      </c>
      <c r="P1643" s="6" t="s">
        <v>891</v>
      </c>
      <c r="Q1643" t="s">
        <v>37</v>
      </c>
      <c r="R1643" t="s">
        <v>38</v>
      </c>
      <c r="S1643" s="9">
        <v>2900</v>
      </c>
      <c r="T1643" s="9">
        <v>3000</v>
      </c>
      <c r="U1643" s="9">
        <v>8700000</v>
      </c>
      <c r="V1643" s="6" t="s">
        <v>58</v>
      </c>
      <c r="W1643" t="s">
        <v>59</v>
      </c>
      <c r="X1643">
        <v>5262222144</v>
      </c>
      <c r="Y1643">
        <v>526001001</v>
      </c>
      <c r="Z1643" s="3">
        <v>46041.578472222223</v>
      </c>
      <c r="AA1643" s="6">
        <v>2026</v>
      </c>
      <c r="AB1643" s="1">
        <v>46387</v>
      </c>
    </row>
    <row r="1644" spans="1:28" x14ac:dyDescent="0.3">
      <c r="A1644" t="s">
        <v>5446</v>
      </c>
      <c r="B1644" s="6" t="s">
        <v>104</v>
      </c>
      <c r="C1644" s="6" t="s">
        <v>105</v>
      </c>
      <c r="D1644">
        <v>6660010415</v>
      </c>
      <c r="E1644">
        <v>667101001</v>
      </c>
      <c r="F1644" t="s">
        <v>52</v>
      </c>
      <c r="G1644" t="s">
        <v>5447</v>
      </c>
      <c r="H1644" s="1">
        <v>46020</v>
      </c>
      <c r="J1644" s="8">
        <v>46038</v>
      </c>
      <c r="K1644" s="1" t="s">
        <v>5367</v>
      </c>
      <c r="L1644" t="s">
        <v>5448</v>
      </c>
      <c r="M1644" t="s">
        <v>377</v>
      </c>
      <c r="N1644" s="12">
        <v>38001600</v>
      </c>
      <c r="O1644" t="s">
        <v>3745</v>
      </c>
      <c r="P1644" s="6" t="s">
        <v>2277</v>
      </c>
      <c r="Q1644" t="s">
        <v>37</v>
      </c>
      <c r="R1644" t="s">
        <v>38</v>
      </c>
      <c r="S1644" s="9">
        <v>2900</v>
      </c>
      <c r="T1644" s="9">
        <v>2000</v>
      </c>
      <c r="U1644" s="9">
        <v>5800000</v>
      </c>
      <c r="V1644" s="6" t="s">
        <v>58</v>
      </c>
      <c r="W1644" t="s">
        <v>59</v>
      </c>
      <c r="X1644">
        <v>5262222144</v>
      </c>
      <c r="Y1644">
        <v>526001001</v>
      </c>
      <c r="Z1644" s="3">
        <v>46041.578472222223</v>
      </c>
      <c r="AA1644" s="6">
        <v>2026</v>
      </c>
      <c r="AB1644" s="1">
        <v>46387</v>
      </c>
    </row>
    <row r="1645" spans="1:28" x14ac:dyDescent="0.3">
      <c r="A1645" t="s">
        <v>5446</v>
      </c>
      <c r="B1645" s="6" t="s">
        <v>104</v>
      </c>
      <c r="C1645" s="6" t="s">
        <v>105</v>
      </c>
      <c r="D1645">
        <v>6660010415</v>
      </c>
      <c r="E1645">
        <v>667101001</v>
      </c>
      <c r="F1645" t="s">
        <v>52</v>
      </c>
      <c r="G1645" t="s">
        <v>5447</v>
      </c>
      <c r="H1645" s="1">
        <v>46020</v>
      </c>
      <c r="J1645" s="8">
        <v>46038</v>
      </c>
      <c r="K1645" s="1" t="s">
        <v>5367</v>
      </c>
      <c r="L1645" t="s">
        <v>5448</v>
      </c>
      <c r="M1645" t="s">
        <v>377</v>
      </c>
      <c r="N1645" s="12">
        <v>38001600</v>
      </c>
      <c r="O1645" t="s">
        <v>3633</v>
      </c>
      <c r="P1645" s="6" t="s">
        <v>36</v>
      </c>
      <c r="Q1645" t="s">
        <v>37</v>
      </c>
      <c r="R1645" t="s">
        <v>38</v>
      </c>
      <c r="S1645" s="9">
        <v>2900</v>
      </c>
      <c r="T1645" s="9">
        <v>8104</v>
      </c>
      <c r="U1645" s="9">
        <v>23501600</v>
      </c>
      <c r="V1645" s="6" t="s">
        <v>58</v>
      </c>
      <c r="W1645" t="s">
        <v>59</v>
      </c>
      <c r="X1645">
        <v>5262222144</v>
      </c>
      <c r="Y1645">
        <v>526001001</v>
      </c>
      <c r="Z1645" s="3">
        <v>46041.578472222223</v>
      </c>
      <c r="AA1645" s="6">
        <v>2026</v>
      </c>
      <c r="AB1645" s="1">
        <v>46387</v>
      </c>
    </row>
    <row r="1646" spans="1:28" x14ac:dyDescent="0.3">
      <c r="A1646" t="s">
        <v>5449</v>
      </c>
      <c r="B1646" s="6" t="s">
        <v>220</v>
      </c>
      <c r="C1646" s="6" t="s">
        <v>221</v>
      </c>
      <c r="D1646">
        <v>5024068656</v>
      </c>
      <c r="E1646">
        <v>502401001</v>
      </c>
      <c r="F1646" t="s">
        <v>52</v>
      </c>
      <c r="G1646" t="s">
        <v>5450</v>
      </c>
      <c r="H1646" s="1">
        <v>46015</v>
      </c>
      <c r="I1646" t="s">
        <v>5376</v>
      </c>
      <c r="J1646" s="8">
        <v>46038</v>
      </c>
      <c r="K1646" s="1" t="s">
        <v>5367</v>
      </c>
      <c r="L1646" t="s">
        <v>5450</v>
      </c>
      <c r="M1646" t="s">
        <v>5451</v>
      </c>
      <c r="N1646" s="12">
        <v>2442698.7000000002</v>
      </c>
      <c r="O1646" t="s">
        <v>3643</v>
      </c>
      <c r="P1646" s="6" t="s">
        <v>1814</v>
      </c>
      <c r="R1646" t="s">
        <v>38</v>
      </c>
      <c r="S1646" s="9">
        <v>6263.33</v>
      </c>
      <c r="T1646" s="9">
        <v>390</v>
      </c>
      <c r="U1646" s="9">
        <v>2442698.7000000002</v>
      </c>
      <c r="V1646" s="6" t="s">
        <v>4628</v>
      </c>
      <c r="W1646" t="s">
        <v>5452</v>
      </c>
      <c r="X1646">
        <v>7728732370</v>
      </c>
      <c r="Y1646">
        <v>772801001</v>
      </c>
      <c r="Z1646" s="3">
        <v>46038.568055555559</v>
      </c>
      <c r="AA1646" s="6">
        <v>2026</v>
      </c>
      <c r="AB1646" s="1">
        <v>46088</v>
      </c>
    </row>
    <row r="1647" spans="1:28" x14ac:dyDescent="0.3">
      <c r="A1647" t="s">
        <v>5453</v>
      </c>
      <c r="B1647" s="6" t="s">
        <v>1145</v>
      </c>
      <c r="C1647" s="6" t="s">
        <v>555</v>
      </c>
      <c r="D1647">
        <v>6501024966</v>
      </c>
      <c r="E1647">
        <v>650101001</v>
      </c>
      <c r="F1647" t="s">
        <v>52</v>
      </c>
      <c r="G1647" t="s">
        <v>5454</v>
      </c>
      <c r="H1647" s="1">
        <v>46016</v>
      </c>
      <c r="J1647" s="8">
        <v>46041</v>
      </c>
      <c r="K1647" s="1" t="s">
        <v>5367</v>
      </c>
      <c r="L1647" t="s">
        <v>5455</v>
      </c>
      <c r="M1647" t="s">
        <v>5456</v>
      </c>
      <c r="N1647" s="12">
        <v>4556832.87</v>
      </c>
      <c r="O1647" t="s">
        <v>3613</v>
      </c>
      <c r="P1647" s="6" t="s">
        <v>5457</v>
      </c>
      <c r="R1647" t="s">
        <v>38</v>
      </c>
      <c r="S1647" s="9">
        <v>3294.89</v>
      </c>
      <c r="T1647" s="9">
        <v>1383</v>
      </c>
      <c r="U1647" s="9">
        <v>4556832.87</v>
      </c>
      <c r="V1647" s="6" t="s">
        <v>5458</v>
      </c>
      <c r="W1647" t="s">
        <v>5459</v>
      </c>
      <c r="X1647">
        <v>784813243896</v>
      </c>
      <c r="Z1647" s="3">
        <v>46044.538194444445</v>
      </c>
      <c r="AA1647" s="6">
        <v>2026</v>
      </c>
      <c r="AB1647" s="1">
        <v>46115</v>
      </c>
    </row>
    <row r="1648" spans="1:28" x14ac:dyDescent="0.3">
      <c r="A1648" t="s">
        <v>5460</v>
      </c>
      <c r="B1648" s="6" t="s">
        <v>1317</v>
      </c>
      <c r="C1648" s="6" t="s">
        <v>380</v>
      </c>
      <c r="D1648">
        <v>4700001180</v>
      </c>
      <c r="E1648">
        <v>784201001</v>
      </c>
      <c r="F1648" t="s">
        <v>52</v>
      </c>
      <c r="G1648" t="s">
        <v>5461</v>
      </c>
      <c r="H1648" s="1">
        <v>46021</v>
      </c>
      <c r="J1648" s="8">
        <v>46041</v>
      </c>
      <c r="K1648" s="1" t="s">
        <v>5367</v>
      </c>
      <c r="L1648" t="s">
        <v>5462</v>
      </c>
      <c r="M1648" t="s">
        <v>5463</v>
      </c>
      <c r="N1648" s="12">
        <v>17898299.5</v>
      </c>
      <c r="O1648" t="s">
        <v>3648</v>
      </c>
      <c r="P1648" s="6" t="s">
        <v>2277</v>
      </c>
      <c r="R1648" t="s">
        <v>38</v>
      </c>
      <c r="S1648" s="9">
        <v>2774.5</v>
      </c>
      <c r="T1648" s="9">
        <v>6451</v>
      </c>
      <c r="U1648" s="9">
        <v>17898299.5</v>
      </c>
      <c r="V1648" s="6" t="s">
        <v>5464</v>
      </c>
      <c r="W1648" t="s">
        <v>5465</v>
      </c>
      <c r="X1648">
        <v>9706000111</v>
      </c>
      <c r="Y1648">
        <v>772501001</v>
      </c>
      <c r="Z1648" s="3">
        <v>46042.634027777778</v>
      </c>
      <c r="AA1648" s="6">
        <v>2026</v>
      </c>
      <c r="AB1648" s="1">
        <v>46234</v>
      </c>
    </row>
    <row r="1649" spans="1:28" x14ac:dyDescent="0.3">
      <c r="A1649" t="s">
        <v>5466</v>
      </c>
      <c r="B1649" s="6" t="s">
        <v>924</v>
      </c>
      <c r="C1649" s="6" t="s">
        <v>925</v>
      </c>
      <c r="D1649">
        <v>4205349664</v>
      </c>
      <c r="E1649">
        <v>420501001</v>
      </c>
      <c r="F1649" t="s">
        <v>52</v>
      </c>
      <c r="G1649" t="s">
        <v>5467</v>
      </c>
      <c r="H1649" s="1">
        <v>46020</v>
      </c>
      <c r="J1649" s="8">
        <v>46041</v>
      </c>
      <c r="K1649" s="1" t="s">
        <v>5367</v>
      </c>
      <c r="L1649" t="s">
        <v>5468</v>
      </c>
      <c r="M1649" t="s">
        <v>179</v>
      </c>
      <c r="N1649" s="12">
        <v>17023500</v>
      </c>
      <c r="O1649" t="s">
        <v>3633</v>
      </c>
      <c r="P1649" s="6" t="s">
        <v>36</v>
      </c>
      <c r="R1649" t="s">
        <v>38</v>
      </c>
      <c r="S1649" s="9">
        <v>2700</v>
      </c>
      <c r="T1649" s="9">
        <v>6305</v>
      </c>
      <c r="U1649" s="9">
        <v>17023500</v>
      </c>
      <c r="V1649" s="6" t="s">
        <v>111</v>
      </c>
      <c r="W1649" t="s">
        <v>59</v>
      </c>
      <c r="X1649">
        <v>5262258091</v>
      </c>
      <c r="Y1649">
        <v>526001001</v>
      </c>
      <c r="Z1649" s="3">
        <v>46041.36041666667</v>
      </c>
      <c r="AA1649" s="6">
        <v>2026</v>
      </c>
      <c r="AB1649" s="1">
        <v>46387</v>
      </c>
    </row>
    <row r="1650" spans="1:28" x14ac:dyDescent="0.3">
      <c r="A1650" t="s">
        <v>5469</v>
      </c>
      <c r="B1650" s="6" t="s">
        <v>524</v>
      </c>
      <c r="C1650" s="6" t="s">
        <v>525</v>
      </c>
      <c r="D1650">
        <v>721060278</v>
      </c>
      <c r="E1650">
        <v>72501001</v>
      </c>
      <c r="F1650" t="s">
        <v>149</v>
      </c>
      <c r="G1650" t="s">
        <v>5470</v>
      </c>
      <c r="H1650" s="1">
        <v>46036</v>
      </c>
      <c r="I1650" t="s">
        <v>5471</v>
      </c>
      <c r="J1650" s="8">
        <v>46041</v>
      </c>
      <c r="K1650" s="1" t="s">
        <v>5367</v>
      </c>
      <c r="L1650" t="s">
        <v>5472</v>
      </c>
      <c r="M1650" t="s">
        <v>377</v>
      </c>
      <c r="N1650" s="12">
        <v>4995000</v>
      </c>
      <c r="O1650" t="s">
        <v>3633</v>
      </c>
      <c r="P1650" s="6" t="s">
        <v>36</v>
      </c>
      <c r="R1650" t="s">
        <v>38</v>
      </c>
      <c r="S1650" s="9">
        <v>3700</v>
      </c>
      <c r="T1650" s="9">
        <v>1350</v>
      </c>
      <c r="U1650" s="9">
        <v>4995000</v>
      </c>
      <c r="V1650" s="6" t="s">
        <v>39</v>
      </c>
      <c r="W1650" t="s">
        <v>40</v>
      </c>
      <c r="X1650">
        <v>7810687137</v>
      </c>
      <c r="Y1650">
        <v>781401001</v>
      </c>
      <c r="Z1650" s="3">
        <v>46041.09652777778</v>
      </c>
      <c r="AA1650" s="6">
        <v>2026</v>
      </c>
      <c r="AB1650" s="1">
        <v>46386</v>
      </c>
    </row>
    <row r="1651" spans="1:28" x14ac:dyDescent="0.3">
      <c r="A1651" t="s">
        <v>5473</v>
      </c>
      <c r="B1651" s="6" t="s">
        <v>524</v>
      </c>
      <c r="C1651" s="6" t="s">
        <v>525</v>
      </c>
      <c r="D1651">
        <v>721060278</v>
      </c>
      <c r="E1651">
        <v>72501001</v>
      </c>
      <c r="F1651" t="s">
        <v>149</v>
      </c>
      <c r="G1651" t="s">
        <v>5474</v>
      </c>
      <c r="H1651" s="1">
        <v>46036</v>
      </c>
      <c r="I1651" t="s">
        <v>5471</v>
      </c>
      <c r="J1651" s="8">
        <v>46041</v>
      </c>
      <c r="K1651" s="1" t="s">
        <v>5367</v>
      </c>
      <c r="L1651" t="s">
        <v>5475</v>
      </c>
      <c r="M1651" t="s">
        <v>377</v>
      </c>
      <c r="N1651" s="12">
        <v>4995000</v>
      </c>
      <c r="O1651" t="s">
        <v>3633</v>
      </c>
      <c r="P1651" s="6" t="s">
        <v>36</v>
      </c>
      <c r="R1651" t="s">
        <v>38</v>
      </c>
      <c r="S1651" s="9">
        <v>3700</v>
      </c>
      <c r="T1651" s="9">
        <v>1350</v>
      </c>
      <c r="U1651" s="9">
        <v>4995000</v>
      </c>
      <c r="V1651" s="6" t="s">
        <v>39</v>
      </c>
      <c r="W1651" t="s">
        <v>40</v>
      </c>
      <c r="X1651">
        <v>7810687137</v>
      </c>
      <c r="Y1651">
        <v>781401001</v>
      </c>
      <c r="Z1651" s="3">
        <v>46041.087500000001</v>
      </c>
      <c r="AA1651" s="6">
        <v>2026</v>
      </c>
      <c r="AB1651" s="1">
        <v>46386</v>
      </c>
    </row>
    <row r="1652" spans="1:28" x14ac:dyDescent="0.3">
      <c r="A1652" t="s">
        <v>5476</v>
      </c>
      <c r="B1652" s="6" t="s">
        <v>524</v>
      </c>
      <c r="C1652" s="6" t="s">
        <v>525</v>
      </c>
      <c r="D1652">
        <v>721060278</v>
      </c>
      <c r="E1652">
        <v>72501001</v>
      </c>
      <c r="F1652" t="s">
        <v>149</v>
      </c>
      <c r="G1652" t="s">
        <v>5477</v>
      </c>
      <c r="H1652" s="1">
        <v>46036</v>
      </c>
      <c r="I1652" t="s">
        <v>5471</v>
      </c>
      <c r="J1652" s="8">
        <v>46041</v>
      </c>
      <c r="K1652" s="1" t="s">
        <v>5367</v>
      </c>
      <c r="L1652" t="s">
        <v>5478</v>
      </c>
      <c r="M1652" t="s">
        <v>377</v>
      </c>
      <c r="N1652" s="12">
        <v>4140300</v>
      </c>
      <c r="O1652" t="s">
        <v>3633</v>
      </c>
      <c r="P1652" s="6" t="s">
        <v>36</v>
      </c>
      <c r="R1652" t="s">
        <v>38</v>
      </c>
      <c r="S1652" s="9">
        <v>3700</v>
      </c>
      <c r="T1652" s="9">
        <v>1119</v>
      </c>
      <c r="U1652" s="9">
        <v>4140300</v>
      </c>
      <c r="V1652" s="6" t="s">
        <v>39</v>
      </c>
      <c r="W1652" t="s">
        <v>40</v>
      </c>
      <c r="X1652">
        <v>7810687137</v>
      </c>
      <c r="Y1652">
        <v>781401001</v>
      </c>
      <c r="Z1652" s="3">
        <v>46041.075694444444</v>
      </c>
      <c r="AA1652" s="6">
        <v>2026</v>
      </c>
      <c r="AB1652" s="1">
        <v>46386</v>
      </c>
    </row>
    <row r="1653" spans="1:28" x14ac:dyDescent="0.3">
      <c r="A1653" t="s">
        <v>5479</v>
      </c>
      <c r="B1653" s="6" t="s">
        <v>524</v>
      </c>
      <c r="C1653" s="6" t="s">
        <v>525</v>
      </c>
      <c r="D1653">
        <v>721060278</v>
      </c>
      <c r="E1653">
        <v>72501001</v>
      </c>
      <c r="F1653" t="s">
        <v>149</v>
      </c>
      <c r="G1653" t="s">
        <v>5480</v>
      </c>
      <c r="H1653" s="1">
        <v>46036</v>
      </c>
      <c r="I1653" t="s">
        <v>5471</v>
      </c>
      <c r="J1653" s="8">
        <v>46041</v>
      </c>
      <c r="K1653" s="1" t="s">
        <v>5367</v>
      </c>
      <c r="L1653" t="s">
        <v>5481</v>
      </c>
      <c r="M1653" t="s">
        <v>377</v>
      </c>
      <c r="N1653" s="12">
        <v>270000</v>
      </c>
      <c r="O1653" t="s">
        <v>3613</v>
      </c>
      <c r="P1653" s="6" t="s">
        <v>891</v>
      </c>
      <c r="Q1653" t="s">
        <v>1993</v>
      </c>
      <c r="R1653" t="s">
        <v>38</v>
      </c>
      <c r="S1653" s="9">
        <v>3750</v>
      </c>
      <c r="T1653" s="9">
        <v>72</v>
      </c>
      <c r="U1653" s="9">
        <v>270000</v>
      </c>
      <c r="V1653" s="6" t="s">
        <v>39</v>
      </c>
      <c r="W1653" t="s">
        <v>40</v>
      </c>
      <c r="X1653">
        <v>7810687137</v>
      </c>
      <c r="Y1653">
        <v>781401001</v>
      </c>
      <c r="Z1653" s="3">
        <v>46041.068055555559</v>
      </c>
      <c r="AA1653" s="6">
        <v>2026</v>
      </c>
      <c r="AB1653" s="1">
        <v>46386</v>
      </c>
    </row>
    <row r="1654" spans="1:28" x14ac:dyDescent="0.3">
      <c r="A1654" t="s">
        <v>5482</v>
      </c>
      <c r="B1654" s="6" t="s">
        <v>177</v>
      </c>
      <c r="C1654" s="6" t="s">
        <v>62</v>
      </c>
      <c r="D1654">
        <v>4027122645</v>
      </c>
      <c r="E1654">
        <v>402701001</v>
      </c>
      <c r="F1654" t="s">
        <v>44</v>
      </c>
      <c r="H1654"/>
      <c r="J1654" s="8">
        <v>46042</v>
      </c>
      <c r="K1654" s="1" t="s">
        <v>5367</v>
      </c>
      <c r="L1654" t="s">
        <v>5483</v>
      </c>
      <c r="M1654" t="s">
        <v>179</v>
      </c>
      <c r="N1654" s="12">
        <v>17217651</v>
      </c>
      <c r="O1654" t="s">
        <v>5484</v>
      </c>
      <c r="P1654" s="6" t="s">
        <v>2277</v>
      </c>
      <c r="R1654" t="s">
        <v>38</v>
      </c>
      <c r="S1654" s="9">
        <v>5550.5</v>
      </c>
      <c r="T1654" s="9">
        <v>1551</v>
      </c>
      <c r="U1654" s="9">
        <v>8608825.5</v>
      </c>
      <c r="V1654" s="6" t="s">
        <v>61</v>
      </c>
      <c r="W1654" t="s">
        <v>59</v>
      </c>
      <c r="X1654">
        <v>4027022305</v>
      </c>
      <c r="Y1654">
        <v>402701001</v>
      </c>
      <c r="Z1654" s="3">
        <v>46045.359027777777</v>
      </c>
      <c r="AA1654" s="6">
        <v>2026</v>
      </c>
      <c r="AB1654" s="1">
        <v>46387</v>
      </c>
    </row>
    <row r="1655" spans="1:28" x14ac:dyDescent="0.3">
      <c r="A1655" t="s">
        <v>5482</v>
      </c>
      <c r="B1655" s="6" t="s">
        <v>177</v>
      </c>
      <c r="C1655" s="6" t="s">
        <v>62</v>
      </c>
      <c r="D1655">
        <v>4027122645</v>
      </c>
      <c r="E1655">
        <v>402701001</v>
      </c>
      <c r="F1655" t="s">
        <v>44</v>
      </c>
      <c r="H1655"/>
      <c r="J1655" s="8">
        <v>46042</v>
      </c>
      <c r="K1655" s="1" t="s">
        <v>5367</v>
      </c>
      <c r="L1655" t="s">
        <v>5483</v>
      </c>
      <c r="M1655" t="s">
        <v>179</v>
      </c>
      <c r="N1655" s="12">
        <v>17217651</v>
      </c>
      <c r="O1655" t="s">
        <v>5485</v>
      </c>
      <c r="P1655" s="6" t="s">
        <v>36</v>
      </c>
      <c r="R1655" t="s">
        <v>38</v>
      </c>
      <c r="S1655" s="9">
        <v>5550.5</v>
      </c>
      <c r="T1655" s="9">
        <v>1551</v>
      </c>
      <c r="U1655" s="9">
        <v>8608825.5</v>
      </c>
      <c r="V1655" s="6" t="s">
        <v>61</v>
      </c>
      <c r="W1655" t="s">
        <v>59</v>
      </c>
      <c r="X1655">
        <v>4027022305</v>
      </c>
      <c r="Y1655">
        <v>402701001</v>
      </c>
      <c r="Z1655" s="3">
        <v>46045.359027777777</v>
      </c>
      <c r="AA1655" s="6">
        <v>2026</v>
      </c>
      <c r="AB1655" s="1">
        <v>46387</v>
      </c>
    </row>
    <row r="1656" spans="1:28" x14ac:dyDescent="0.3">
      <c r="A1656" s="4" t="s">
        <v>5486</v>
      </c>
      <c r="B1656" s="6" t="s">
        <v>177</v>
      </c>
      <c r="C1656" s="6" t="s">
        <v>62</v>
      </c>
      <c r="D1656">
        <v>4027122645</v>
      </c>
      <c r="E1656">
        <v>402701001</v>
      </c>
      <c r="F1656" t="s">
        <v>44</v>
      </c>
      <c r="H1656"/>
      <c r="J1656" s="8">
        <v>46042</v>
      </c>
      <c r="K1656" s="1" t="s">
        <v>5367</v>
      </c>
      <c r="L1656" t="s">
        <v>5487</v>
      </c>
      <c r="M1656" t="s">
        <v>179</v>
      </c>
      <c r="N1656" s="12">
        <v>12027783.039999999</v>
      </c>
      <c r="O1656" t="s">
        <v>5488</v>
      </c>
      <c r="P1656" s="6" t="s">
        <v>2941</v>
      </c>
      <c r="R1656" t="s">
        <v>38</v>
      </c>
      <c r="S1656" s="9">
        <v>3835.39</v>
      </c>
      <c r="T1656" s="9">
        <v>1568</v>
      </c>
      <c r="U1656" s="9">
        <v>6013891.5199999996</v>
      </c>
      <c r="V1656" s="6" t="s">
        <v>61</v>
      </c>
      <c r="W1656" t="s">
        <v>59</v>
      </c>
      <c r="X1656">
        <v>4027022305</v>
      </c>
      <c r="Y1656">
        <v>402701001</v>
      </c>
      <c r="Z1656" s="3">
        <v>46045.354861111111</v>
      </c>
      <c r="AA1656" s="6">
        <v>2026</v>
      </c>
      <c r="AB1656" s="1">
        <v>46387</v>
      </c>
    </row>
    <row r="1657" spans="1:28" x14ac:dyDescent="0.3">
      <c r="A1657" t="s">
        <v>5489</v>
      </c>
      <c r="B1657" s="6" t="s">
        <v>177</v>
      </c>
      <c r="C1657" s="6" t="s">
        <v>62</v>
      </c>
      <c r="D1657">
        <v>4027122645</v>
      </c>
      <c r="E1657">
        <v>402701001</v>
      </c>
      <c r="F1657" t="s">
        <v>44</v>
      </c>
      <c r="H1657"/>
      <c r="J1657" s="8">
        <v>46042</v>
      </c>
      <c r="K1657" s="1" t="s">
        <v>5367</v>
      </c>
      <c r="L1657" t="s">
        <v>5487</v>
      </c>
      <c r="M1657" t="s">
        <v>179</v>
      </c>
      <c r="N1657" s="12">
        <v>12027783.039999999</v>
      </c>
      <c r="O1657" t="s">
        <v>5055</v>
      </c>
      <c r="P1657" s="6" t="s">
        <v>36</v>
      </c>
      <c r="R1657" t="s">
        <v>38</v>
      </c>
      <c r="S1657" s="9">
        <v>3835.39</v>
      </c>
      <c r="T1657" s="9">
        <v>1568</v>
      </c>
      <c r="U1657" s="9">
        <v>6013891.5199999996</v>
      </c>
      <c r="V1657" s="6" t="s">
        <v>61</v>
      </c>
      <c r="W1657" t="s">
        <v>59</v>
      </c>
      <c r="X1657">
        <v>4027022305</v>
      </c>
      <c r="Y1657">
        <v>402701001</v>
      </c>
      <c r="Z1657" s="3">
        <v>46045.354861111111</v>
      </c>
      <c r="AA1657" s="6">
        <v>2026</v>
      </c>
      <c r="AB1657" s="1">
        <v>46387</v>
      </c>
    </row>
    <row r="1658" spans="1:28" x14ac:dyDescent="0.3">
      <c r="A1658" t="s">
        <v>5490</v>
      </c>
      <c r="B1658" s="6" t="s">
        <v>1317</v>
      </c>
      <c r="C1658" s="6" t="s">
        <v>380</v>
      </c>
      <c r="D1658">
        <v>4700001180</v>
      </c>
      <c r="E1658">
        <v>784201001</v>
      </c>
      <c r="F1658" t="s">
        <v>52</v>
      </c>
      <c r="G1658" t="s">
        <v>5491</v>
      </c>
      <c r="H1658" s="1">
        <v>46021</v>
      </c>
      <c r="I1658" t="s">
        <v>5492</v>
      </c>
      <c r="J1658" s="8">
        <v>46042</v>
      </c>
      <c r="K1658" s="1" t="s">
        <v>5367</v>
      </c>
      <c r="L1658" t="s">
        <v>5493</v>
      </c>
      <c r="M1658" t="s">
        <v>5494</v>
      </c>
      <c r="N1658" s="12">
        <v>35997200</v>
      </c>
      <c r="O1658" t="s">
        <v>3624</v>
      </c>
      <c r="P1658" s="6" t="s">
        <v>891</v>
      </c>
      <c r="Q1658" t="s">
        <v>37</v>
      </c>
      <c r="R1658" t="s">
        <v>38</v>
      </c>
      <c r="S1658" s="9">
        <v>3100</v>
      </c>
      <c r="T1658" s="9">
        <v>3000</v>
      </c>
      <c r="U1658" s="9">
        <v>9300000</v>
      </c>
      <c r="V1658" s="6" t="s">
        <v>39</v>
      </c>
      <c r="W1658" t="s">
        <v>40</v>
      </c>
      <c r="X1658">
        <v>7810687137</v>
      </c>
      <c r="Y1658">
        <v>781401001</v>
      </c>
      <c r="Z1658" s="3">
        <v>46043.465277777781</v>
      </c>
      <c r="AA1658" s="6">
        <v>2026</v>
      </c>
      <c r="AB1658" s="1">
        <v>46234</v>
      </c>
    </row>
    <row r="1659" spans="1:28" x14ac:dyDescent="0.3">
      <c r="A1659" t="s">
        <v>5490</v>
      </c>
      <c r="B1659" s="6" t="s">
        <v>1317</v>
      </c>
      <c r="C1659" s="6" t="s">
        <v>380</v>
      </c>
      <c r="D1659">
        <v>4700001180</v>
      </c>
      <c r="E1659">
        <v>784201001</v>
      </c>
      <c r="F1659" t="s">
        <v>52</v>
      </c>
      <c r="G1659" t="s">
        <v>5491</v>
      </c>
      <c r="H1659" s="1">
        <v>46021</v>
      </c>
      <c r="I1659" t="s">
        <v>5492</v>
      </c>
      <c r="J1659" s="8">
        <v>46042</v>
      </c>
      <c r="K1659" s="1" t="s">
        <v>5367</v>
      </c>
      <c r="L1659" t="s">
        <v>5493</v>
      </c>
      <c r="M1659" t="s">
        <v>5494</v>
      </c>
      <c r="N1659" s="12">
        <v>35997200</v>
      </c>
      <c r="O1659" t="s">
        <v>3633</v>
      </c>
      <c r="P1659" s="6" t="s">
        <v>36</v>
      </c>
      <c r="Q1659" t="s">
        <v>37</v>
      </c>
      <c r="R1659" t="s">
        <v>38</v>
      </c>
      <c r="S1659" s="9">
        <v>3100</v>
      </c>
      <c r="T1659" s="9">
        <v>8612</v>
      </c>
      <c r="U1659" s="9">
        <v>26697200</v>
      </c>
      <c r="V1659" s="6" t="s">
        <v>39</v>
      </c>
      <c r="W1659" t="s">
        <v>40</v>
      </c>
      <c r="X1659">
        <v>7810687137</v>
      </c>
      <c r="Y1659">
        <v>781401001</v>
      </c>
      <c r="Z1659" s="3">
        <v>46043.465277777781</v>
      </c>
      <c r="AA1659" s="6">
        <v>2026</v>
      </c>
      <c r="AB1659" s="1">
        <v>46234</v>
      </c>
    </row>
    <row r="1660" spans="1:28" x14ac:dyDescent="0.3">
      <c r="A1660" t="s">
        <v>5495</v>
      </c>
      <c r="B1660" s="6" t="s">
        <v>361</v>
      </c>
      <c r="C1660" s="6" t="s">
        <v>164</v>
      </c>
      <c r="D1660">
        <v>7714338609</v>
      </c>
      <c r="E1660">
        <v>771401001</v>
      </c>
      <c r="F1660" t="s">
        <v>94</v>
      </c>
      <c r="G1660" t="s">
        <v>5496</v>
      </c>
      <c r="H1660" s="1">
        <v>46038</v>
      </c>
      <c r="J1660" s="8">
        <v>46043</v>
      </c>
      <c r="K1660" s="1" t="s">
        <v>5367</v>
      </c>
      <c r="L1660" t="s">
        <v>5497</v>
      </c>
      <c r="M1660" t="s">
        <v>5498</v>
      </c>
      <c r="N1660" s="12">
        <v>25000</v>
      </c>
      <c r="O1660" t="s">
        <v>3643</v>
      </c>
      <c r="P1660" s="6" t="s">
        <v>1814</v>
      </c>
      <c r="R1660" t="s">
        <v>38</v>
      </c>
      <c r="S1660" s="9">
        <v>25000</v>
      </c>
      <c r="T1660" s="9">
        <v>1</v>
      </c>
      <c r="U1660" s="9">
        <v>25000</v>
      </c>
      <c r="V1660" s="6" t="s">
        <v>545</v>
      </c>
      <c r="W1660" t="s">
        <v>40</v>
      </c>
      <c r="X1660">
        <v>7713655588</v>
      </c>
      <c r="Y1660">
        <v>773001001</v>
      </c>
      <c r="Z1660" s="3">
        <v>46044.622916666667</v>
      </c>
      <c r="AA1660" s="6">
        <v>2026</v>
      </c>
      <c r="AB1660" s="1">
        <v>46098</v>
      </c>
    </row>
    <row r="1661" spans="1:28" x14ac:dyDescent="0.3">
      <c r="A1661" t="s">
        <v>5499</v>
      </c>
      <c r="B1661" s="6" t="s">
        <v>554</v>
      </c>
      <c r="C1661" s="6" t="s">
        <v>555</v>
      </c>
      <c r="D1661">
        <v>7453135827</v>
      </c>
      <c r="E1661">
        <v>745301001</v>
      </c>
      <c r="F1661" t="s">
        <v>52</v>
      </c>
      <c r="G1661" t="s">
        <v>5500</v>
      </c>
      <c r="H1661" s="1">
        <v>46020</v>
      </c>
      <c r="J1661" s="8">
        <v>46043</v>
      </c>
      <c r="K1661" s="1" t="s">
        <v>5367</v>
      </c>
      <c r="L1661" t="s">
        <v>5501</v>
      </c>
      <c r="M1661" t="s">
        <v>2004</v>
      </c>
      <c r="N1661" s="12">
        <v>47828502.619999997</v>
      </c>
      <c r="O1661" t="s">
        <v>3745</v>
      </c>
      <c r="P1661" s="6" t="s">
        <v>2277</v>
      </c>
      <c r="R1661" t="s">
        <v>38</v>
      </c>
      <c r="S1661" s="9">
        <v>2286.91</v>
      </c>
      <c r="T1661" s="9">
        <v>7000</v>
      </c>
      <c r="U1661" s="9">
        <v>16008392.380000001</v>
      </c>
      <c r="V1661" s="6" t="s">
        <v>58</v>
      </c>
      <c r="W1661" t="s">
        <v>59</v>
      </c>
      <c r="X1661">
        <v>5262222144</v>
      </c>
      <c r="Y1661">
        <v>526001001</v>
      </c>
      <c r="Z1661" s="3">
        <v>46044.563888888886</v>
      </c>
      <c r="AA1661" s="6">
        <v>2026</v>
      </c>
      <c r="AB1661" s="1">
        <v>46203</v>
      </c>
    </row>
    <row r="1662" spans="1:28" x14ac:dyDescent="0.3">
      <c r="A1662" t="s">
        <v>5499</v>
      </c>
      <c r="B1662" s="6" t="s">
        <v>554</v>
      </c>
      <c r="C1662" s="6" t="s">
        <v>555</v>
      </c>
      <c r="D1662">
        <v>7453135827</v>
      </c>
      <c r="E1662">
        <v>745301001</v>
      </c>
      <c r="F1662" t="s">
        <v>52</v>
      </c>
      <c r="G1662" t="s">
        <v>5500</v>
      </c>
      <c r="H1662" s="1">
        <v>46020</v>
      </c>
      <c r="J1662" s="8">
        <v>46043</v>
      </c>
      <c r="K1662" s="1" t="s">
        <v>5367</v>
      </c>
      <c r="L1662" t="s">
        <v>5501</v>
      </c>
      <c r="M1662" t="s">
        <v>2004</v>
      </c>
      <c r="N1662" s="12">
        <v>47828502.619999997</v>
      </c>
      <c r="O1662" t="s">
        <v>3633</v>
      </c>
      <c r="P1662" s="6" t="s">
        <v>36</v>
      </c>
      <c r="R1662" t="s">
        <v>38</v>
      </c>
      <c r="S1662" s="9">
        <v>2286.91</v>
      </c>
      <c r="T1662" s="9">
        <v>13914</v>
      </c>
      <c r="U1662" s="9">
        <v>31820110.239999998</v>
      </c>
      <c r="V1662" s="6" t="s">
        <v>58</v>
      </c>
      <c r="W1662" t="s">
        <v>59</v>
      </c>
      <c r="X1662">
        <v>5262222144</v>
      </c>
      <c r="Y1662">
        <v>526001001</v>
      </c>
      <c r="Z1662" s="3">
        <v>46044.563888888886</v>
      </c>
      <c r="AA1662" s="6">
        <v>2026</v>
      </c>
      <c r="AB1662" s="1">
        <v>46203</v>
      </c>
    </row>
    <row r="1663" spans="1:28" x14ac:dyDescent="0.3">
      <c r="A1663" t="s">
        <v>5502</v>
      </c>
      <c r="B1663" s="6" t="s">
        <v>361</v>
      </c>
      <c r="C1663" s="6" t="s">
        <v>164</v>
      </c>
      <c r="D1663">
        <v>7714338609</v>
      </c>
      <c r="E1663">
        <v>771401001</v>
      </c>
      <c r="F1663" t="s">
        <v>94</v>
      </c>
      <c r="G1663" t="s">
        <v>5503</v>
      </c>
      <c r="H1663" s="1">
        <v>46041</v>
      </c>
      <c r="J1663" s="8">
        <v>46044</v>
      </c>
      <c r="K1663" s="1" t="s">
        <v>5367</v>
      </c>
      <c r="L1663" t="s">
        <v>5504</v>
      </c>
      <c r="M1663" t="s">
        <v>5505</v>
      </c>
      <c r="N1663" s="12">
        <v>468000</v>
      </c>
      <c r="O1663" t="s">
        <v>3643</v>
      </c>
      <c r="P1663" s="6" t="s">
        <v>1814</v>
      </c>
      <c r="R1663" t="s">
        <v>38</v>
      </c>
      <c r="S1663" s="9">
        <v>6000</v>
      </c>
      <c r="T1663" s="9">
        <v>78</v>
      </c>
      <c r="U1663" s="9">
        <v>468000</v>
      </c>
      <c r="V1663" s="6" t="s">
        <v>545</v>
      </c>
      <c r="W1663" t="s">
        <v>40</v>
      </c>
      <c r="X1663">
        <v>7713655588</v>
      </c>
      <c r="Y1663">
        <v>773001001</v>
      </c>
      <c r="Z1663" s="3">
        <v>46045.37777777778</v>
      </c>
      <c r="AA1663" s="6">
        <v>2026</v>
      </c>
      <c r="AB1663" s="1">
        <v>46099</v>
      </c>
    </row>
    <row r="1664" spans="1:28" x14ac:dyDescent="0.3">
      <c r="A1664" t="s">
        <v>5506</v>
      </c>
      <c r="B1664" s="6" t="s">
        <v>2440</v>
      </c>
      <c r="C1664" s="6" t="s">
        <v>1030</v>
      </c>
      <c r="D1664">
        <v>7536120581</v>
      </c>
      <c r="E1664">
        <v>753601001</v>
      </c>
      <c r="F1664" t="s">
        <v>52</v>
      </c>
      <c r="G1664" t="s">
        <v>5507</v>
      </c>
      <c r="H1664" s="1">
        <v>46021</v>
      </c>
      <c r="J1664" s="8">
        <v>46044</v>
      </c>
      <c r="K1664" s="1" t="s">
        <v>5367</v>
      </c>
      <c r="L1664" t="s">
        <v>5508</v>
      </c>
      <c r="M1664" t="s">
        <v>5509</v>
      </c>
      <c r="N1664" s="12">
        <v>7111434</v>
      </c>
      <c r="O1664" t="s">
        <v>3613</v>
      </c>
      <c r="P1664" s="6" t="s">
        <v>5457</v>
      </c>
      <c r="R1664" t="s">
        <v>38</v>
      </c>
      <c r="S1664" s="9">
        <v>2215.4</v>
      </c>
      <c r="T1664" s="9">
        <v>3210</v>
      </c>
      <c r="U1664" s="9">
        <v>7111434</v>
      </c>
      <c r="V1664" s="6" t="s">
        <v>848</v>
      </c>
      <c r="W1664" t="s">
        <v>849</v>
      </c>
      <c r="X1664">
        <v>2634099850</v>
      </c>
      <c r="Y1664">
        <v>501801001</v>
      </c>
      <c r="Z1664" s="3">
        <v>46044.109722222223</v>
      </c>
      <c r="AA1664" s="6">
        <v>2026</v>
      </c>
      <c r="AB1664" s="1">
        <v>46387</v>
      </c>
    </row>
    <row r="1665" spans="1:28" x14ac:dyDescent="0.3">
      <c r="A1665" t="s">
        <v>5510</v>
      </c>
      <c r="B1665" s="6" t="s">
        <v>75</v>
      </c>
      <c r="C1665" s="6" t="s">
        <v>76</v>
      </c>
      <c r="D1665">
        <v>2633004253</v>
      </c>
      <c r="E1665">
        <v>263601001</v>
      </c>
      <c r="F1665" t="s">
        <v>52</v>
      </c>
      <c r="G1665" t="s">
        <v>5511</v>
      </c>
      <c r="H1665" s="1">
        <v>46020</v>
      </c>
      <c r="J1665" s="8">
        <v>46045</v>
      </c>
      <c r="K1665" s="1" t="s">
        <v>5367</v>
      </c>
      <c r="L1665" t="s">
        <v>5512</v>
      </c>
      <c r="M1665" t="s">
        <v>5513</v>
      </c>
      <c r="N1665" s="12">
        <v>35233586.979999997</v>
      </c>
      <c r="O1665" t="s">
        <v>3613</v>
      </c>
      <c r="P1665" s="6" t="s">
        <v>5457</v>
      </c>
      <c r="R1665" t="s">
        <v>38</v>
      </c>
      <c r="S1665" s="9">
        <v>2238.19</v>
      </c>
      <c r="T1665" s="9">
        <v>15742</v>
      </c>
      <c r="U1665" s="9">
        <v>35233586.979999997</v>
      </c>
      <c r="V1665" s="6" t="s">
        <v>848</v>
      </c>
      <c r="W1665" t="s">
        <v>849</v>
      </c>
      <c r="X1665">
        <v>2634099850</v>
      </c>
      <c r="Y1665">
        <v>501801001</v>
      </c>
      <c r="Z1665" s="3">
        <v>46045.438888888886</v>
      </c>
      <c r="AA1665" s="6">
        <v>2026</v>
      </c>
      <c r="AB1665" s="1">
        <v>46387</v>
      </c>
    </row>
    <row r="1666" spans="1:28" x14ac:dyDescent="0.3">
      <c r="A1666" t="s">
        <v>5514</v>
      </c>
      <c r="B1666" s="6" t="s">
        <v>924</v>
      </c>
      <c r="C1666" s="6" t="s">
        <v>925</v>
      </c>
      <c r="D1666">
        <v>4205349664</v>
      </c>
      <c r="E1666">
        <v>420501001</v>
      </c>
      <c r="F1666" t="s">
        <v>94</v>
      </c>
      <c r="G1666" t="s">
        <v>5515</v>
      </c>
      <c r="H1666" s="1">
        <v>46042</v>
      </c>
      <c r="J1666" s="8">
        <v>46045</v>
      </c>
      <c r="K1666" s="1" t="s">
        <v>5367</v>
      </c>
      <c r="L1666" t="s">
        <v>5516</v>
      </c>
      <c r="M1666" t="s">
        <v>179</v>
      </c>
      <c r="N1666" s="12">
        <v>163800</v>
      </c>
      <c r="O1666" t="s">
        <v>5517</v>
      </c>
      <c r="P1666" s="6" t="s">
        <v>1814</v>
      </c>
      <c r="R1666" t="s">
        <v>48</v>
      </c>
      <c r="S1666" s="9">
        <v>6300</v>
      </c>
      <c r="T1666" s="9">
        <v>26</v>
      </c>
      <c r="U1666" s="9">
        <v>163800</v>
      </c>
      <c r="V1666" s="6" t="s">
        <v>1815</v>
      </c>
      <c r="W1666" t="s">
        <v>1816</v>
      </c>
      <c r="X1666">
        <v>7708813060</v>
      </c>
      <c r="Y1666">
        <v>770801001</v>
      </c>
      <c r="Z1666" s="3">
        <v>46045.423611111109</v>
      </c>
      <c r="AA1666" s="6">
        <v>2026</v>
      </c>
      <c r="AB1666" s="1">
        <v>46387</v>
      </c>
    </row>
    <row r="1667" spans="1:28" x14ac:dyDescent="0.3">
      <c r="A1667" t="s">
        <v>5518</v>
      </c>
      <c r="B1667" s="6" t="s">
        <v>1393</v>
      </c>
      <c r="C1667" s="6" t="s">
        <v>105</v>
      </c>
      <c r="D1667">
        <v>6658027450</v>
      </c>
      <c r="E1667">
        <v>665801001</v>
      </c>
      <c r="F1667" t="s">
        <v>619</v>
      </c>
      <c r="G1667" t="s">
        <v>5519</v>
      </c>
      <c r="H1667" s="1">
        <v>46034</v>
      </c>
      <c r="I1667" s="5" t="s">
        <v>5520</v>
      </c>
      <c r="J1667" s="8">
        <v>46045</v>
      </c>
      <c r="K1667" s="1" t="s">
        <v>5367</v>
      </c>
      <c r="L1667" t="s">
        <v>5521</v>
      </c>
      <c r="M1667" t="s">
        <v>5522</v>
      </c>
      <c r="N1667" s="12">
        <v>14242500</v>
      </c>
      <c r="O1667" t="s">
        <v>5523</v>
      </c>
      <c r="P1667" s="6" t="s">
        <v>36</v>
      </c>
      <c r="R1667" t="s">
        <v>38</v>
      </c>
      <c r="S1667" s="9">
        <v>3350</v>
      </c>
      <c r="T1667" s="9">
        <v>2200</v>
      </c>
      <c r="U1667" s="9">
        <v>7500000</v>
      </c>
      <c r="V1667" s="6" t="s">
        <v>58</v>
      </c>
      <c r="W1667" t="s">
        <v>59</v>
      </c>
      <c r="X1667">
        <v>5262222144</v>
      </c>
      <c r="Y1667">
        <v>526001001</v>
      </c>
      <c r="Z1667" s="3"/>
      <c r="AA1667" s="6">
        <v>2026</v>
      </c>
      <c r="AB1667" s="1">
        <v>46387</v>
      </c>
    </row>
    <row r="1668" spans="1:28" x14ac:dyDescent="0.3">
      <c r="A1668" t="s">
        <v>5518</v>
      </c>
      <c r="B1668" s="6" t="s">
        <v>1393</v>
      </c>
      <c r="C1668" s="6" t="s">
        <v>105</v>
      </c>
      <c r="D1668">
        <v>6658027450</v>
      </c>
      <c r="E1668">
        <v>665801001</v>
      </c>
      <c r="F1668" t="s">
        <v>619</v>
      </c>
      <c r="G1668" t="s">
        <v>5519</v>
      </c>
      <c r="H1668" s="1">
        <v>46034</v>
      </c>
      <c r="I1668" s="5" t="s">
        <v>5520</v>
      </c>
      <c r="J1668" s="8">
        <v>46045</v>
      </c>
      <c r="K1668" s="1" t="s">
        <v>5367</v>
      </c>
      <c r="L1668" t="s">
        <v>5521</v>
      </c>
      <c r="M1668" t="s">
        <v>5522</v>
      </c>
      <c r="N1668" s="12">
        <v>14242500</v>
      </c>
      <c r="O1668" t="s">
        <v>5523</v>
      </c>
      <c r="P1668" s="6" t="s">
        <v>36</v>
      </c>
      <c r="R1668" t="s">
        <v>38</v>
      </c>
      <c r="S1668" s="9">
        <v>3350</v>
      </c>
      <c r="T1668" s="9">
        <v>2000</v>
      </c>
      <c r="U1668" s="9">
        <v>6742500</v>
      </c>
      <c r="V1668" s="6" t="s">
        <v>58</v>
      </c>
      <c r="W1668" t="s">
        <v>59</v>
      </c>
      <c r="X1668">
        <v>5262222144</v>
      </c>
      <c r="Y1668">
        <v>526001001</v>
      </c>
      <c r="Z1668" s="3"/>
      <c r="AA1668" s="6">
        <v>2027</v>
      </c>
      <c r="AB1668" s="1">
        <v>46752</v>
      </c>
    </row>
    <row r="1669" spans="1:28" x14ac:dyDescent="0.3">
      <c r="A1669" t="s">
        <v>5524</v>
      </c>
      <c r="B1669" s="6" t="s">
        <v>5525</v>
      </c>
      <c r="C1669" s="6" t="s">
        <v>140</v>
      </c>
      <c r="D1669">
        <v>3460088465</v>
      </c>
      <c r="E1669">
        <v>346001001</v>
      </c>
      <c r="F1669" t="s">
        <v>52</v>
      </c>
      <c r="G1669" t="s">
        <v>5526</v>
      </c>
      <c r="H1669" s="1">
        <v>46034</v>
      </c>
      <c r="I1669" t="s">
        <v>5527</v>
      </c>
      <c r="J1669" s="8">
        <v>46045</v>
      </c>
      <c r="K1669" s="1" t="s">
        <v>5367</v>
      </c>
      <c r="L1669" t="s">
        <v>5528</v>
      </c>
      <c r="M1669" t="s">
        <v>5529</v>
      </c>
      <c r="N1669" s="12">
        <v>26529868.890000001</v>
      </c>
      <c r="O1669" t="s">
        <v>4022</v>
      </c>
      <c r="P1669" s="6" t="s">
        <v>2941</v>
      </c>
      <c r="R1669" t="s">
        <v>38</v>
      </c>
      <c r="S1669" s="9">
        <v>3701.67</v>
      </c>
      <c r="T1669" s="9">
        <v>6167</v>
      </c>
      <c r="U1669" s="9">
        <v>22828198.890000001</v>
      </c>
      <c r="V1669" s="6" t="s">
        <v>39</v>
      </c>
      <c r="W1669" t="s">
        <v>40</v>
      </c>
      <c r="X1669">
        <v>7810687137</v>
      </c>
      <c r="Y1669">
        <v>781401001</v>
      </c>
      <c r="Z1669" s="3">
        <v>46045.770138888889</v>
      </c>
      <c r="AA1669" s="6">
        <v>2026</v>
      </c>
      <c r="AB1669" s="1">
        <v>46387</v>
      </c>
    </row>
    <row r="1670" spans="1:28" x14ac:dyDescent="0.3">
      <c r="A1670" t="s">
        <v>5524</v>
      </c>
      <c r="B1670" s="6" t="s">
        <v>5525</v>
      </c>
      <c r="C1670" s="6" t="s">
        <v>140</v>
      </c>
      <c r="D1670">
        <v>3460088465</v>
      </c>
      <c r="E1670">
        <v>346001001</v>
      </c>
      <c r="F1670" t="s">
        <v>52</v>
      </c>
      <c r="G1670" t="s">
        <v>5526</v>
      </c>
      <c r="H1670" s="1">
        <v>46034</v>
      </c>
      <c r="I1670" t="s">
        <v>5527</v>
      </c>
      <c r="J1670" s="8">
        <v>46045</v>
      </c>
      <c r="K1670" s="1" t="s">
        <v>5367</v>
      </c>
      <c r="L1670" t="s">
        <v>5528</v>
      </c>
      <c r="M1670" t="s">
        <v>5529</v>
      </c>
      <c r="N1670" s="12">
        <v>26529868.890000001</v>
      </c>
      <c r="O1670" t="s">
        <v>3633</v>
      </c>
      <c r="P1670" s="6" t="s">
        <v>36</v>
      </c>
      <c r="R1670" t="s">
        <v>38</v>
      </c>
      <c r="S1670" s="9">
        <v>3701.67</v>
      </c>
      <c r="T1670" s="9">
        <v>1000</v>
      </c>
      <c r="U1670" s="9">
        <v>3701670</v>
      </c>
      <c r="V1670" s="6" t="s">
        <v>39</v>
      </c>
      <c r="W1670" t="s">
        <v>40</v>
      </c>
      <c r="X1670">
        <v>7810687137</v>
      </c>
      <c r="Y1670">
        <v>781401001</v>
      </c>
      <c r="Z1670" s="3">
        <v>46045.770138888889</v>
      </c>
      <c r="AA1670" s="6">
        <v>2026</v>
      </c>
      <c r="AB1670" s="1">
        <v>46387</v>
      </c>
    </row>
    <row r="1671" spans="1:28" x14ac:dyDescent="0.3">
      <c r="A1671" t="s">
        <v>5530</v>
      </c>
      <c r="B1671" s="6" t="s">
        <v>5525</v>
      </c>
      <c r="C1671" s="6" t="s">
        <v>140</v>
      </c>
      <c r="D1671">
        <v>3460088465</v>
      </c>
      <c r="E1671">
        <v>346001001</v>
      </c>
      <c r="F1671" t="s">
        <v>52</v>
      </c>
      <c r="G1671" t="s">
        <v>5531</v>
      </c>
      <c r="H1671" s="1">
        <v>46034</v>
      </c>
      <c r="I1671" t="s">
        <v>5527</v>
      </c>
      <c r="J1671" s="8">
        <v>46045</v>
      </c>
      <c r="K1671" s="1" t="s">
        <v>5367</v>
      </c>
      <c r="L1671" t="s">
        <v>5532</v>
      </c>
      <c r="M1671" t="s">
        <v>5533</v>
      </c>
      <c r="N1671" s="12">
        <v>41173675.409999996</v>
      </c>
      <c r="O1671" t="s">
        <v>5534</v>
      </c>
      <c r="P1671" s="6" t="s">
        <v>891</v>
      </c>
      <c r="Q1671" t="s">
        <v>37</v>
      </c>
      <c r="R1671" t="s">
        <v>38</v>
      </c>
      <c r="S1671" s="9">
        <v>3701.67</v>
      </c>
      <c r="T1671" s="9">
        <v>3000</v>
      </c>
      <c r="U1671" s="9">
        <v>11105010</v>
      </c>
      <c r="V1671" s="6" t="s">
        <v>39</v>
      </c>
      <c r="W1671" t="s">
        <v>40</v>
      </c>
      <c r="X1671">
        <v>7810687137</v>
      </c>
      <c r="Y1671">
        <v>781401001</v>
      </c>
      <c r="Z1671" s="3">
        <v>46045.768055555556</v>
      </c>
      <c r="AA1671" s="6">
        <v>2026</v>
      </c>
      <c r="AB1671" s="1">
        <v>46387</v>
      </c>
    </row>
    <row r="1672" spans="1:28" x14ac:dyDescent="0.3">
      <c r="A1672" t="s">
        <v>5530</v>
      </c>
      <c r="B1672" s="6" t="s">
        <v>5525</v>
      </c>
      <c r="C1672" s="6" t="s">
        <v>140</v>
      </c>
      <c r="D1672">
        <v>3460088465</v>
      </c>
      <c r="E1672">
        <v>346001001</v>
      </c>
      <c r="F1672" t="s">
        <v>52</v>
      </c>
      <c r="G1672" t="s">
        <v>5531</v>
      </c>
      <c r="H1672" s="1">
        <v>46034</v>
      </c>
      <c r="I1672" t="s">
        <v>5527</v>
      </c>
      <c r="J1672" s="8">
        <v>46045</v>
      </c>
      <c r="K1672" s="1" t="s">
        <v>5367</v>
      </c>
      <c r="L1672" t="s">
        <v>5532</v>
      </c>
      <c r="M1672" t="s">
        <v>5533</v>
      </c>
      <c r="N1672" s="12">
        <v>41173675.409999996</v>
      </c>
      <c r="O1672" t="s">
        <v>3648</v>
      </c>
      <c r="P1672" s="6" t="s">
        <v>2277</v>
      </c>
      <c r="Q1672" t="s">
        <v>37</v>
      </c>
      <c r="R1672" t="s">
        <v>38</v>
      </c>
      <c r="S1672" s="9">
        <v>3701.67</v>
      </c>
      <c r="T1672" s="9">
        <v>2000</v>
      </c>
      <c r="U1672" s="9">
        <v>7403340</v>
      </c>
      <c r="V1672" s="6" t="s">
        <v>39</v>
      </c>
      <c r="W1672" t="s">
        <v>40</v>
      </c>
      <c r="X1672">
        <v>7810687137</v>
      </c>
      <c r="Y1672">
        <v>781401001</v>
      </c>
      <c r="Z1672" s="3">
        <v>46045.768055555556</v>
      </c>
      <c r="AA1672" s="6">
        <v>2026</v>
      </c>
      <c r="AB1672" s="1">
        <v>46387</v>
      </c>
    </row>
    <row r="1673" spans="1:28" x14ac:dyDescent="0.3">
      <c r="A1673" t="s">
        <v>5530</v>
      </c>
      <c r="B1673" s="6" t="s">
        <v>5525</v>
      </c>
      <c r="C1673" s="6" t="s">
        <v>140</v>
      </c>
      <c r="D1673">
        <v>3460088465</v>
      </c>
      <c r="E1673">
        <v>346001001</v>
      </c>
      <c r="F1673" t="s">
        <v>52</v>
      </c>
      <c r="G1673" t="s">
        <v>5531</v>
      </c>
      <c r="H1673" s="1">
        <v>46034</v>
      </c>
      <c r="I1673" t="s">
        <v>5527</v>
      </c>
      <c r="J1673" s="8">
        <v>46045</v>
      </c>
      <c r="K1673" s="1" t="s">
        <v>5367</v>
      </c>
      <c r="L1673" t="s">
        <v>5532</v>
      </c>
      <c r="M1673" t="s">
        <v>5533</v>
      </c>
      <c r="N1673" s="12">
        <v>41173675.409999996</v>
      </c>
      <c r="O1673" t="s">
        <v>3633</v>
      </c>
      <c r="P1673" s="6" t="s">
        <v>36</v>
      </c>
      <c r="Q1673" t="s">
        <v>37</v>
      </c>
      <c r="R1673" t="s">
        <v>38</v>
      </c>
      <c r="S1673" s="9">
        <v>3701.67</v>
      </c>
      <c r="T1673" s="9">
        <v>6123</v>
      </c>
      <c r="U1673" s="9">
        <v>22665325.41</v>
      </c>
      <c r="V1673" s="6" t="s">
        <v>39</v>
      </c>
      <c r="W1673" t="s">
        <v>40</v>
      </c>
      <c r="X1673">
        <v>7810687137</v>
      </c>
      <c r="Y1673">
        <v>781401001</v>
      </c>
      <c r="Z1673" s="3">
        <v>46045.768055555556</v>
      </c>
      <c r="AA1673" s="6">
        <v>2026</v>
      </c>
      <c r="AB1673" s="1">
        <v>46387</v>
      </c>
    </row>
    <row r="1674" spans="1:28" x14ac:dyDescent="0.3">
      <c r="A1674" t="s">
        <v>5535</v>
      </c>
      <c r="B1674" s="6" t="s">
        <v>975</v>
      </c>
      <c r="C1674" s="6" t="s">
        <v>213</v>
      </c>
      <c r="D1674">
        <v>1658012247</v>
      </c>
      <c r="E1674">
        <v>165701001</v>
      </c>
      <c r="F1674" t="s">
        <v>52</v>
      </c>
      <c r="G1674" t="s">
        <v>5536</v>
      </c>
      <c r="H1674" s="1">
        <v>46034</v>
      </c>
      <c r="I1674" t="s">
        <v>5527</v>
      </c>
      <c r="J1674" s="8">
        <v>46045</v>
      </c>
      <c r="K1674" s="1" t="s">
        <v>5367</v>
      </c>
      <c r="L1674" t="s">
        <v>5537</v>
      </c>
      <c r="M1674" t="s">
        <v>5538</v>
      </c>
      <c r="N1674" s="12">
        <v>169150</v>
      </c>
      <c r="O1674" t="s">
        <v>3633</v>
      </c>
      <c r="P1674" s="6" t="s">
        <v>36</v>
      </c>
      <c r="R1674" t="s">
        <v>38</v>
      </c>
      <c r="S1674" s="9">
        <v>3383</v>
      </c>
      <c r="T1674" s="9">
        <v>50</v>
      </c>
      <c r="U1674" s="9">
        <v>169150</v>
      </c>
      <c r="V1674" s="6" t="s">
        <v>111</v>
      </c>
      <c r="W1674" t="s">
        <v>59</v>
      </c>
      <c r="X1674">
        <v>5262258091</v>
      </c>
      <c r="Y1674">
        <v>526001001</v>
      </c>
      <c r="Z1674" s="3">
        <v>46045.486111111109</v>
      </c>
      <c r="AA1674" s="6">
        <v>2026</v>
      </c>
      <c r="AB1674" s="1">
        <v>46387</v>
      </c>
    </row>
    <row r="1675" spans="1:28" x14ac:dyDescent="0.3">
      <c r="A1675" t="s">
        <v>5539</v>
      </c>
      <c r="B1675" s="6" t="s">
        <v>294</v>
      </c>
      <c r="C1675" s="6" t="s">
        <v>84</v>
      </c>
      <c r="D1675">
        <v>3661006889</v>
      </c>
      <c r="E1675">
        <v>366101001</v>
      </c>
      <c r="F1675" t="s">
        <v>52</v>
      </c>
      <c r="G1675" t="s">
        <v>5540</v>
      </c>
      <c r="H1675" s="1">
        <v>46037</v>
      </c>
      <c r="J1675" s="8">
        <v>46048</v>
      </c>
      <c r="K1675" s="1" t="s">
        <v>5367</v>
      </c>
      <c r="L1675" t="s">
        <v>5541</v>
      </c>
      <c r="M1675" t="s">
        <v>5542</v>
      </c>
      <c r="N1675" s="12">
        <v>983060</v>
      </c>
      <c r="O1675" t="s">
        <v>3633</v>
      </c>
      <c r="P1675" s="6" t="s">
        <v>36</v>
      </c>
      <c r="R1675" t="s">
        <v>38</v>
      </c>
      <c r="S1675" s="9">
        <v>3781</v>
      </c>
      <c r="T1675" s="9">
        <v>260</v>
      </c>
      <c r="U1675" s="9">
        <v>983060</v>
      </c>
      <c r="V1675" s="6" t="s">
        <v>111</v>
      </c>
      <c r="W1675" t="s">
        <v>59</v>
      </c>
      <c r="X1675">
        <v>5262258091</v>
      </c>
      <c r="Y1675">
        <v>526001001</v>
      </c>
      <c r="Z1675" s="3">
        <v>46050.709027777775</v>
      </c>
      <c r="AA1675" s="6">
        <v>2026</v>
      </c>
      <c r="AB1675" s="1">
        <v>46387</v>
      </c>
    </row>
    <row r="1676" spans="1:28" x14ac:dyDescent="0.3">
      <c r="A1676" t="s">
        <v>5543</v>
      </c>
      <c r="B1676" s="6" t="s">
        <v>865</v>
      </c>
      <c r="C1676" s="6" t="s">
        <v>246</v>
      </c>
      <c r="D1676">
        <v>7105008306</v>
      </c>
      <c r="E1676">
        <v>710501001</v>
      </c>
      <c r="F1676" t="s">
        <v>149</v>
      </c>
      <c r="G1676" t="s">
        <v>5544</v>
      </c>
      <c r="H1676" s="1">
        <v>46043</v>
      </c>
      <c r="J1676" s="8">
        <v>46048</v>
      </c>
      <c r="K1676" s="1" t="s">
        <v>5367</v>
      </c>
      <c r="L1676" t="s">
        <v>5545</v>
      </c>
      <c r="M1676" t="s">
        <v>3138</v>
      </c>
      <c r="N1676" s="12">
        <v>797250</v>
      </c>
      <c r="O1676" t="s">
        <v>3613</v>
      </c>
      <c r="P1676" s="6" t="s">
        <v>2941</v>
      </c>
      <c r="R1676" t="s">
        <v>38</v>
      </c>
      <c r="S1676" s="9">
        <v>5315</v>
      </c>
      <c r="T1676" s="9">
        <v>150</v>
      </c>
      <c r="U1676" s="9">
        <v>797250</v>
      </c>
      <c r="V1676" s="6" t="s">
        <v>868</v>
      </c>
      <c r="W1676" t="s">
        <v>5546</v>
      </c>
      <c r="X1676">
        <v>7107519730</v>
      </c>
      <c r="Y1676">
        <v>710701001</v>
      </c>
      <c r="Z1676" s="3">
        <v>46050.581944444442</v>
      </c>
      <c r="AA1676" s="6">
        <v>2026</v>
      </c>
      <c r="AB1676" s="1">
        <v>46142</v>
      </c>
    </row>
    <row r="1677" spans="1:28" x14ac:dyDescent="0.3">
      <c r="A1677" t="s">
        <v>5547</v>
      </c>
      <c r="B1677" s="6" t="s">
        <v>830</v>
      </c>
      <c r="C1677" s="6" t="s">
        <v>831</v>
      </c>
      <c r="D1677">
        <v>6163049814</v>
      </c>
      <c r="E1677">
        <v>616601001</v>
      </c>
      <c r="F1677" t="s">
        <v>52</v>
      </c>
      <c r="G1677" t="s">
        <v>5548</v>
      </c>
      <c r="H1677" s="1">
        <v>46036</v>
      </c>
      <c r="I1677" t="s">
        <v>5549</v>
      </c>
      <c r="J1677" s="8">
        <v>46048</v>
      </c>
      <c r="K1677" s="1" t="s">
        <v>5367</v>
      </c>
      <c r="L1677" t="s">
        <v>5550</v>
      </c>
      <c r="M1677" t="s">
        <v>5551</v>
      </c>
      <c r="N1677" s="12">
        <v>10013458</v>
      </c>
      <c r="O1677" t="s">
        <v>5552</v>
      </c>
      <c r="P1677" s="6" t="s">
        <v>5457</v>
      </c>
      <c r="R1677" t="s">
        <v>38</v>
      </c>
      <c r="S1677" s="9">
        <v>3851.33</v>
      </c>
      <c r="T1677" s="9">
        <v>884</v>
      </c>
      <c r="U1677" s="9">
        <v>3404575.72</v>
      </c>
      <c r="V1677" s="6" t="s">
        <v>58</v>
      </c>
      <c r="W1677" t="s">
        <v>59</v>
      </c>
      <c r="X1677">
        <v>5262222144</v>
      </c>
      <c r="Y1677">
        <v>526001001</v>
      </c>
      <c r="Z1677" s="3">
        <v>46049.506944444445</v>
      </c>
      <c r="AA1677" s="6">
        <v>2026</v>
      </c>
      <c r="AB1677" s="1">
        <v>46387</v>
      </c>
    </row>
    <row r="1678" spans="1:28" x14ac:dyDescent="0.3">
      <c r="A1678" t="s">
        <v>5547</v>
      </c>
      <c r="B1678" s="6" t="s">
        <v>830</v>
      </c>
      <c r="C1678" s="6" t="s">
        <v>831</v>
      </c>
      <c r="D1678">
        <v>6163049814</v>
      </c>
      <c r="E1678">
        <v>616601001</v>
      </c>
      <c r="F1678" t="s">
        <v>52</v>
      </c>
      <c r="G1678" t="s">
        <v>5548</v>
      </c>
      <c r="H1678" s="1">
        <v>46036</v>
      </c>
      <c r="I1678" t="s">
        <v>5549</v>
      </c>
      <c r="J1678" s="8">
        <v>46048</v>
      </c>
      <c r="K1678" s="1" t="s">
        <v>5367</v>
      </c>
      <c r="L1678" t="s">
        <v>5550</v>
      </c>
      <c r="M1678" t="s">
        <v>5551</v>
      </c>
      <c r="N1678" s="12">
        <v>10013458</v>
      </c>
      <c r="O1678" t="s">
        <v>4036</v>
      </c>
      <c r="P1678" s="6" t="s">
        <v>2941</v>
      </c>
      <c r="R1678" t="s">
        <v>38</v>
      </c>
      <c r="S1678" s="9">
        <v>3851.33</v>
      </c>
      <c r="T1678" s="9">
        <v>1716</v>
      </c>
      <c r="U1678" s="9">
        <v>6608882.2800000003</v>
      </c>
      <c r="V1678" s="6" t="s">
        <v>58</v>
      </c>
      <c r="W1678" t="s">
        <v>59</v>
      </c>
      <c r="X1678">
        <v>5262222144</v>
      </c>
      <c r="Y1678">
        <v>526001001</v>
      </c>
      <c r="Z1678" s="3">
        <v>46049.506944444445</v>
      </c>
      <c r="AA1678" s="6">
        <v>2026</v>
      </c>
      <c r="AB1678" s="1">
        <v>46387</v>
      </c>
    </row>
    <row r="1679" spans="1:28" x14ac:dyDescent="0.3">
      <c r="A1679" t="s">
        <v>5553</v>
      </c>
      <c r="B1679" s="6" t="s">
        <v>725</v>
      </c>
      <c r="C1679" s="6" t="s">
        <v>164</v>
      </c>
      <c r="D1679">
        <v>7731038690</v>
      </c>
      <c r="E1679">
        <v>773101001</v>
      </c>
      <c r="F1679" t="s">
        <v>52</v>
      </c>
      <c r="G1679" t="s">
        <v>5554</v>
      </c>
      <c r="H1679" s="1">
        <v>46036</v>
      </c>
      <c r="J1679" s="8">
        <v>46048</v>
      </c>
      <c r="K1679" s="1" t="s">
        <v>5367</v>
      </c>
      <c r="L1679" t="s">
        <v>5555</v>
      </c>
      <c r="M1679" t="s">
        <v>5556</v>
      </c>
      <c r="N1679" s="12">
        <v>500000</v>
      </c>
      <c r="O1679" t="s">
        <v>3633</v>
      </c>
      <c r="P1679" s="6" t="s">
        <v>36</v>
      </c>
      <c r="R1679" t="s">
        <v>38</v>
      </c>
      <c r="S1679" s="9">
        <v>3730</v>
      </c>
      <c r="T1679" s="9">
        <v>134</v>
      </c>
      <c r="U1679" s="14">
        <v>500000</v>
      </c>
      <c r="V1679" s="6" t="s">
        <v>1635</v>
      </c>
      <c r="W1679" t="s">
        <v>5557</v>
      </c>
      <c r="X1679">
        <v>7721754712</v>
      </c>
      <c r="Y1679">
        <v>502701001</v>
      </c>
      <c r="Z1679" s="3">
        <v>46048.73541666667</v>
      </c>
      <c r="AA1679" s="6">
        <v>2026</v>
      </c>
      <c r="AB1679" s="1">
        <v>46386</v>
      </c>
    </row>
    <row r="1680" spans="1:28" x14ac:dyDescent="0.3">
      <c r="A1680" t="s">
        <v>5558</v>
      </c>
      <c r="B1680" s="6" t="s">
        <v>2724</v>
      </c>
      <c r="C1680" s="6" t="s">
        <v>427</v>
      </c>
      <c r="D1680">
        <v>5190800114</v>
      </c>
      <c r="E1680">
        <v>519001001</v>
      </c>
      <c r="F1680" t="s">
        <v>52</v>
      </c>
      <c r="G1680" t="s">
        <v>5559</v>
      </c>
      <c r="H1680" s="1">
        <v>46036</v>
      </c>
      <c r="I1680" t="s">
        <v>5549</v>
      </c>
      <c r="J1680" s="8">
        <v>46048</v>
      </c>
      <c r="K1680" s="1" t="s">
        <v>5367</v>
      </c>
      <c r="L1680" t="s">
        <v>5560</v>
      </c>
      <c r="M1680" t="s">
        <v>5561</v>
      </c>
      <c r="N1680" s="12">
        <v>193992.4</v>
      </c>
      <c r="O1680" t="s">
        <v>3633</v>
      </c>
      <c r="P1680" s="6" t="s">
        <v>36</v>
      </c>
      <c r="R1680" t="s">
        <v>38</v>
      </c>
      <c r="S1680" s="9">
        <v>4849.8100000000004</v>
      </c>
      <c r="T1680" s="9">
        <v>40</v>
      </c>
      <c r="U1680" s="9">
        <v>193992.4</v>
      </c>
      <c r="V1680" s="6" t="s">
        <v>39</v>
      </c>
      <c r="W1680" t="s">
        <v>40</v>
      </c>
      <c r="X1680">
        <v>7810687137</v>
      </c>
      <c r="Y1680">
        <v>781401001</v>
      </c>
      <c r="Z1680" s="3">
        <v>46048.654166666667</v>
      </c>
      <c r="AA1680" s="6">
        <v>2026</v>
      </c>
      <c r="AB1680" s="1">
        <v>46386</v>
      </c>
    </row>
    <row r="1681" spans="1:28" x14ac:dyDescent="0.3">
      <c r="A1681" t="s">
        <v>5562</v>
      </c>
      <c r="B1681" s="6" t="s">
        <v>924</v>
      </c>
      <c r="C1681" s="6" t="s">
        <v>925</v>
      </c>
      <c r="D1681">
        <v>4205349664</v>
      </c>
      <c r="E1681">
        <v>420501001</v>
      </c>
      <c r="F1681" t="s">
        <v>52</v>
      </c>
      <c r="G1681" t="s">
        <v>5563</v>
      </c>
      <c r="H1681" s="1">
        <v>46036</v>
      </c>
      <c r="J1681" s="8">
        <v>46048</v>
      </c>
      <c r="K1681" s="1" t="s">
        <v>5367</v>
      </c>
      <c r="L1681" t="s">
        <v>5564</v>
      </c>
      <c r="M1681" t="s">
        <v>5565</v>
      </c>
      <c r="N1681" s="12">
        <v>1550110.5</v>
      </c>
      <c r="O1681" t="s">
        <v>5566</v>
      </c>
      <c r="P1681" s="6" t="s">
        <v>36</v>
      </c>
      <c r="R1681" t="s">
        <v>38</v>
      </c>
      <c r="S1681" s="9">
        <v>2686.5</v>
      </c>
      <c r="T1681" s="9">
        <v>577</v>
      </c>
      <c r="U1681" s="9">
        <v>1550110.5</v>
      </c>
      <c r="V1681" s="6" t="s">
        <v>111</v>
      </c>
      <c r="W1681" t="s">
        <v>59</v>
      </c>
      <c r="X1681">
        <v>5262258091</v>
      </c>
      <c r="Y1681">
        <v>526001001</v>
      </c>
      <c r="Z1681" s="3">
        <v>46048.332638888889</v>
      </c>
      <c r="AA1681" s="6">
        <v>2026</v>
      </c>
      <c r="AB1681" s="1">
        <v>46387</v>
      </c>
    </row>
    <row r="1682" spans="1:28" x14ac:dyDescent="0.3">
      <c r="A1682" t="s">
        <v>5567</v>
      </c>
      <c r="B1682" s="6" t="s">
        <v>4879</v>
      </c>
      <c r="C1682" s="6" t="s">
        <v>1104</v>
      </c>
      <c r="D1682">
        <v>4347010475</v>
      </c>
      <c r="E1682">
        <v>434501001</v>
      </c>
      <c r="F1682" t="s">
        <v>52</v>
      </c>
      <c r="G1682" t="s">
        <v>5568</v>
      </c>
      <c r="H1682" s="1">
        <v>46038</v>
      </c>
      <c r="J1682" s="8">
        <v>46049</v>
      </c>
      <c r="K1682" s="1" t="s">
        <v>5367</v>
      </c>
      <c r="L1682" t="s">
        <v>5569</v>
      </c>
      <c r="M1682" t="s">
        <v>5570</v>
      </c>
      <c r="N1682" s="12">
        <v>435200</v>
      </c>
      <c r="O1682" t="s">
        <v>3633</v>
      </c>
      <c r="P1682" s="6" t="s">
        <v>36</v>
      </c>
      <c r="R1682" t="s">
        <v>38</v>
      </c>
      <c r="S1682" s="9">
        <v>3200</v>
      </c>
      <c r="T1682" s="9">
        <v>136</v>
      </c>
      <c r="U1682" s="9">
        <v>435200</v>
      </c>
      <c r="V1682" s="6" t="s">
        <v>58</v>
      </c>
      <c r="W1682" t="s">
        <v>59</v>
      </c>
      <c r="X1682">
        <v>5262222144</v>
      </c>
      <c r="Y1682">
        <v>526001001</v>
      </c>
      <c r="Z1682" s="3">
        <v>46049.592361111114</v>
      </c>
      <c r="AA1682" s="6">
        <v>2026</v>
      </c>
      <c r="AB1682" s="1">
        <v>46387</v>
      </c>
    </row>
    <row r="1683" spans="1:28" x14ac:dyDescent="0.3">
      <c r="A1683" t="s">
        <v>5571</v>
      </c>
      <c r="B1683" s="6" t="s">
        <v>113</v>
      </c>
      <c r="C1683" s="6" t="s">
        <v>114</v>
      </c>
      <c r="D1683">
        <v>8601035838</v>
      </c>
      <c r="E1683">
        <v>860201001</v>
      </c>
      <c r="F1683" t="s">
        <v>52</v>
      </c>
      <c r="G1683" t="s">
        <v>5572</v>
      </c>
      <c r="H1683" s="1">
        <v>46038</v>
      </c>
      <c r="J1683" s="8">
        <v>46049</v>
      </c>
      <c r="K1683" s="1" t="s">
        <v>5367</v>
      </c>
      <c r="L1683" t="s">
        <v>5573</v>
      </c>
      <c r="M1683" t="s">
        <v>5574</v>
      </c>
      <c r="N1683" s="12">
        <v>175175</v>
      </c>
      <c r="O1683" t="s">
        <v>3613</v>
      </c>
      <c r="P1683" s="6" t="s">
        <v>1814</v>
      </c>
      <c r="R1683" t="s">
        <v>38</v>
      </c>
      <c r="S1683" s="9">
        <v>6737.5</v>
      </c>
      <c r="T1683" s="9">
        <v>26</v>
      </c>
      <c r="U1683" s="9">
        <v>175175</v>
      </c>
      <c r="V1683" s="6" t="s">
        <v>90</v>
      </c>
      <c r="W1683" t="s">
        <v>59</v>
      </c>
      <c r="X1683">
        <v>5259153331</v>
      </c>
      <c r="Y1683">
        <v>525901001</v>
      </c>
      <c r="Z1683" s="3">
        <v>46049.551388888889</v>
      </c>
      <c r="AA1683" s="6">
        <v>2026</v>
      </c>
      <c r="AB1683" s="1">
        <v>46127</v>
      </c>
    </row>
    <row r="1684" spans="1:28" x14ac:dyDescent="0.3">
      <c r="A1684" t="s">
        <v>5575</v>
      </c>
      <c r="B1684" s="6" t="s">
        <v>452</v>
      </c>
      <c r="C1684" s="6" t="s">
        <v>453</v>
      </c>
      <c r="D1684">
        <v>2209011865</v>
      </c>
      <c r="E1684">
        <v>220901001</v>
      </c>
      <c r="F1684" t="s">
        <v>52</v>
      </c>
      <c r="G1684" t="s">
        <v>5576</v>
      </c>
      <c r="H1684" s="1">
        <v>46038</v>
      </c>
      <c r="I1684" t="s">
        <v>5577</v>
      </c>
      <c r="J1684" s="8">
        <v>46049</v>
      </c>
      <c r="K1684" s="1" t="s">
        <v>5367</v>
      </c>
      <c r="L1684" t="s">
        <v>5578</v>
      </c>
      <c r="M1684" t="s">
        <v>5579</v>
      </c>
      <c r="N1684" s="12">
        <v>129000</v>
      </c>
      <c r="O1684" t="s">
        <v>3633</v>
      </c>
      <c r="P1684" s="6" t="s">
        <v>36</v>
      </c>
      <c r="R1684" t="s">
        <v>38</v>
      </c>
      <c r="S1684" s="9">
        <v>4300</v>
      </c>
      <c r="T1684" s="9">
        <v>30</v>
      </c>
      <c r="U1684" s="9">
        <v>129000</v>
      </c>
      <c r="V1684" s="6" t="s">
        <v>111</v>
      </c>
      <c r="W1684" t="s">
        <v>59</v>
      </c>
      <c r="X1684">
        <v>5262258091</v>
      </c>
      <c r="Y1684">
        <v>526001001</v>
      </c>
      <c r="Z1684" s="3">
        <v>46049.288888888892</v>
      </c>
      <c r="AA1684" s="6">
        <v>2026</v>
      </c>
      <c r="AB1684" s="1">
        <v>46135</v>
      </c>
    </row>
    <row r="1685" spans="1:28" x14ac:dyDescent="0.3">
      <c r="A1685" t="s">
        <v>5580</v>
      </c>
      <c r="B1685" s="6" t="s">
        <v>5581</v>
      </c>
      <c r="C1685" s="6" t="s">
        <v>205</v>
      </c>
      <c r="D1685">
        <v>4102003181</v>
      </c>
      <c r="E1685">
        <v>410201001</v>
      </c>
      <c r="F1685" t="s">
        <v>149</v>
      </c>
      <c r="G1685" t="s">
        <v>5582</v>
      </c>
      <c r="H1685" s="1">
        <v>46044</v>
      </c>
      <c r="I1685" t="s">
        <v>5583</v>
      </c>
      <c r="J1685" s="8">
        <v>46049</v>
      </c>
      <c r="K1685" s="1" t="s">
        <v>5367</v>
      </c>
      <c r="L1685" t="s">
        <v>5582</v>
      </c>
      <c r="M1685" t="s">
        <v>3138</v>
      </c>
      <c r="N1685" s="12">
        <v>1326000</v>
      </c>
      <c r="O1685" t="s">
        <v>3613</v>
      </c>
      <c r="P1685" s="6" t="s">
        <v>36</v>
      </c>
      <c r="R1685" t="s">
        <v>38</v>
      </c>
      <c r="S1685" s="9">
        <v>3400</v>
      </c>
      <c r="T1685" s="9">
        <v>390</v>
      </c>
      <c r="U1685" s="9">
        <v>1326000</v>
      </c>
      <c r="V1685" s="6" t="s">
        <v>58</v>
      </c>
      <c r="W1685" t="s">
        <v>59</v>
      </c>
      <c r="X1685">
        <v>5262222144</v>
      </c>
      <c r="Y1685">
        <v>526001001</v>
      </c>
      <c r="Z1685" s="3">
        <v>46049.03402777778</v>
      </c>
      <c r="AA1685" s="6">
        <v>2026</v>
      </c>
      <c r="AB1685" s="1">
        <v>46380</v>
      </c>
    </row>
    <row r="1686" spans="1:28" x14ac:dyDescent="0.3">
      <c r="A1686" t="s">
        <v>5584</v>
      </c>
      <c r="B1686" s="6" t="s">
        <v>1022</v>
      </c>
      <c r="C1686" s="6" t="s">
        <v>1023</v>
      </c>
      <c r="D1686">
        <v>901024085</v>
      </c>
      <c r="E1686">
        <v>90101001</v>
      </c>
      <c r="F1686" t="s">
        <v>52</v>
      </c>
      <c r="G1686" t="s">
        <v>5585</v>
      </c>
      <c r="H1686" s="1">
        <v>46038</v>
      </c>
      <c r="J1686" s="8">
        <v>46049</v>
      </c>
      <c r="K1686" s="1" t="s">
        <v>5367</v>
      </c>
      <c r="L1686" t="s">
        <v>5585</v>
      </c>
      <c r="M1686" t="s">
        <v>5586</v>
      </c>
      <c r="N1686" s="12">
        <v>205800</v>
      </c>
      <c r="O1686" t="s">
        <v>3613</v>
      </c>
      <c r="P1686" s="6" t="s">
        <v>3758</v>
      </c>
      <c r="Q1686" t="s">
        <v>37</v>
      </c>
      <c r="R1686" t="s">
        <v>38</v>
      </c>
      <c r="S1686" s="9">
        <v>3430</v>
      </c>
      <c r="T1686" s="9">
        <v>60</v>
      </c>
      <c r="U1686" s="9">
        <v>205800</v>
      </c>
      <c r="V1686" s="6" t="s">
        <v>90</v>
      </c>
      <c r="W1686" t="s">
        <v>59</v>
      </c>
      <c r="X1686">
        <v>5259153331</v>
      </c>
      <c r="Y1686">
        <v>525901001</v>
      </c>
      <c r="Z1686" s="3">
        <v>46065.388888888891</v>
      </c>
      <c r="AA1686" s="6">
        <v>2026</v>
      </c>
      <c r="AB1686" s="1">
        <v>46387</v>
      </c>
    </row>
    <row r="1687" spans="1:28" x14ac:dyDescent="0.3">
      <c r="A1687" t="s">
        <v>5587</v>
      </c>
      <c r="B1687" s="6" t="s">
        <v>5588</v>
      </c>
      <c r="C1687" s="6" t="s">
        <v>69</v>
      </c>
      <c r="D1687">
        <v>8901004862</v>
      </c>
      <c r="E1687">
        <v>890101001</v>
      </c>
      <c r="F1687" t="s">
        <v>44</v>
      </c>
      <c r="H1687"/>
      <c r="I1687" t="s">
        <v>5589</v>
      </c>
      <c r="J1687" s="8">
        <v>46050</v>
      </c>
      <c r="K1687" s="1" t="s">
        <v>5367</v>
      </c>
      <c r="L1687" t="s">
        <v>5590</v>
      </c>
      <c r="M1687" t="s">
        <v>5591</v>
      </c>
      <c r="N1687" s="12">
        <v>74250</v>
      </c>
      <c r="O1687" t="s">
        <v>5592</v>
      </c>
      <c r="P1687" s="6" t="s">
        <v>891</v>
      </c>
      <c r="Q1687" t="s">
        <v>37</v>
      </c>
      <c r="R1687" t="s">
        <v>66</v>
      </c>
      <c r="S1687" s="9">
        <v>8250</v>
      </c>
      <c r="T1687" s="9">
        <v>9</v>
      </c>
      <c r="U1687" s="9">
        <v>74250</v>
      </c>
      <c r="V1687" s="6" t="s">
        <v>5593</v>
      </c>
      <c r="W1687" t="s">
        <v>5594</v>
      </c>
      <c r="X1687">
        <v>7204151875</v>
      </c>
      <c r="Y1687">
        <v>720301001</v>
      </c>
      <c r="Z1687" s="3">
        <v>46055.645833333336</v>
      </c>
      <c r="AA1687" s="6">
        <v>2026</v>
      </c>
      <c r="AB1687" s="1">
        <v>46105</v>
      </c>
    </row>
    <row r="1688" spans="1:28" x14ac:dyDescent="0.3">
      <c r="A1688" t="s">
        <v>5595</v>
      </c>
      <c r="B1688" s="6" t="s">
        <v>1145</v>
      </c>
      <c r="C1688" s="6" t="s">
        <v>1146</v>
      </c>
      <c r="D1688">
        <v>6501024966</v>
      </c>
      <c r="E1688">
        <v>650101001</v>
      </c>
      <c r="F1688" t="s">
        <v>52</v>
      </c>
      <c r="G1688" t="s">
        <v>5596</v>
      </c>
      <c r="H1688" s="1">
        <v>46037</v>
      </c>
      <c r="J1688" s="8">
        <v>46050</v>
      </c>
      <c r="K1688" s="1" t="s">
        <v>5367</v>
      </c>
      <c r="L1688" t="s">
        <v>5596</v>
      </c>
      <c r="M1688" t="s">
        <v>5597</v>
      </c>
      <c r="N1688" s="12">
        <v>360799.92</v>
      </c>
      <c r="O1688" t="s">
        <v>3624</v>
      </c>
      <c r="P1688" s="6" t="s">
        <v>891</v>
      </c>
      <c r="Q1688" t="s">
        <v>37</v>
      </c>
      <c r="R1688" t="s">
        <v>38</v>
      </c>
      <c r="S1688" s="9">
        <v>3469.23</v>
      </c>
      <c r="T1688" s="9">
        <v>104</v>
      </c>
      <c r="U1688" s="9">
        <v>360799.92</v>
      </c>
      <c r="V1688" s="6" t="s">
        <v>90</v>
      </c>
      <c r="W1688" t="s">
        <v>59</v>
      </c>
      <c r="X1688">
        <v>5259153331</v>
      </c>
      <c r="Y1688">
        <v>525901001</v>
      </c>
      <c r="Z1688" s="3">
        <v>46055.356249999997</v>
      </c>
      <c r="AA1688" s="6">
        <v>2026</v>
      </c>
      <c r="AB1688" s="1">
        <v>46124</v>
      </c>
    </row>
    <row r="1689" spans="1:28" x14ac:dyDescent="0.3">
      <c r="A1689" t="s">
        <v>5598</v>
      </c>
      <c r="B1689" s="6" t="s">
        <v>1150</v>
      </c>
      <c r="C1689" s="6" t="s">
        <v>843</v>
      </c>
      <c r="D1689">
        <v>2128014804</v>
      </c>
      <c r="E1689">
        <v>213001001</v>
      </c>
      <c r="F1689" t="s">
        <v>149</v>
      </c>
      <c r="G1689" t="s">
        <v>5599</v>
      </c>
      <c r="H1689" s="1">
        <v>46048</v>
      </c>
      <c r="J1689" s="8">
        <v>46051</v>
      </c>
      <c r="K1689" s="1" t="s">
        <v>5367</v>
      </c>
      <c r="L1689" t="s">
        <v>5600</v>
      </c>
      <c r="M1689" t="s">
        <v>3138</v>
      </c>
      <c r="N1689" s="12">
        <v>450000</v>
      </c>
      <c r="O1689" t="s">
        <v>3613</v>
      </c>
      <c r="P1689" s="6" t="s">
        <v>2277</v>
      </c>
      <c r="R1689" t="s">
        <v>38</v>
      </c>
      <c r="S1689" s="9">
        <v>4500</v>
      </c>
      <c r="T1689" s="9">
        <v>100</v>
      </c>
      <c r="U1689" s="9">
        <v>450000</v>
      </c>
      <c r="V1689" s="6" t="s">
        <v>5601</v>
      </c>
      <c r="W1689" t="s">
        <v>5602</v>
      </c>
      <c r="X1689">
        <v>2130081692</v>
      </c>
      <c r="Y1689">
        <v>213001001</v>
      </c>
      <c r="Z1689" s="3">
        <v>46051.520833333336</v>
      </c>
      <c r="AA1689" s="6">
        <v>2026</v>
      </c>
      <c r="AB1689" s="1">
        <v>46386</v>
      </c>
    </row>
    <row r="1690" spans="1:28" x14ac:dyDescent="0.3">
      <c r="A1690" t="s">
        <v>5603</v>
      </c>
      <c r="B1690" s="6" t="s">
        <v>1150</v>
      </c>
      <c r="C1690" s="6" t="s">
        <v>843</v>
      </c>
      <c r="D1690">
        <v>2128014804</v>
      </c>
      <c r="E1690">
        <v>213001001</v>
      </c>
      <c r="F1690" t="s">
        <v>149</v>
      </c>
      <c r="G1690" t="s">
        <v>5604</v>
      </c>
      <c r="H1690" s="1">
        <v>46048</v>
      </c>
      <c r="J1690" s="8">
        <v>46051</v>
      </c>
      <c r="K1690" s="1" t="s">
        <v>5367</v>
      </c>
      <c r="L1690" t="s">
        <v>5605</v>
      </c>
      <c r="M1690" t="s">
        <v>3138</v>
      </c>
      <c r="N1690" s="12">
        <v>675000</v>
      </c>
      <c r="O1690" t="s">
        <v>3633</v>
      </c>
      <c r="P1690" s="6" t="s">
        <v>36</v>
      </c>
      <c r="R1690" t="s">
        <v>38</v>
      </c>
      <c r="S1690" s="9">
        <v>4500</v>
      </c>
      <c r="T1690" s="9">
        <v>150</v>
      </c>
      <c r="U1690" s="9">
        <v>675000</v>
      </c>
      <c r="V1690" s="6" t="s">
        <v>5601</v>
      </c>
      <c r="W1690" t="s">
        <v>5602</v>
      </c>
      <c r="X1690">
        <v>2130081692</v>
      </c>
      <c r="Y1690">
        <v>213001001</v>
      </c>
      <c r="Z1690" s="3">
        <v>46051.520833333336</v>
      </c>
      <c r="AA1690" s="6">
        <v>2026</v>
      </c>
      <c r="AB1690" s="1">
        <v>46386</v>
      </c>
    </row>
    <row r="1691" spans="1:28" x14ac:dyDescent="0.3">
      <c r="A1691" s="4" t="s">
        <v>5606</v>
      </c>
      <c r="B1691" s="6" t="s">
        <v>5607</v>
      </c>
      <c r="C1691" s="6" t="s">
        <v>76</v>
      </c>
      <c r="D1691">
        <v>2633001171</v>
      </c>
      <c r="E1691">
        <v>263501001</v>
      </c>
      <c r="F1691" t="s">
        <v>94</v>
      </c>
      <c r="G1691" t="s">
        <v>5608</v>
      </c>
      <c r="H1691" s="1">
        <v>46049</v>
      </c>
      <c r="J1691" s="8">
        <v>46052</v>
      </c>
      <c r="K1691" s="1" t="s">
        <v>5367</v>
      </c>
      <c r="L1691" t="s">
        <v>5609</v>
      </c>
      <c r="M1691" t="s">
        <v>5610</v>
      </c>
      <c r="N1691" s="12">
        <v>87000</v>
      </c>
      <c r="O1691" t="s">
        <v>5552</v>
      </c>
      <c r="P1691" s="6" t="s">
        <v>5457</v>
      </c>
      <c r="R1691" t="s">
        <v>38</v>
      </c>
      <c r="S1691" s="9">
        <v>2900</v>
      </c>
      <c r="T1691" s="9">
        <v>30</v>
      </c>
      <c r="U1691" s="9">
        <v>87000</v>
      </c>
      <c r="V1691" s="6" t="s">
        <v>5611</v>
      </c>
      <c r="W1691" t="s">
        <v>5612</v>
      </c>
      <c r="X1691">
        <v>7709545166</v>
      </c>
      <c r="Y1691">
        <v>770901001</v>
      </c>
      <c r="Z1691" s="3">
        <v>46052.416666666664</v>
      </c>
      <c r="AA1691" s="6">
        <v>2026</v>
      </c>
      <c r="AB1691" s="1">
        <v>46387</v>
      </c>
    </row>
    <row r="1692" spans="1:28" x14ac:dyDescent="0.3">
      <c r="A1692" t="s">
        <v>5613</v>
      </c>
      <c r="B1692" s="6" t="s">
        <v>1926</v>
      </c>
      <c r="C1692" s="6" t="s">
        <v>731</v>
      </c>
      <c r="D1692">
        <v>5835108606</v>
      </c>
      <c r="E1692">
        <v>583501001</v>
      </c>
      <c r="F1692" t="s">
        <v>52</v>
      </c>
      <c r="G1692" t="s">
        <v>5614</v>
      </c>
      <c r="H1692" s="1">
        <v>46041</v>
      </c>
      <c r="J1692" s="8">
        <v>46052</v>
      </c>
      <c r="K1692" s="1" t="s">
        <v>5367</v>
      </c>
      <c r="L1692" t="s">
        <v>5614</v>
      </c>
      <c r="M1692" t="s">
        <v>534</v>
      </c>
      <c r="N1692" s="12">
        <v>12661872.5</v>
      </c>
      <c r="O1692" t="s">
        <v>5552</v>
      </c>
      <c r="P1692" s="6" t="s">
        <v>5457</v>
      </c>
      <c r="R1692" t="s">
        <v>38</v>
      </c>
      <c r="S1692" s="9">
        <v>3084.5</v>
      </c>
      <c r="T1692" s="9">
        <v>4105</v>
      </c>
      <c r="U1692" s="9">
        <v>12661872.5</v>
      </c>
      <c r="V1692" s="6" t="s">
        <v>90</v>
      </c>
      <c r="W1692" t="s">
        <v>59</v>
      </c>
      <c r="X1692">
        <v>5259153331</v>
      </c>
      <c r="Y1692">
        <v>525901001</v>
      </c>
      <c r="Z1692" s="3">
        <v>46057.587500000001</v>
      </c>
      <c r="AA1692" s="6">
        <v>2026</v>
      </c>
      <c r="AB1692" s="1">
        <v>46118</v>
      </c>
    </row>
    <row r="1693" spans="1:28" x14ac:dyDescent="0.3">
      <c r="A1693" t="s">
        <v>5615</v>
      </c>
      <c r="B1693" s="6" t="s">
        <v>1926</v>
      </c>
      <c r="C1693" s="6" t="s">
        <v>731</v>
      </c>
      <c r="D1693">
        <v>5835108606</v>
      </c>
      <c r="E1693">
        <v>583501001</v>
      </c>
      <c r="F1693" t="s">
        <v>52</v>
      </c>
      <c r="G1693" t="s">
        <v>5616</v>
      </c>
      <c r="H1693" s="1">
        <v>46041</v>
      </c>
      <c r="J1693" s="8">
        <v>46052</v>
      </c>
      <c r="K1693" s="1" t="s">
        <v>5367</v>
      </c>
      <c r="L1693" t="s">
        <v>5617</v>
      </c>
      <c r="M1693" t="s">
        <v>534</v>
      </c>
      <c r="N1693" s="12">
        <v>26390982</v>
      </c>
      <c r="O1693" t="s">
        <v>3624</v>
      </c>
      <c r="P1693" s="6" t="s">
        <v>891</v>
      </c>
      <c r="Q1693" t="s">
        <v>37</v>
      </c>
      <c r="R1693" t="s">
        <v>38</v>
      </c>
      <c r="S1693" s="9">
        <v>3084.5</v>
      </c>
      <c r="T1693" s="9">
        <v>4000</v>
      </c>
      <c r="U1693" s="9">
        <v>12338000</v>
      </c>
      <c r="V1693" s="6" t="s">
        <v>58</v>
      </c>
      <c r="W1693" t="s">
        <v>59</v>
      </c>
      <c r="X1693">
        <v>5262222144</v>
      </c>
      <c r="Y1693">
        <v>526001001</v>
      </c>
      <c r="Z1693" s="3">
        <v>46057.375</v>
      </c>
      <c r="AA1693" s="6">
        <v>2026</v>
      </c>
      <c r="AB1693" s="1">
        <v>46220</v>
      </c>
    </row>
    <row r="1694" spans="1:28" x14ac:dyDescent="0.3">
      <c r="A1694" t="s">
        <v>5615</v>
      </c>
      <c r="B1694" s="6" t="s">
        <v>1926</v>
      </c>
      <c r="C1694" s="6" t="s">
        <v>731</v>
      </c>
      <c r="D1694">
        <v>5835108606</v>
      </c>
      <c r="E1694">
        <v>583501001</v>
      </c>
      <c r="F1694" t="s">
        <v>52</v>
      </c>
      <c r="G1694" t="s">
        <v>5616</v>
      </c>
      <c r="H1694" s="1">
        <v>46041</v>
      </c>
      <c r="J1694" s="8">
        <v>46052</v>
      </c>
      <c r="K1694" s="1" t="s">
        <v>5367</v>
      </c>
      <c r="L1694" t="s">
        <v>5617</v>
      </c>
      <c r="M1694" t="s">
        <v>534</v>
      </c>
      <c r="N1694" s="12">
        <v>26390982</v>
      </c>
      <c r="O1694" t="s">
        <v>3633</v>
      </c>
      <c r="P1694" s="6" t="s">
        <v>36</v>
      </c>
      <c r="Q1694" t="s">
        <v>37</v>
      </c>
      <c r="R1694" t="s">
        <v>38</v>
      </c>
      <c r="S1694" s="9">
        <v>3084.5</v>
      </c>
      <c r="T1694" s="9">
        <v>4556</v>
      </c>
      <c r="U1694" s="9">
        <v>14052982</v>
      </c>
      <c r="V1694" s="6" t="s">
        <v>58</v>
      </c>
      <c r="W1694" t="s">
        <v>59</v>
      </c>
      <c r="X1694">
        <v>5262222144</v>
      </c>
      <c r="Y1694">
        <v>526001001</v>
      </c>
      <c r="Z1694" s="3">
        <v>46057.375</v>
      </c>
      <c r="AA1694" s="6">
        <v>2026</v>
      </c>
      <c r="AB1694" s="1">
        <v>46220</v>
      </c>
    </row>
    <row r="1695" spans="1:28" x14ac:dyDescent="0.3">
      <c r="A1695" t="s">
        <v>5618</v>
      </c>
      <c r="B1695" s="6" t="s">
        <v>501</v>
      </c>
      <c r="C1695" s="6" t="s">
        <v>502</v>
      </c>
      <c r="D1695">
        <v>6318197367</v>
      </c>
      <c r="E1695">
        <v>631801001</v>
      </c>
      <c r="F1695" t="s">
        <v>52</v>
      </c>
      <c r="G1695" t="s">
        <v>5619</v>
      </c>
      <c r="H1695" s="1">
        <v>46041</v>
      </c>
      <c r="I1695" t="s">
        <v>5620</v>
      </c>
      <c r="J1695" s="8">
        <v>46052</v>
      </c>
      <c r="K1695" s="1" t="s">
        <v>5367</v>
      </c>
      <c r="L1695" t="s">
        <v>5621</v>
      </c>
      <c r="M1695" t="s">
        <v>5622</v>
      </c>
      <c r="N1695" s="12">
        <v>49998375</v>
      </c>
      <c r="O1695" t="s">
        <v>3633</v>
      </c>
      <c r="P1695" s="6" t="s">
        <v>36</v>
      </c>
      <c r="R1695" t="s">
        <v>38</v>
      </c>
      <c r="S1695" s="9">
        <v>2625</v>
      </c>
      <c r="T1695" s="9">
        <v>10047</v>
      </c>
      <c r="U1695" s="9">
        <v>26373375</v>
      </c>
      <c r="V1695" s="6" t="s">
        <v>58</v>
      </c>
      <c r="W1695" t="s">
        <v>59</v>
      </c>
      <c r="X1695">
        <v>5262222144</v>
      </c>
      <c r="Y1695">
        <v>526001001</v>
      </c>
      <c r="Z1695" s="3">
        <v>46056.317361111112</v>
      </c>
      <c r="AA1695" s="6">
        <v>2026</v>
      </c>
      <c r="AB1695" s="1">
        <v>46387</v>
      </c>
    </row>
    <row r="1696" spans="1:28" x14ac:dyDescent="0.3">
      <c r="A1696" t="s">
        <v>5618</v>
      </c>
      <c r="B1696" s="6" t="s">
        <v>501</v>
      </c>
      <c r="C1696" s="6" t="s">
        <v>502</v>
      </c>
      <c r="D1696">
        <v>6318197367</v>
      </c>
      <c r="E1696">
        <v>631801001</v>
      </c>
      <c r="F1696" t="s">
        <v>52</v>
      </c>
      <c r="G1696" t="s">
        <v>5619</v>
      </c>
      <c r="H1696" s="1">
        <v>46041</v>
      </c>
      <c r="I1696" t="s">
        <v>5620</v>
      </c>
      <c r="J1696" s="8">
        <v>46052</v>
      </c>
      <c r="K1696" s="1" t="s">
        <v>5367</v>
      </c>
      <c r="L1696" t="s">
        <v>5621</v>
      </c>
      <c r="M1696" t="s">
        <v>5622</v>
      </c>
      <c r="N1696" s="12">
        <v>49998375</v>
      </c>
      <c r="O1696" t="s">
        <v>3745</v>
      </c>
      <c r="P1696" s="6" t="s">
        <v>2277</v>
      </c>
      <c r="R1696" t="s">
        <v>38</v>
      </c>
      <c r="S1696" s="9">
        <v>2625</v>
      </c>
      <c r="T1696" s="9">
        <v>9000</v>
      </c>
      <c r="U1696" s="9">
        <v>23625000</v>
      </c>
      <c r="V1696" s="6" t="s">
        <v>58</v>
      </c>
      <c r="W1696" t="s">
        <v>59</v>
      </c>
      <c r="X1696">
        <v>5262222144</v>
      </c>
      <c r="Y1696">
        <v>526001001</v>
      </c>
      <c r="Z1696" s="3">
        <v>46056.317361111112</v>
      </c>
      <c r="AA1696" s="6">
        <v>2026</v>
      </c>
      <c r="AB1696" s="1">
        <v>46387</v>
      </c>
    </row>
    <row r="1697" spans="1:28" x14ac:dyDescent="0.3">
      <c r="A1697" t="s">
        <v>5623</v>
      </c>
      <c r="B1697" s="6" t="s">
        <v>294</v>
      </c>
      <c r="C1697" s="6" t="s">
        <v>84</v>
      </c>
      <c r="D1697">
        <v>3661006889</v>
      </c>
      <c r="E1697">
        <v>366101001</v>
      </c>
      <c r="F1697" t="s">
        <v>149</v>
      </c>
      <c r="G1697" t="s">
        <v>5624</v>
      </c>
      <c r="H1697" s="1">
        <v>46050</v>
      </c>
      <c r="J1697" s="8">
        <v>46055</v>
      </c>
      <c r="K1697" s="1" t="s">
        <v>5367</v>
      </c>
      <c r="L1697" t="s">
        <v>5625</v>
      </c>
      <c r="M1697" t="s">
        <v>377</v>
      </c>
      <c r="N1697" s="12">
        <v>105868</v>
      </c>
      <c r="O1697" t="s">
        <v>3613</v>
      </c>
      <c r="P1697" s="6" t="s">
        <v>36</v>
      </c>
      <c r="R1697" t="s">
        <v>38</v>
      </c>
      <c r="S1697" s="9">
        <v>3781</v>
      </c>
      <c r="T1697" s="9">
        <v>28</v>
      </c>
      <c r="U1697" s="9">
        <v>105868</v>
      </c>
      <c r="V1697" s="6" t="s">
        <v>58</v>
      </c>
      <c r="W1697" t="s">
        <v>59</v>
      </c>
      <c r="X1697">
        <v>5262222144</v>
      </c>
      <c r="Y1697">
        <v>526001001</v>
      </c>
      <c r="Z1697" s="3">
        <v>46058.53125</v>
      </c>
      <c r="AA1697" s="6">
        <v>2026</v>
      </c>
      <c r="AB1697" s="1">
        <v>46113</v>
      </c>
    </row>
    <row r="1698" spans="1:28" x14ac:dyDescent="0.3">
      <c r="A1698" t="s">
        <v>5626</v>
      </c>
      <c r="B1698" s="6" t="s">
        <v>1926</v>
      </c>
      <c r="C1698" s="6" t="s">
        <v>731</v>
      </c>
      <c r="D1698">
        <v>5835108606</v>
      </c>
      <c r="E1698">
        <v>583501001</v>
      </c>
      <c r="F1698" t="s">
        <v>52</v>
      </c>
      <c r="G1698" t="s">
        <v>5627</v>
      </c>
      <c r="H1698" s="1">
        <v>46043</v>
      </c>
      <c r="J1698" s="8">
        <v>46055</v>
      </c>
      <c r="K1698" s="1" t="s">
        <v>5367</v>
      </c>
      <c r="L1698" t="s">
        <v>5627</v>
      </c>
      <c r="M1698" t="s">
        <v>534</v>
      </c>
      <c r="N1698" s="12">
        <v>647745</v>
      </c>
      <c r="O1698" t="s">
        <v>3745</v>
      </c>
      <c r="P1698" s="6" t="s">
        <v>2277</v>
      </c>
      <c r="R1698" t="s">
        <v>38</v>
      </c>
      <c r="S1698" s="9">
        <v>3084.5</v>
      </c>
      <c r="T1698" s="9">
        <v>210</v>
      </c>
      <c r="U1698" s="9">
        <v>647745</v>
      </c>
      <c r="V1698" s="6" t="s">
        <v>90</v>
      </c>
      <c r="W1698" t="s">
        <v>59</v>
      </c>
      <c r="X1698">
        <v>5259153331</v>
      </c>
      <c r="Y1698">
        <v>525901001</v>
      </c>
      <c r="Z1698" s="3">
        <v>46057.686805555553</v>
      </c>
      <c r="AA1698" s="6">
        <v>2026</v>
      </c>
      <c r="AB1698" s="1">
        <v>46220</v>
      </c>
    </row>
    <row r="1699" spans="1:28" x14ac:dyDescent="0.3">
      <c r="A1699" t="s">
        <v>5628</v>
      </c>
      <c r="B1699" s="6" t="s">
        <v>1926</v>
      </c>
      <c r="C1699" s="6" t="s">
        <v>731</v>
      </c>
      <c r="D1699">
        <v>5835108606</v>
      </c>
      <c r="E1699">
        <v>583501001</v>
      </c>
      <c r="F1699" t="s">
        <v>52</v>
      </c>
      <c r="G1699" t="s">
        <v>5629</v>
      </c>
      <c r="H1699" s="1">
        <v>46042</v>
      </c>
      <c r="J1699" s="8">
        <v>46055</v>
      </c>
      <c r="K1699" s="1" t="s">
        <v>5367</v>
      </c>
      <c r="L1699" t="s">
        <v>5629</v>
      </c>
      <c r="M1699" t="s">
        <v>534</v>
      </c>
      <c r="N1699" s="12">
        <v>20764854</v>
      </c>
      <c r="O1699" t="s">
        <v>4036</v>
      </c>
      <c r="P1699" s="6" t="s">
        <v>2941</v>
      </c>
      <c r="R1699" t="s">
        <v>38</v>
      </c>
      <c r="S1699" s="9">
        <v>3084.5</v>
      </c>
      <c r="T1699" s="9">
        <v>1000</v>
      </c>
      <c r="U1699" s="9">
        <v>3084500</v>
      </c>
      <c r="V1699" s="6" t="s">
        <v>58</v>
      </c>
      <c r="W1699" t="s">
        <v>59</v>
      </c>
      <c r="X1699">
        <v>5262222144</v>
      </c>
      <c r="Y1699">
        <v>526001001</v>
      </c>
      <c r="Z1699" s="3">
        <v>46057.446527777778</v>
      </c>
      <c r="AA1699" s="6">
        <v>2026</v>
      </c>
      <c r="AB1699" s="1">
        <v>46293</v>
      </c>
    </row>
    <row r="1700" spans="1:28" x14ac:dyDescent="0.3">
      <c r="A1700" t="s">
        <v>5628</v>
      </c>
      <c r="B1700" s="6" t="s">
        <v>1926</v>
      </c>
      <c r="C1700" s="6" t="s">
        <v>731</v>
      </c>
      <c r="D1700">
        <v>5835108606</v>
      </c>
      <c r="E1700">
        <v>583501001</v>
      </c>
      <c r="F1700" t="s">
        <v>52</v>
      </c>
      <c r="G1700" t="s">
        <v>5629</v>
      </c>
      <c r="H1700" s="1">
        <v>46042</v>
      </c>
      <c r="J1700" s="8">
        <v>46055</v>
      </c>
      <c r="K1700" s="1" t="s">
        <v>5367</v>
      </c>
      <c r="L1700" t="s">
        <v>5629</v>
      </c>
      <c r="M1700" t="s">
        <v>534</v>
      </c>
      <c r="N1700" s="12">
        <v>20764854</v>
      </c>
      <c r="O1700" t="s">
        <v>3633</v>
      </c>
      <c r="P1700" s="6" t="s">
        <v>36</v>
      </c>
      <c r="R1700" t="s">
        <v>38</v>
      </c>
      <c r="S1700" s="9">
        <v>3084.5</v>
      </c>
      <c r="T1700" s="9">
        <v>5732</v>
      </c>
      <c r="U1700" s="9">
        <v>17680354</v>
      </c>
      <c r="V1700" s="6" t="s">
        <v>58</v>
      </c>
      <c r="W1700" t="s">
        <v>59</v>
      </c>
      <c r="X1700">
        <v>5262222144</v>
      </c>
      <c r="Y1700">
        <v>526001001</v>
      </c>
      <c r="Z1700" s="3">
        <v>46057.446527777778</v>
      </c>
      <c r="AA1700" s="6">
        <v>2026</v>
      </c>
      <c r="AB1700" s="1">
        <v>46293</v>
      </c>
    </row>
    <row r="1701" spans="1:28" x14ac:dyDescent="0.3">
      <c r="A1701" t="s">
        <v>5630</v>
      </c>
      <c r="B1701" s="6" t="s">
        <v>602</v>
      </c>
      <c r="C1701" s="6" t="s">
        <v>548</v>
      </c>
      <c r="D1701">
        <v>1901130110</v>
      </c>
      <c r="E1701">
        <v>190101001</v>
      </c>
      <c r="F1701" t="s">
        <v>149</v>
      </c>
      <c r="G1701" t="s">
        <v>5631</v>
      </c>
      <c r="H1701" s="1">
        <v>46050</v>
      </c>
      <c r="J1701" s="8">
        <v>46055</v>
      </c>
      <c r="K1701" s="1" t="s">
        <v>5367</v>
      </c>
      <c r="L1701" t="s">
        <v>5632</v>
      </c>
      <c r="M1701" t="s">
        <v>377</v>
      </c>
      <c r="N1701" s="12">
        <v>2264800</v>
      </c>
      <c r="O1701" t="s">
        <v>3633</v>
      </c>
      <c r="P1701" s="6" t="s">
        <v>36</v>
      </c>
      <c r="R1701" t="s">
        <v>38</v>
      </c>
      <c r="S1701" s="9">
        <v>3800</v>
      </c>
      <c r="T1701" s="9">
        <v>596</v>
      </c>
      <c r="U1701" s="9">
        <v>2264800</v>
      </c>
      <c r="V1701" s="6" t="s">
        <v>39</v>
      </c>
      <c r="W1701" t="s">
        <v>40</v>
      </c>
      <c r="X1701">
        <v>7810687137</v>
      </c>
      <c r="Y1701">
        <v>781401001</v>
      </c>
      <c r="Z1701" s="3">
        <v>46056.49722222222</v>
      </c>
      <c r="AA1701" s="6">
        <v>2026</v>
      </c>
      <c r="AB1701" s="1">
        <v>46142</v>
      </c>
    </row>
    <row r="1702" spans="1:28" x14ac:dyDescent="0.3">
      <c r="A1702" t="s">
        <v>5633</v>
      </c>
      <c r="B1702" s="6" t="s">
        <v>1011</v>
      </c>
      <c r="C1702" s="6" t="s">
        <v>427</v>
      </c>
      <c r="D1702">
        <v>5190109972</v>
      </c>
      <c r="E1702">
        <v>519001001</v>
      </c>
      <c r="F1702" t="s">
        <v>149</v>
      </c>
      <c r="G1702" t="s">
        <v>5634</v>
      </c>
      <c r="H1702" s="1">
        <v>46050</v>
      </c>
      <c r="J1702" s="8">
        <v>46055</v>
      </c>
      <c r="K1702" s="1" t="s">
        <v>5367</v>
      </c>
      <c r="L1702" t="s">
        <v>5635</v>
      </c>
      <c r="M1702" t="s">
        <v>377</v>
      </c>
      <c r="N1702" s="12">
        <v>4080000</v>
      </c>
      <c r="O1702" t="s">
        <v>3633</v>
      </c>
      <c r="P1702" s="6" t="s">
        <v>36</v>
      </c>
      <c r="R1702" t="s">
        <v>38</v>
      </c>
      <c r="S1702" s="9">
        <v>3400</v>
      </c>
      <c r="T1702" s="9">
        <v>1200</v>
      </c>
      <c r="U1702" s="9">
        <v>4080000</v>
      </c>
      <c r="V1702" s="6" t="s">
        <v>39</v>
      </c>
      <c r="W1702" t="s">
        <v>40</v>
      </c>
      <c r="X1702">
        <v>7810687137</v>
      </c>
      <c r="Y1702">
        <v>781401001</v>
      </c>
      <c r="Z1702" s="3">
        <v>46055.7</v>
      </c>
      <c r="AA1702" s="6">
        <v>2026</v>
      </c>
      <c r="AB1702" s="1">
        <v>46234</v>
      </c>
    </row>
    <row r="1703" spans="1:28" x14ac:dyDescent="0.3">
      <c r="A1703" t="s">
        <v>5636</v>
      </c>
      <c r="B1703" s="6" t="s">
        <v>1740</v>
      </c>
      <c r="C1703" s="6" t="s">
        <v>285</v>
      </c>
      <c r="D1703">
        <v>3329007622</v>
      </c>
      <c r="E1703">
        <v>332901001</v>
      </c>
      <c r="F1703" t="s">
        <v>52</v>
      </c>
      <c r="G1703" t="s">
        <v>5637</v>
      </c>
      <c r="H1703" s="1">
        <v>46042</v>
      </c>
      <c r="I1703" t="s">
        <v>5638</v>
      </c>
      <c r="J1703" s="8">
        <v>46055</v>
      </c>
      <c r="K1703" s="1" t="s">
        <v>5367</v>
      </c>
      <c r="L1703" t="s">
        <v>5639</v>
      </c>
      <c r="M1703" t="s">
        <v>5640</v>
      </c>
      <c r="N1703" s="12">
        <v>50216.7</v>
      </c>
      <c r="O1703" t="s">
        <v>3633</v>
      </c>
      <c r="P1703" s="6" t="s">
        <v>36</v>
      </c>
      <c r="R1703" t="s">
        <v>38</v>
      </c>
      <c r="S1703" s="9">
        <v>5021.67</v>
      </c>
      <c r="T1703" s="9">
        <v>10</v>
      </c>
      <c r="U1703" s="9">
        <v>50216.7</v>
      </c>
      <c r="V1703" s="6" t="s">
        <v>290</v>
      </c>
      <c r="W1703" t="s">
        <v>5641</v>
      </c>
      <c r="X1703">
        <v>3302013594</v>
      </c>
      <c r="Y1703">
        <v>332801001</v>
      </c>
      <c r="Z1703" s="3">
        <v>46055.40347222222</v>
      </c>
      <c r="AA1703" s="6">
        <v>2026</v>
      </c>
      <c r="AB1703" s="1">
        <v>46434</v>
      </c>
    </row>
    <row r="1704" spans="1:28" x14ac:dyDescent="0.3">
      <c r="A1704" t="s">
        <v>5642</v>
      </c>
      <c r="B1704" s="6" t="s">
        <v>501</v>
      </c>
      <c r="C1704" s="6" t="s">
        <v>502</v>
      </c>
      <c r="D1704">
        <v>6318197367</v>
      </c>
      <c r="E1704">
        <v>631801001</v>
      </c>
      <c r="F1704" t="s">
        <v>52</v>
      </c>
      <c r="G1704" t="s">
        <v>5643</v>
      </c>
      <c r="H1704" s="1">
        <v>46045</v>
      </c>
      <c r="I1704" t="s">
        <v>5644</v>
      </c>
      <c r="J1704" s="8">
        <v>46056</v>
      </c>
      <c r="K1704" s="1" t="s">
        <v>5367</v>
      </c>
      <c r="L1704" t="s">
        <v>5645</v>
      </c>
      <c r="M1704" t="s">
        <v>5646</v>
      </c>
      <c r="N1704" s="12">
        <v>12878250</v>
      </c>
      <c r="O1704" t="s">
        <v>3633</v>
      </c>
      <c r="P1704" s="6" t="s">
        <v>36</v>
      </c>
      <c r="Q1704" t="s">
        <v>37</v>
      </c>
      <c r="R1704" t="s">
        <v>38</v>
      </c>
      <c r="S1704" s="9">
        <v>2625</v>
      </c>
      <c r="T1704" s="9">
        <v>2000</v>
      </c>
      <c r="U1704" s="9">
        <v>5250000</v>
      </c>
      <c r="V1704" s="6" t="s">
        <v>58</v>
      </c>
      <c r="W1704" t="s">
        <v>59</v>
      </c>
      <c r="X1704">
        <v>5262222144</v>
      </c>
      <c r="Y1704">
        <v>526001001</v>
      </c>
      <c r="Z1704" s="3">
        <v>46057.640277777777</v>
      </c>
      <c r="AA1704" s="6">
        <v>2026</v>
      </c>
      <c r="AB1704" s="1">
        <v>46387</v>
      </c>
    </row>
    <row r="1705" spans="1:28" x14ac:dyDescent="0.3">
      <c r="A1705" t="s">
        <v>5642</v>
      </c>
      <c r="B1705" s="6" t="s">
        <v>501</v>
      </c>
      <c r="C1705" s="6" t="s">
        <v>502</v>
      </c>
      <c r="D1705">
        <v>6318197367</v>
      </c>
      <c r="E1705">
        <v>631801001</v>
      </c>
      <c r="F1705" t="s">
        <v>52</v>
      </c>
      <c r="G1705" t="s">
        <v>5643</v>
      </c>
      <c r="H1705" s="1">
        <v>46045</v>
      </c>
      <c r="I1705" t="s">
        <v>5644</v>
      </c>
      <c r="J1705" s="8">
        <v>46056</v>
      </c>
      <c r="K1705" s="1" t="s">
        <v>5367</v>
      </c>
      <c r="L1705" t="s">
        <v>5645</v>
      </c>
      <c r="M1705" t="s">
        <v>5646</v>
      </c>
      <c r="N1705" s="12">
        <v>12878250</v>
      </c>
      <c r="O1705" t="s">
        <v>5277</v>
      </c>
      <c r="P1705" s="6" t="s">
        <v>891</v>
      </c>
      <c r="Q1705" t="s">
        <v>37</v>
      </c>
      <c r="R1705" t="s">
        <v>38</v>
      </c>
      <c r="S1705" s="9">
        <v>2625</v>
      </c>
      <c r="T1705" s="9">
        <v>2906</v>
      </c>
      <c r="U1705" s="9">
        <v>7628250</v>
      </c>
      <c r="V1705" s="6" t="s">
        <v>58</v>
      </c>
      <c r="W1705" t="s">
        <v>59</v>
      </c>
      <c r="X1705">
        <v>5262222144</v>
      </c>
      <c r="Y1705">
        <v>526001001</v>
      </c>
      <c r="Z1705" s="3">
        <v>46057.640277777777</v>
      </c>
      <c r="AA1705" s="6">
        <v>2026</v>
      </c>
      <c r="AB1705" s="1">
        <v>46387</v>
      </c>
    </row>
    <row r="1706" spans="1:28" x14ac:dyDescent="0.3">
      <c r="A1706" t="s">
        <v>5647</v>
      </c>
      <c r="B1706" s="6" t="s">
        <v>491</v>
      </c>
      <c r="C1706" s="6" t="s">
        <v>492</v>
      </c>
      <c r="D1706">
        <v>2724041260</v>
      </c>
      <c r="E1706">
        <v>272101001</v>
      </c>
      <c r="F1706" t="s">
        <v>94</v>
      </c>
      <c r="G1706" t="s">
        <v>5648</v>
      </c>
      <c r="H1706" s="1">
        <v>46051</v>
      </c>
      <c r="J1706" s="8">
        <v>46056</v>
      </c>
      <c r="K1706" s="1" t="s">
        <v>5367</v>
      </c>
      <c r="L1706" t="s">
        <v>5648</v>
      </c>
      <c r="M1706" t="s">
        <v>4221</v>
      </c>
      <c r="N1706" s="12">
        <v>102600</v>
      </c>
      <c r="O1706" t="s">
        <v>5213</v>
      </c>
      <c r="P1706" s="6" t="s">
        <v>36</v>
      </c>
      <c r="R1706" t="s">
        <v>48</v>
      </c>
      <c r="S1706" s="9">
        <v>3800</v>
      </c>
      <c r="T1706" s="9">
        <v>27</v>
      </c>
      <c r="U1706" s="9">
        <v>102600</v>
      </c>
      <c r="V1706" s="6" t="s">
        <v>352</v>
      </c>
      <c r="W1706" t="s">
        <v>40</v>
      </c>
      <c r="X1706">
        <v>7843014747</v>
      </c>
      <c r="Y1706">
        <v>781401001</v>
      </c>
      <c r="Z1706" s="3">
        <v>46057.205555555556</v>
      </c>
      <c r="AA1706" s="6">
        <v>2026</v>
      </c>
      <c r="AB1706" s="1">
        <v>46127</v>
      </c>
    </row>
    <row r="1707" spans="1:28" x14ac:dyDescent="0.3">
      <c r="A1707" t="s">
        <v>5649</v>
      </c>
      <c r="B1707" s="6" t="s">
        <v>491</v>
      </c>
      <c r="C1707" s="6" t="s">
        <v>492</v>
      </c>
      <c r="D1707">
        <v>2724041260</v>
      </c>
      <c r="E1707">
        <v>272101001</v>
      </c>
      <c r="F1707" t="s">
        <v>94</v>
      </c>
      <c r="G1707" t="s">
        <v>5650</v>
      </c>
      <c r="H1707" s="1">
        <v>46051</v>
      </c>
      <c r="J1707" s="8">
        <v>46056</v>
      </c>
      <c r="K1707" s="1" t="s">
        <v>5367</v>
      </c>
      <c r="L1707" t="s">
        <v>5650</v>
      </c>
      <c r="M1707" t="s">
        <v>4221</v>
      </c>
      <c r="N1707" s="12">
        <v>102600</v>
      </c>
      <c r="O1707" t="s">
        <v>5213</v>
      </c>
      <c r="P1707" s="6" t="s">
        <v>36</v>
      </c>
      <c r="R1707" t="s">
        <v>48</v>
      </c>
      <c r="S1707" s="9">
        <v>3800</v>
      </c>
      <c r="T1707" s="9">
        <v>27</v>
      </c>
      <c r="U1707" s="9">
        <v>102600</v>
      </c>
      <c r="V1707" s="6" t="s">
        <v>352</v>
      </c>
      <c r="W1707" t="s">
        <v>40</v>
      </c>
      <c r="X1707">
        <v>7843014747</v>
      </c>
      <c r="Y1707">
        <v>781401001</v>
      </c>
      <c r="Z1707" s="3">
        <v>46057.20416666667</v>
      </c>
      <c r="AA1707" s="6">
        <v>2026</v>
      </c>
      <c r="AB1707" s="1">
        <v>46127</v>
      </c>
    </row>
    <row r="1708" spans="1:28" x14ac:dyDescent="0.3">
      <c r="A1708" t="s">
        <v>5651</v>
      </c>
      <c r="B1708" s="6" t="s">
        <v>491</v>
      </c>
      <c r="C1708" s="6" t="s">
        <v>492</v>
      </c>
      <c r="D1708">
        <v>2724041260</v>
      </c>
      <c r="E1708">
        <v>272101001</v>
      </c>
      <c r="F1708" t="s">
        <v>94</v>
      </c>
      <c r="G1708" t="s">
        <v>5652</v>
      </c>
      <c r="H1708" s="1">
        <v>46051</v>
      </c>
      <c r="J1708" s="8">
        <v>46056</v>
      </c>
      <c r="K1708" s="1" t="s">
        <v>5367</v>
      </c>
      <c r="L1708" t="s">
        <v>5652</v>
      </c>
      <c r="M1708" t="s">
        <v>4221</v>
      </c>
      <c r="N1708" s="12">
        <v>102600</v>
      </c>
      <c r="O1708" t="s">
        <v>5213</v>
      </c>
      <c r="P1708" s="6" t="s">
        <v>36</v>
      </c>
      <c r="R1708" t="s">
        <v>48</v>
      </c>
      <c r="S1708" s="9">
        <v>3800</v>
      </c>
      <c r="T1708" s="9">
        <v>27</v>
      </c>
      <c r="U1708" s="9">
        <v>102600</v>
      </c>
      <c r="V1708" s="6" t="s">
        <v>352</v>
      </c>
      <c r="W1708" t="s">
        <v>40</v>
      </c>
      <c r="X1708">
        <v>7843014747</v>
      </c>
      <c r="Y1708">
        <v>781401001</v>
      </c>
      <c r="Z1708" s="3">
        <v>46057.20208333333</v>
      </c>
      <c r="AA1708" s="6">
        <v>2026</v>
      </c>
      <c r="AB1708" s="1">
        <v>46127</v>
      </c>
    </row>
    <row r="1709" spans="1:28" x14ac:dyDescent="0.3">
      <c r="A1709" t="s">
        <v>5653</v>
      </c>
      <c r="B1709" s="6" t="s">
        <v>491</v>
      </c>
      <c r="C1709" s="6" t="s">
        <v>492</v>
      </c>
      <c r="D1709">
        <v>2724041260</v>
      </c>
      <c r="E1709">
        <v>272101001</v>
      </c>
      <c r="F1709" t="s">
        <v>94</v>
      </c>
      <c r="G1709" t="s">
        <v>5654</v>
      </c>
      <c r="H1709" s="1">
        <v>46051</v>
      </c>
      <c r="J1709" s="8">
        <v>46056</v>
      </c>
      <c r="K1709" s="1" t="s">
        <v>5367</v>
      </c>
      <c r="L1709" t="s">
        <v>5654</v>
      </c>
      <c r="M1709" t="s">
        <v>4221</v>
      </c>
      <c r="N1709" s="12">
        <v>102600</v>
      </c>
      <c r="O1709" t="s">
        <v>5213</v>
      </c>
      <c r="P1709" s="6" t="s">
        <v>36</v>
      </c>
      <c r="R1709" t="s">
        <v>48</v>
      </c>
      <c r="S1709" s="9">
        <v>3800</v>
      </c>
      <c r="T1709" s="9">
        <v>27</v>
      </c>
      <c r="U1709" s="9">
        <v>102600</v>
      </c>
      <c r="V1709" s="6" t="s">
        <v>352</v>
      </c>
      <c r="W1709" t="s">
        <v>40</v>
      </c>
      <c r="X1709">
        <v>7843014747</v>
      </c>
      <c r="Y1709">
        <v>781401001</v>
      </c>
      <c r="Z1709" s="3">
        <v>46057.200694444444</v>
      </c>
      <c r="AA1709" s="6">
        <v>2026</v>
      </c>
      <c r="AB1709" s="1">
        <v>46127</v>
      </c>
    </row>
    <row r="1710" spans="1:28" x14ac:dyDescent="0.3">
      <c r="A1710" t="s">
        <v>5655</v>
      </c>
      <c r="B1710" s="6" t="s">
        <v>491</v>
      </c>
      <c r="C1710" s="6" t="s">
        <v>492</v>
      </c>
      <c r="D1710">
        <v>2724041260</v>
      </c>
      <c r="E1710">
        <v>272101001</v>
      </c>
      <c r="F1710" t="s">
        <v>94</v>
      </c>
      <c r="G1710" t="s">
        <v>5656</v>
      </c>
      <c r="H1710" s="1">
        <v>46051</v>
      </c>
      <c r="J1710" s="8">
        <v>46056</v>
      </c>
      <c r="K1710" s="1" t="s">
        <v>5367</v>
      </c>
      <c r="L1710" t="s">
        <v>5656</v>
      </c>
      <c r="M1710" t="s">
        <v>4221</v>
      </c>
      <c r="N1710" s="12">
        <v>102600</v>
      </c>
      <c r="O1710" t="s">
        <v>5213</v>
      </c>
      <c r="P1710" s="6" t="s">
        <v>36</v>
      </c>
      <c r="R1710" t="s">
        <v>48</v>
      </c>
      <c r="S1710" s="9">
        <v>3800</v>
      </c>
      <c r="T1710" s="9">
        <v>27</v>
      </c>
      <c r="U1710" s="9">
        <v>102600</v>
      </c>
      <c r="V1710" s="6" t="s">
        <v>352</v>
      </c>
      <c r="W1710" t="s">
        <v>40</v>
      </c>
      <c r="X1710">
        <v>7843014747</v>
      </c>
      <c r="Y1710">
        <v>781401001</v>
      </c>
      <c r="Z1710" s="3">
        <v>46057.198611111111</v>
      </c>
      <c r="AA1710" s="6">
        <v>2026</v>
      </c>
      <c r="AB1710" s="1">
        <v>46127</v>
      </c>
    </row>
    <row r="1711" spans="1:28" x14ac:dyDescent="0.3">
      <c r="A1711" t="s">
        <v>5657</v>
      </c>
      <c r="B1711" s="6" t="s">
        <v>1349</v>
      </c>
      <c r="C1711" s="6" t="s">
        <v>346</v>
      </c>
      <c r="D1711">
        <v>1101486491</v>
      </c>
      <c r="E1711">
        <v>110101001</v>
      </c>
      <c r="F1711" t="s">
        <v>44</v>
      </c>
      <c r="H1711"/>
      <c r="J1711" s="8">
        <v>46056</v>
      </c>
      <c r="K1711" s="1" t="s">
        <v>5367</v>
      </c>
      <c r="L1711" t="s">
        <v>5658</v>
      </c>
      <c r="M1711" t="s">
        <v>179</v>
      </c>
      <c r="N1711" s="12">
        <v>2065000</v>
      </c>
      <c r="O1711" t="s">
        <v>5659</v>
      </c>
      <c r="P1711" s="6" t="s">
        <v>36</v>
      </c>
      <c r="R1711" t="s">
        <v>38</v>
      </c>
      <c r="S1711" s="9">
        <v>2950</v>
      </c>
      <c r="T1711" s="9">
        <v>700</v>
      </c>
      <c r="U1711" s="9">
        <v>2065000</v>
      </c>
      <c r="V1711" s="6" t="s">
        <v>2655</v>
      </c>
      <c r="W1711" t="s">
        <v>5660</v>
      </c>
      <c r="X1711">
        <v>1101487569</v>
      </c>
      <c r="Y1711">
        <v>110101001</v>
      </c>
      <c r="Z1711" s="3">
        <v>46056.694444444445</v>
      </c>
      <c r="AA1711" s="6">
        <v>2026</v>
      </c>
      <c r="AB1711" s="1">
        <v>46387</v>
      </c>
    </row>
    <row r="1712" spans="1:28" x14ac:dyDescent="0.3">
      <c r="A1712" t="s">
        <v>5661</v>
      </c>
      <c r="B1712" s="6" t="s">
        <v>177</v>
      </c>
      <c r="C1712" s="6" t="s">
        <v>62</v>
      </c>
      <c r="D1712">
        <v>4027122645</v>
      </c>
      <c r="E1712">
        <v>402701001</v>
      </c>
      <c r="F1712" t="s">
        <v>44</v>
      </c>
      <c r="H1712"/>
      <c r="J1712" s="8">
        <v>46057</v>
      </c>
      <c r="K1712" s="1" t="s">
        <v>5367</v>
      </c>
      <c r="L1712" t="s">
        <v>5662</v>
      </c>
      <c r="M1712" t="s">
        <v>179</v>
      </c>
      <c r="N1712" s="12">
        <v>8369640</v>
      </c>
      <c r="O1712" t="s">
        <v>5055</v>
      </c>
      <c r="P1712" s="6" t="s">
        <v>36</v>
      </c>
      <c r="R1712" t="s">
        <v>38</v>
      </c>
      <c r="S1712" s="9">
        <v>5750</v>
      </c>
      <c r="T1712" s="9">
        <v>220</v>
      </c>
      <c r="U1712" s="9">
        <v>1265000</v>
      </c>
      <c r="V1712" s="6" t="s">
        <v>61</v>
      </c>
      <c r="W1712" t="s">
        <v>59</v>
      </c>
      <c r="X1712">
        <v>4027022305</v>
      </c>
      <c r="Y1712">
        <v>402701001</v>
      </c>
      <c r="Z1712" s="3">
        <v>46059.408333333333</v>
      </c>
      <c r="AA1712" s="6">
        <v>2026</v>
      </c>
      <c r="AB1712" s="1">
        <v>46387</v>
      </c>
    </row>
    <row r="1713" spans="1:28" x14ac:dyDescent="0.3">
      <c r="A1713" t="s">
        <v>5661</v>
      </c>
      <c r="B1713" s="6" t="s">
        <v>177</v>
      </c>
      <c r="C1713" s="6" t="s">
        <v>62</v>
      </c>
      <c r="D1713">
        <v>4027122645</v>
      </c>
      <c r="E1713">
        <v>402701001</v>
      </c>
      <c r="F1713" t="s">
        <v>44</v>
      </c>
      <c r="H1713"/>
      <c r="J1713" s="8">
        <v>46057</v>
      </c>
      <c r="K1713" s="1" t="s">
        <v>5367</v>
      </c>
      <c r="L1713" t="s">
        <v>5662</v>
      </c>
      <c r="M1713" t="s">
        <v>179</v>
      </c>
      <c r="N1713" s="12">
        <v>8369640</v>
      </c>
      <c r="O1713" t="s">
        <v>5055</v>
      </c>
      <c r="P1713" s="6" t="s">
        <v>36</v>
      </c>
      <c r="R1713" t="s">
        <v>38</v>
      </c>
      <c r="S1713" s="9">
        <v>5550.5</v>
      </c>
      <c r="T1713" s="9">
        <v>1280</v>
      </c>
      <c r="U1713" s="9">
        <v>7104640</v>
      </c>
      <c r="V1713" s="6" t="s">
        <v>61</v>
      </c>
      <c r="W1713" t="s">
        <v>59</v>
      </c>
      <c r="X1713">
        <v>4027022305</v>
      </c>
      <c r="Y1713">
        <v>402701001</v>
      </c>
      <c r="Z1713" s="3">
        <v>46059.408333333333</v>
      </c>
      <c r="AA1713" s="6">
        <v>2026</v>
      </c>
      <c r="AB1713" s="1">
        <v>46387</v>
      </c>
    </row>
    <row r="1714" spans="1:28" x14ac:dyDescent="0.3">
      <c r="A1714" t="s">
        <v>5663</v>
      </c>
      <c r="B1714" s="6" t="s">
        <v>491</v>
      </c>
      <c r="C1714" s="6" t="s">
        <v>492</v>
      </c>
      <c r="D1714">
        <v>2724041260</v>
      </c>
      <c r="E1714">
        <v>272101001</v>
      </c>
      <c r="F1714" t="s">
        <v>94</v>
      </c>
      <c r="G1714" t="s">
        <v>5664</v>
      </c>
      <c r="H1714" s="1">
        <v>46052</v>
      </c>
      <c r="J1714" s="8">
        <v>46057</v>
      </c>
      <c r="K1714" s="1" t="s">
        <v>5367</v>
      </c>
      <c r="L1714" t="s">
        <v>5664</v>
      </c>
      <c r="M1714" t="s">
        <v>4221</v>
      </c>
      <c r="N1714" s="12">
        <v>102600</v>
      </c>
      <c r="O1714" t="s">
        <v>5213</v>
      </c>
      <c r="P1714" s="6" t="s">
        <v>36</v>
      </c>
      <c r="R1714" t="s">
        <v>48</v>
      </c>
      <c r="S1714" s="9">
        <v>3800</v>
      </c>
      <c r="T1714" s="9">
        <v>27</v>
      </c>
      <c r="U1714" s="9">
        <v>102600</v>
      </c>
      <c r="V1714" s="6" t="s">
        <v>352</v>
      </c>
      <c r="W1714" t="s">
        <v>40</v>
      </c>
      <c r="X1714">
        <v>7843014747</v>
      </c>
      <c r="Y1714">
        <v>781401001</v>
      </c>
      <c r="Z1714" s="3">
        <v>46058.210416666669</v>
      </c>
      <c r="AA1714" s="6">
        <v>2026</v>
      </c>
      <c r="AB1714" s="1">
        <v>46127</v>
      </c>
    </row>
    <row r="1715" spans="1:28" x14ac:dyDescent="0.3">
      <c r="A1715" t="s">
        <v>5665</v>
      </c>
      <c r="B1715" s="6" t="s">
        <v>491</v>
      </c>
      <c r="C1715" s="6" t="s">
        <v>492</v>
      </c>
      <c r="D1715">
        <v>2724041260</v>
      </c>
      <c r="E1715">
        <v>272101001</v>
      </c>
      <c r="F1715" t="s">
        <v>94</v>
      </c>
      <c r="G1715" t="s">
        <v>5666</v>
      </c>
      <c r="H1715" s="1">
        <v>46052</v>
      </c>
      <c r="J1715" s="8">
        <v>46057</v>
      </c>
      <c r="K1715" s="1" t="s">
        <v>5367</v>
      </c>
      <c r="L1715" t="s">
        <v>5666</v>
      </c>
      <c r="M1715" t="s">
        <v>4221</v>
      </c>
      <c r="N1715" s="12">
        <v>102600</v>
      </c>
      <c r="O1715" t="s">
        <v>5213</v>
      </c>
      <c r="P1715" s="6" t="s">
        <v>36</v>
      </c>
      <c r="R1715" t="s">
        <v>48</v>
      </c>
      <c r="S1715" s="9">
        <v>3800</v>
      </c>
      <c r="T1715" s="9">
        <v>27</v>
      </c>
      <c r="U1715" s="9">
        <v>102600</v>
      </c>
      <c r="V1715" s="6" t="s">
        <v>352</v>
      </c>
      <c r="W1715" t="s">
        <v>40</v>
      </c>
      <c r="X1715">
        <v>7843014747</v>
      </c>
      <c r="Y1715">
        <v>781401001</v>
      </c>
      <c r="Z1715" s="3">
        <v>46058.208333333336</v>
      </c>
      <c r="AA1715" s="6">
        <v>2026</v>
      </c>
      <c r="AB1715" s="1">
        <v>46127</v>
      </c>
    </row>
    <row r="1716" spans="1:28" x14ac:dyDescent="0.3">
      <c r="A1716" t="s">
        <v>5667</v>
      </c>
      <c r="B1716" s="6" t="s">
        <v>491</v>
      </c>
      <c r="C1716" s="6" t="s">
        <v>492</v>
      </c>
      <c r="D1716">
        <v>2724041260</v>
      </c>
      <c r="E1716">
        <v>272101001</v>
      </c>
      <c r="F1716" t="s">
        <v>94</v>
      </c>
      <c r="G1716" t="s">
        <v>5668</v>
      </c>
      <c r="H1716" s="1">
        <v>46052</v>
      </c>
      <c r="J1716" s="8">
        <v>46057</v>
      </c>
      <c r="K1716" s="1" t="s">
        <v>5367</v>
      </c>
      <c r="L1716" t="s">
        <v>5668</v>
      </c>
      <c r="M1716" t="s">
        <v>4221</v>
      </c>
      <c r="N1716" s="12">
        <v>102600</v>
      </c>
      <c r="O1716" t="s">
        <v>5213</v>
      </c>
      <c r="P1716" s="6" t="s">
        <v>36</v>
      </c>
      <c r="R1716" t="s">
        <v>48</v>
      </c>
      <c r="S1716" s="9">
        <v>3800</v>
      </c>
      <c r="T1716" s="9">
        <v>27</v>
      </c>
      <c r="U1716" s="9">
        <v>102600</v>
      </c>
      <c r="V1716" s="6" t="s">
        <v>352</v>
      </c>
      <c r="W1716" t="s">
        <v>40</v>
      </c>
      <c r="X1716">
        <v>7843014747</v>
      </c>
      <c r="Y1716">
        <v>781401001</v>
      </c>
      <c r="Z1716" s="3">
        <v>46058.206944444442</v>
      </c>
      <c r="AA1716" s="6">
        <v>2026</v>
      </c>
      <c r="AB1716" s="1">
        <v>46127</v>
      </c>
    </row>
    <row r="1717" spans="1:28" x14ac:dyDescent="0.3">
      <c r="A1717" t="s">
        <v>5669</v>
      </c>
      <c r="B1717" s="6" t="s">
        <v>491</v>
      </c>
      <c r="C1717" s="6" t="s">
        <v>492</v>
      </c>
      <c r="D1717">
        <v>2724041260</v>
      </c>
      <c r="E1717">
        <v>272101001</v>
      </c>
      <c r="F1717" t="s">
        <v>94</v>
      </c>
      <c r="G1717" t="s">
        <v>5670</v>
      </c>
      <c r="H1717" s="1">
        <v>46052</v>
      </c>
      <c r="J1717" s="8">
        <v>46057</v>
      </c>
      <c r="K1717" s="1" t="s">
        <v>5367</v>
      </c>
      <c r="L1717" t="s">
        <v>5670</v>
      </c>
      <c r="M1717" t="s">
        <v>4221</v>
      </c>
      <c r="N1717" s="12">
        <v>102600</v>
      </c>
      <c r="O1717" t="s">
        <v>5213</v>
      </c>
      <c r="P1717" s="6" t="s">
        <v>36</v>
      </c>
      <c r="R1717" t="s">
        <v>48</v>
      </c>
      <c r="S1717" s="9">
        <v>3800</v>
      </c>
      <c r="T1717" s="9">
        <v>27</v>
      </c>
      <c r="U1717" s="9">
        <v>102600</v>
      </c>
      <c r="V1717" s="6" t="s">
        <v>352</v>
      </c>
      <c r="W1717" t="s">
        <v>40</v>
      </c>
      <c r="X1717">
        <v>7843014747</v>
      </c>
      <c r="Y1717">
        <v>781401001</v>
      </c>
      <c r="Z1717" s="3">
        <v>46058.205555555556</v>
      </c>
      <c r="AA1717" s="6">
        <v>2026</v>
      </c>
      <c r="AB1717" s="1">
        <v>46127</v>
      </c>
    </row>
    <row r="1718" spans="1:28" x14ac:dyDescent="0.3">
      <c r="A1718" t="s">
        <v>5671</v>
      </c>
      <c r="B1718" s="6" t="s">
        <v>491</v>
      </c>
      <c r="C1718" s="6" t="s">
        <v>492</v>
      </c>
      <c r="D1718">
        <v>2724041260</v>
      </c>
      <c r="E1718">
        <v>272101001</v>
      </c>
      <c r="F1718" t="s">
        <v>94</v>
      </c>
      <c r="G1718" t="s">
        <v>5672</v>
      </c>
      <c r="H1718" s="1">
        <v>46052</v>
      </c>
      <c r="J1718" s="8">
        <v>46057</v>
      </c>
      <c r="K1718" s="1" t="s">
        <v>5367</v>
      </c>
      <c r="L1718" t="s">
        <v>5672</v>
      </c>
      <c r="M1718" t="s">
        <v>4221</v>
      </c>
      <c r="N1718" s="12">
        <v>102600</v>
      </c>
      <c r="O1718" t="s">
        <v>5213</v>
      </c>
      <c r="P1718" s="6" t="s">
        <v>36</v>
      </c>
      <c r="R1718" t="s">
        <v>48</v>
      </c>
      <c r="S1718" s="9">
        <v>3800</v>
      </c>
      <c r="T1718" s="9">
        <v>27</v>
      </c>
      <c r="U1718" s="9">
        <v>102600</v>
      </c>
      <c r="V1718" s="6" t="s">
        <v>352</v>
      </c>
      <c r="W1718" t="s">
        <v>40</v>
      </c>
      <c r="X1718">
        <v>7843014747</v>
      </c>
      <c r="Y1718">
        <v>781401001</v>
      </c>
      <c r="Z1718" s="3">
        <v>46058.203472222223</v>
      </c>
      <c r="AA1718" s="6">
        <v>2026</v>
      </c>
      <c r="AB1718" s="1">
        <v>46127</v>
      </c>
    </row>
    <row r="1719" spans="1:28" x14ac:dyDescent="0.3">
      <c r="A1719" t="s">
        <v>5673</v>
      </c>
      <c r="B1719" s="6" t="s">
        <v>197</v>
      </c>
      <c r="C1719" s="6" t="s">
        <v>198</v>
      </c>
      <c r="D1719">
        <v>1001046786</v>
      </c>
      <c r="E1719">
        <v>100101001</v>
      </c>
      <c r="F1719" t="s">
        <v>94</v>
      </c>
      <c r="G1719" t="s">
        <v>5674</v>
      </c>
      <c r="H1719" s="1">
        <v>46055</v>
      </c>
      <c r="J1719" s="8">
        <v>46058</v>
      </c>
      <c r="K1719" s="1" t="s">
        <v>5367</v>
      </c>
      <c r="L1719" t="s">
        <v>5674</v>
      </c>
      <c r="M1719" t="s">
        <v>5675</v>
      </c>
      <c r="N1719" s="12">
        <v>1295000</v>
      </c>
      <c r="O1719" t="s">
        <v>3633</v>
      </c>
      <c r="P1719" s="6" t="s">
        <v>36</v>
      </c>
      <c r="R1719" t="s">
        <v>38</v>
      </c>
      <c r="S1719" s="9">
        <v>2590</v>
      </c>
      <c r="T1719" s="9">
        <v>500</v>
      </c>
      <c r="U1719" s="9">
        <v>1295000</v>
      </c>
      <c r="V1719" s="6" t="s">
        <v>352</v>
      </c>
      <c r="W1719" t="s">
        <v>40</v>
      </c>
      <c r="X1719">
        <v>7843014747</v>
      </c>
      <c r="Y1719">
        <v>781401001</v>
      </c>
      <c r="Z1719" s="3">
        <v>46059.447916666664</v>
      </c>
      <c r="AA1719" s="6">
        <v>2026</v>
      </c>
      <c r="AB1719" s="1">
        <v>46387</v>
      </c>
    </row>
    <row r="1720" spans="1:28" x14ac:dyDescent="0.3">
      <c r="A1720" s="4" t="s">
        <v>5676</v>
      </c>
      <c r="B1720" s="6" t="s">
        <v>361</v>
      </c>
      <c r="C1720" s="6" t="s">
        <v>164</v>
      </c>
      <c r="D1720">
        <v>7714338609</v>
      </c>
      <c r="E1720">
        <v>771401001</v>
      </c>
      <c r="F1720" t="s">
        <v>94</v>
      </c>
      <c r="G1720" t="s">
        <v>5677</v>
      </c>
      <c r="H1720" s="1">
        <v>46055</v>
      </c>
      <c r="J1720" s="8">
        <v>46058</v>
      </c>
      <c r="K1720" s="1" t="s">
        <v>5367</v>
      </c>
      <c r="L1720" t="s">
        <v>5678</v>
      </c>
      <c r="M1720" t="s">
        <v>5679</v>
      </c>
      <c r="N1720" s="12">
        <v>2124000</v>
      </c>
      <c r="O1720" t="s">
        <v>3643</v>
      </c>
      <c r="P1720" s="6" t="s">
        <v>1814</v>
      </c>
      <c r="R1720" t="s">
        <v>38</v>
      </c>
      <c r="S1720" s="9">
        <v>6000</v>
      </c>
      <c r="T1720" s="9">
        <v>354</v>
      </c>
      <c r="U1720" s="9">
        <v>2124000</v>
      </c>
      <c r="V1720" s="6" t="s">
        <v>545</v>
      </c>
      <c r="W1720" t="s">
        <v>40</v>
      </c>
      <c r="X1720">
        <v>7713655588</v>
      </c>
      <c r="Y1720">
        <v>773001001</v>
      </c>
      <c r="Z1720" s="3">
        <v>46059.361805555556</v>
      </c>
      <c r="AA1720" s="6">
        <v>2026</v>
      </c>
      <c r="AB1720" s="1">
        <v>46113</v>
      </c>
    </row>
    <row r="1721" spans="1:28" x14ac:dyDescent="0.3">
      <c r="A1721" t="s">
        <v>5680</v>
      </c>
      <c r="B1721" s="6" t="s">
        <v>981</v>
      </c>
      <c r="C1721" s="6" t="s">
        <v>164</v>
      </c>
      <c r="D1721">
        <v>7704014010</v>
      </c>
      <c r="E1721">
        <v>770401001</v>
      </c>
      <c r="F1721" t="s">
        <v>149</v>
      </c>
      <c r="G1721" t="s">
        <v>5681</v>
      </c>
      <c r="H1721" s="1">
        <v>46055</v>
      </c>
      <c r="I1721" t="s">
        <v>5682</v>
      </c>
      <c r="J1721" s="8">
        <v>46058</v>
      </c>
      <c r="K1721" s="1" t="s">
        <v>5367</v>
      </c>
      <c r="L1721" t="s">
        <v>5683</v>
      </c>
      <c r="M1721" t="s">
        <v>377</v>
      </c>
      <c r="N1721" s="12">
        <v>408000</v>
      </c>
      <c r="O1721" t="s">
        <v>5684</v>
      </c>
      <c r="P1721" s="6" t="s">
        <v>36</v>
      </c>
      <c r="R1721" t="s">
        <v>38</v>
      </c>
      <c r="S1721" s="9">
        <v>3400</v>
      </c>
      <c r="T1721" s="9">
        <v>120</v>
      </c>
      <c r="U1721" s="9">
        <v>408000</v>
      </c>
      <c r="V1721" s="6" t="s">
        <v>58</v>
      </c>
      <c r="W1721" t="s">
        <v>59</v>
      </c>
      <c r="X1721">
        <v>5262222144</v>
      </c>
      <c r="Y1721">
        <v>526001001</v>
      </c>
      <c r="Z1721" s="3">
        <v>46058.525000000001</v>
      </c>
      <c r="AA1721" s="6">
        <v>2026</v>
      </c>
      <c r="AB1721" s="1">
        <v>46418</v>
      </c>
    </row>
    <row r="1722" spans="1:28" x14ac:dyDescent="0.3">
      <c r="A1722" t="s">
        <v>5685</v>
      </c>
      <c r="B1722" s="6" t="s">
        <v>491</v>
      </c>
      <c r="C1722" s="6" t="s">
        <v>492</v>
      </c>
      <c r="D1722">
        <v>2724041260</v>
      </c>
      <c r="E1722">
        <v>272101001</v>
      </c>
      <c r="F1722" t="s">
        <v>94</v>
      </c>
      <c r="G1722" t="s">
        <v>5686</v>
      </c>
      <c r="H1722" s="1">
        <v>46055</v>
      </c>
      <c r="J1722" s="8">
        <v>46058</v>
      </c>
      <c r="K1722" s="1" t="s">
        <v>5367</v>
      </c>
      <c r="L1722" t="s">
        <v>5686</v>
      </c>
      <c r="M1722" t="s">
        <v>4221</v>
      </c>
      <c r="N1722" s="12">
        <v>102600</v>
      </c>
      <c r="O1722" t="s">
        <v>5213</v>
      </c>
      <c r="P1722" s="6" t="s">
        <v>36</v>
      </c>
      <c r="R1722" t="s">
        <v>48</v>
      </c>
      <c r="S1722" s="9">
        <v>3800</v>
      </c>
      <c r="T1722" s="9">
        <v>27</v>
      </c>
      <c r="U1722" s="9">
        <v>102600</v>
      </c>
      <c r="V1722" s="6" t="s">
        <v>352</v>
      </c>
      <c r="W1722" t="s">
        <v>40</v>
      </c>
      <c r="X1722">
        <v>7843014747</v>
      </c>
      <c r="Y1722">
        <v>781401001</v>
      </c>
      <c r="Z1722" s="3">
        <v>46058.301388888889</v>
      </c>
      <c r="AA1722" s="6">
        <v>2026</v>
      </c>
      <c r="AB1722" s="1">
        <v>46127</v>
      </c>
    </row>
    <row r="1723" spans="1:28" x14ac:dyDescent="0.3">
      <c r="A1723" t="s">
        <v>5687</v>
      </c>
      <c r="B1723" s="6" t="s">
        <v>491</v>
      </c>
      <c r="C1723" s="6" t="s">
        <v>492</v>
      </c>
      <c r="D1723">
        <v>2724041260</v>
      </c>
      <c r="E1723">
        <v>272101001</v>
      </c>
      <c r="F1723" t="s">
        <v>94</v>
      </c>
      <c r="G1723" t="s">
        <v>5688</v>
      </c>
      <c r="H1723" s="1">
        <v>46055</v>
      </c>
      <c r="J1723" s="8">
        <v>46058</v>
      </c>
      <c r="K1723" s="1" t="s">
        <v>5367</v>
      </c>
      <c r="L1723" t="s">
        <v>5688</v>
      </c>
      <c r="M1723" t="s">
        <v>4221</v>
      </c>
      <c r="N1723" s="12">
        <v>102600</v>
      </c>
      <c r="O1723" t="s">
        <v>5213</v>
      </c>
      <c r="P1723" s="6" t="s">
        <v>36</v>
      </c>
      <c r="R1723" t="s">
        <v>48</v>
      </c>
      <c r="S1723" s="9">
        <v>3800</v>
      </c>
      <c r="T1723" s="9">
        <v>27</v>
      </c>
      <c r="U1723" s="9">
        <v>102600</v>
      </c>
      <c r="V1723" s="6" t="s">
        <v>352</v>
      </c>
      <c r="W1723" t="s">
        <v>40</v>
      </c>
      <c r="X1723">
        <v>7843014747</v>
      </c>
      <c r="Y1723">
        <v>781401001</v>
      </c>
      <c r="Z1723" s="3">
        <v>46058.299305555556</v>
      </c>
      <c r="AA1723" s="6">
        <v>2026</v>
      </c>
      <c r="AB1723" s="1">
        <v>46127</v>
      </c>
    </row>
    <row r="1724" spans="1:28" x14ac:dyDescent="0.3">
      <c r="A1724" t="s">
        <v>5689</v>
      </c>
      <c r="B1724" s="6" t="s">
        <v>491</v>
      </c>
      <c r="C1724" s="6" t="s">
        <v>492</v>
      </c>
      <c r="D1724">
        <v>2724041260</v>
      </c>
      <c r="E1724">
        <v>272101001</v>
      </c>
      <c r="F1724" t="s">
        <v>94</v>
      </c>
      <c r="G1724" t="s">
        <v>5690</v>
      </c>
      <c r="H1724" s="1">
        <v>46055</v>
      </c>
      <c r="J1724" s="8">
        <v>46058</v>
      </c>
      <c r="K1724" s="1" t="s">
        <v>5367</v>
      </c>
      <c r="L1724" t="s">
        <v>5690</v>
      </c>
      <c r="M1724" t="s">
        <v>4221</v>
      </c>
      <c r="N1724" s="12">
        <v>102600</v>
      </c>
      <c r="O1724" t="s">
        <v>5213</v>
      </c>
      <c r="P1724" s="6" t="s">
        <v>36</v>
      </c>
      <c r="R1724" t="s">
        <v>48</v>
      </c>
      <c r="S1724" s="9">
        <v>3800</v>
      </c>
      <c r="T1724" s="9">
        <v>27</v>
      </c>
      <c r="U1724" s="9">
        <v>102600</v>
      </c>
      <c r="V1724" s="6" t="s">
        <v>352</v>
      </c>
      <c r="W1724" t="s">
        <v>40</v>
      </c>
      <c r="X1724">
        <v>7843014747</v>
      </c>
      <c r="Y1724">
        <v>781401001</v>
      </c>
      <c r="Z1724" s="3">
        <v>46058.29791666667</v>
      </c>
      <c r="AA1724" s="6">
        <v>2026</v>
      </c>
      <c r="AB1724" s="1">
        <v>46127</v>
      </c>
    </row>
    <row r="1725" spans="1:28" x14ac:dyDescent="0.3">
      <c r="A1725" t="s">
        <v>5691</v>
      </c>
      <c r="B1725" s="6" t="s">
        <v>491</v>
      </c>
      <c r="C1725" s="6" t="s">
        <v>492</v>
      </c>
      <c r="D1725">
        <v>2724041260</v>
      </c>
      <c r="E1725">
        <v>272101001</v>
      </c>
      <c r="F1725" t="s">
        <v>94</v>
      </c>
      <c r="G1725" t="s">
        <v>5692</v>
      </c>
      <c r="H1725" s="1">
        <v>46055</v>
      </c>
      <c r="J1725" s="8">
        <v>46058</v>
      </c>
      <c r="K1725" s="1" t="s">
        <v>5367</v>
      </c>
      <c r="L1725" t="s">
        <v>5692</v>
      </c>
      <c r="M1725" t="s">
        <v>4221</v>
      </c>
      <c r="N1725" s="12">
        <v>102600</v>
      </c>
      <c r="O1725" t="s">
        <v>5213</v>
      </c>
      <c r="P1725" s="6" t="s">
        <v>36</v>
      </c>
      <c r="R1725" t="s">
        <v>48</v>
      </c>
      <c r="S1725" s="9">
        <v>3800</v>
      </c>
      <c r="T1725" s="9">
        <v>27</v>
      </c>
      <c r="U1725" s="9">
        <v>102600</v>
      </c>
      <c r="V1725" s="6" t="s">
        <v>352</v>
      </c>
      <c r="W1725" t="s">
        <v>40</v>
      </c>
      <c r="X1725">
        <v>7843014747</v>
      </c>
      <c r="Y1725">
        <v>781401001</v>
      </c>
      <c r="Z1725" s="3">
        <v>46058.295138888891</v>
      </c>
      <c r="AA1725" s="6">
        <v>2026</v>
      </c>
      <c r="AB1725" s="1">
        <v>46127</v>
      </c>
    </row>
    <row r="1726" spans="1:28" x14ac:dyDescent="0.3">
      <c r="A1726" t="s">
        <v>5693</v>
      </c>
      <c r="B1726" s="6" t="s">
        <v>491</v>
      </c>
      <c r="C1726" s="6" t="s">
        <v>492</v>
      </c>
      <c r="D1726">
        <v>2724041260</v>
      </c>
      <c r="E1726">
        <v>272101001</v>
      </c>
      <c r="F1726" t="s">
        <v>94</v>
      </c>
      <c r="G1726" t="s">
        <v>5694</v>
      </c>
      <c r="H1726" s="1">
        <v>46055</v>
      </c>
      <c r="J1726" s="8">
        <v>46058</v>
      </c>
      <c r="K1726" s="1" t="s">
        <v>5367</v>
      </c>
      <c r="L1726" t="s">
        <v>5694</v>
      </c>
      <c r="M1726" t="s">
        <v>4221</v>
      </c>
      <c r="N1726" s="12">
        <v>102600</v>
      </c>
      <c r="O1726" t="s">
        <v>5213</v>
      </c>
      <c r="P1726" s="6" t="s">
        <v>36</v>
      </c>
      <c r="R1726" t="s">
        <v>48</v>
      </c>
      <c r="S1726" s="9">
        <v>3800</v>
      </c>
      <c r="T1726" s="9">
        <v>27</v>
      </c>
      <c r="U1726" s="9">
        <v>102600</v>
      </c>
      <c r="V1726" s="6" t="s">
        <v>352</v>
      </c>
      <c r="W1726" t="s">
        <v>40</v>
      </c>
      <c r="X1726">
        <v>7843014747</v>
      </c>
      <c r="Y1726">
        <v>781401001</v>
      </c>
      <c r="Z1726" s="3">
        <v>46058.293055555558</v>
      </c>
      <c r="AA1726" s="6">
        <v>2026</v>
      </c>
      <c r="AB1726" s="1">
        <v>46127</v>
      </c>
    </row>
    <row r="1727" spans="1:28" x14ac:dyDescent="0.3">
      <c r="A1727" t="s">
        <v>5673</v>
      </c>
      <c r="B1727" s="6" t="s">
        <v>197</v>
      </c>
      <c r="C1727" s="6" t="s">
        <v>198</v>
      </c>
      <c r="D1727">
        <v>1001046786</v>
      </c>
      <c r="E1727">
        <v>100101001</v>
      </c>
      <c r="F1727" t="s">
        <v>94</v>
      </c>
      <c r="G1727" t="s">
        <v>5674</v>
      </c>
      <c r="H1727" s="1">
        <v>46055</v>
      </c>
      <c r="J1727" s="8">
        <v>46058</v>
      </c>
      <c r="K1727" s="1" t="s">
        <v>5367</v>
      </c>
      <c r="L1727" t="s">
        <v>5674</v>
      </c>
      <c r="M1727" t="s">
        <v>5675</v>
      </c>
      <c r="N1727" s="12">
        <v>1295000</v>
      </c>
      <c r="O1727" t="s">
        <v>3633</v>
      </c>
      <c r="P1727" s="6" t="s">
        <v>36</v>
      </c>
      <c r="R1727" t="s">
        <v>38</v>
      </c>
      <c r="S1727" s="9">
        <v>2590</v>
      </c>
      <c r="T1727" s="9">
        <v>500</v>
      </c>
      <c r="U1727" s="9">
        <v>1295000</v>
      </c>
      <c r="V1727" s="6" t="s">
        <v>352</v>
      </c>
      <c r="W1727" t="s">
        <v>40</v>
      </c>
      <c r="X1727">
        <v>7843014747</v>
      </c>
      <c r="Y1727">
        <v>781401001</v>
      </c>
      <c r="Z1727" s="3">
        <v>46059.447916666664</v>
      </c>
      <c r="AA1727" s="6">
        <v>2026</v>
      </c>
      <c r="AB1727" s="1">
        <v>46387</v>
      </c>
    </row>
    <row r="1728" spans="1:28" x14ac:dyDescent="0.3">
      <c r="A1728" t="s">
        <v>5695</v>
      </c>
      <c r="B1728" s="6" t="s">
        <v>361</v>
      </c>
      <c r="C1728" s="6" t="s">
        <v>164</v>
      </c>
      <c r="D1728">
        <v>7714338609</v>
      </c>
      <c r="E1728">
        <v>771401001</v>
      </c>
      <c r="F1728" t="s">
        <v>94</v>
      </c>
      <c r="G1728" t="s">
        <v>5677</v>
      </c>
      <c r="H1728" s="1">
        <v>46055</v>
      </c>
      <c r="J1728" s="8">
        <v>46058</v>
      </c>
      <c r="K1728" s="1" t="s">
        <v>5367</v>
      </c>
      <c r="L1728" t="s">
        <v>5678</v>
      </c>
      <c r="M1728" t="s">
        <v>5679</v>
      </c>
      <c r="N1728" s="12">
        <v>2124000</v>
      </c>
      <c r="O1728" t="s">
        <v>3643</v>
      </c>
      <c r="P1728" s="6" t="s">
        <v>1814</v>
      </c>
      <c r="R1728" t="s">
        <v>38</v>
      </c>
      <c r="S1728" s="9">
        <v>6000</v>
      </c>
      <c r="T1728" s="9">
        <v>354</v>
      </c>
      <c r="U1728" s="9">
        <v>2124000</v>
      </c>
      <c r="V1728" s="6" t="s">
        <v>545</v>
      </c>
      <c r="W1728" t="s">
        <v>40</v>
      </c>
      <c r="X1728">
        <v>7713655588</v>
      </c>
      <c r="Y1728">
        <v>773001001</v>
      </c>
      <c r="Z1728" s="3">
        <v>46059.361805555556</v>
      </c>
      <c r="AA1728" s="6">
        <v>2026</v>
      </c>
      <c r="AB1728" s="1">
        <v>46113</v>
      </c>
    </row>
    <row r="1729" spans="1:28" x14ac:dyDescent="0.3">
      <c r="A1729" t="s">
        <v>5696</v>
      </c>
      <c r="B1729" s="6" t="s">
        <v>491</v>
      </c>
      <c r="C1729" s="6" t="s">
        <v>492</v>
      </c>
      <c r="D1729">
        <v>2724041260</v>
      </c>
      <c r="E1729">
        <v>272101001</v>
      </c>
      <c r="F1729" t="s">
        <v>94</v>
      </c>
      <c r="G1729" t="s">
        <v>5697</v>
      </c>
      <c r="H1729" s="1">
        <v>46056</v>
      </c>
      <c r="J1729" s="8">
        <v>46059</v>
      </c>
      <c r="K1729" s="1" t="s">
        <v>5367</v>
      </c>
      <c r="L1729" t="s">
        <v>5697</v>
      </c>
      <c r="M1729" t="s">
        <v>4221</v>
      </c>
      <c r="N1729" s="12">
        <v>102600</v>
      </c>
      <c r="O1729" t="s">
        <v>5213</v>
      </c>
      <c r="P1729" s="6" t="s">
        <v>36</v>
      </c>
      <c r="R1729" t="s">
        <v>48</v>
      </c>
      <c r="S1729" s="9">
        <v>3800</v>
      </c>
      <c r="T1729" s="9">
        <v>27</v>
      </c>
      <c r="U1729" s="9">
        <v>102600</v>
      </c>
      <c r="V1729" s="6" t="s">
        <v>352</v>
      </c>
      <c r="W1729" t="s">
        <v>40</v>
      </c>
      <c r="X1729">
        <v>7843014747</v>
      </c>
      <c r="Y1729">
        <v>781401001</v>
      </c>
      <c r="Z1729" s="3">
        <v>46059.289583333331</v>
      </c>
      <c r="AA1729" s="6">
        <v>2026</v>
      </c>
      <c r="AB1729" s="1">
        <v>46136</v>
      </c>
    </row>
    <row r="1730" spans="1:28" x14ac:dyDescent="0.3">
      <c r="A1730" t="s">
        <v>5698</v>
      </c>
      <c r="B1730" s="6" t="s">
        <v>491</v>
      </c>
      <c r="C1730" s="6" t="s">
        <v>492</v>
      </c>
      <c r="D1730">
        <v>2724041260</v>
      </c>
      <c r="E1730">
        <v>272101001</v>
      </c>
      <c r="F1730" t="s">
        <v>94</v>
      </c>
      <c r="G1730" t="s">
        <v>5699</v>
      </c>
      <c r="H1730" s="1">
        <v>46056</v>
      </c>
      <c r="J1730" s="8">
        <v>46059</v>
      </c>
      <c r="K1730" s="1" t="s">
        <v>5367</v>
      </c>
      <c r="L1730" t="s">
        <v>5699</v>
      </c>
      <c r="M1730" t="s">
        <v>4221</v>
      </c>
      <c r="N1730" s="12">
        <v>102600</v>
      </c>
      <c r="O1730" t="s">
        <v>5213</v>
      </c>
      <c r="P1730" s="6" t="s">
        <v>36</v>
      </c>
      <c r="R1730" t="s">
        <v>48</v>
      </c>
      <c r="S1730" s="9">
        <v>3800</v>
      </c>
      <c r="T1730" s="9">
        <v>27</v>
      </c>
      <c r="U1730" s="9">
        <v>102600</v>
      </c>
      <c r="V1730" s="6" t="s">
        <v>352</v>
      </c>
      <c r="W1730" t="s">
        <v>40</v>
      </c>
      <c r="X1730">
        <v>7843014747</v>
      </c>
      <c r="Y1730">
        <v>781401001</v>
      </c>
      <c r="Z1730" s="3">
        <v>46059.287499999999</v>
      </c>
      <c r="AA1730" s="6">
        <v>2026</v>
      </c>
      <c r="AB1730" s="1">
        <v>46136</v>
      </c>
    </row>
    <row r="1731" spans="1:28" x14ac:dyDescent="0.3">
      <c r="A1731" t="s">
        <v>5700</v>
      </c>
      <c r="B1731" s="6" t="s">
        <v>491</v>
      </c>
      <c r="C1731" s="6" t="s">
        <v>492</v>
      </c>
      <c r="D1731">
        <v>2724041260</v>
      </c>
      <c r="E1731">
        <v>272101001</v>
      </c>
      <c r="F1731" t="s">
        <v>94</v>
      </c>
      <c r="G1731" t="s">
        <v>5701</v>
      </c>
      <c r="H1731" s="1">
        <v>46056</v>
      </c>
      <c r="J1731" s="8">
        <v>46059</v>
      </c>
      <c r="K1731" s="1" t="s">
        <v>5367</v>
      </c>
      <c r="L1731" t="s">
        <v>5701</v>
      </c>
      <c r="M1731" t="s">
        <v>4221</v>
      </c>
      <c r="N1731" s="12">
        <v>102600</v>
      </c>
      <c r="O1731" t="s">
        <v>5213</v>
      </c>
      <c r="P1731" s="6" t="s">
        <v>36</v>
      </c>
      <c r="R1731" t="s">
        <v>48</v>
      </c>
      <c r="S1731" s="9">
        <v>3800</v>
      </c>
      <c r="T1731" s="9">
        <v>27</v>
      </c>
      <c r="U1731" s="9">
        <v>102600</v>
      </c>
      <c r="V1731" s="6" t="s">
        <v>352</v>
      </c>
      <c r="W1731" t="s">
        <v>40</v>
      </c>
      <c r="X1731">
        <v>7843014747</v>
      </c>
      <c r="Y1731">
        <v>781401001</v>
      </c>
      <c r="Z1731" s="3">
        <v>46059.285416666666</v>
      </c>
      <c r="AA1731" s="6">
        <v>2026</v>
      </c>
      <c r="AB1731" s="1">
        <v>46136</v>
      </c>
    </row>
    <row r="1732" spans="1:28" x14ac:dyDescent="0.3">
      <c r="A1732" t="s">
        <v>5702</v>
      </c>
      <c r="B1732" s="6" t="s">
        <v>782</v>
      </c>
      <c r="C1732" s="6" t="s">
        <v>783</v>
      </c>
      <c r="D1732">
        <v>6231025123</v>
      </c>
      <c r="E1732">
        <v>623401001</v>
      </c>
      <c r="F1732" t="s">
        <v>94</v>
      </c>
      <c r="G1732" t="s">
        <v>5703</v>
      </c>
      <c r="H1732" s="1">
        <v>46052</v>
      </c>
      <c r="J1732" s="8">
        <v>46059</v>
      </c>
      <c r="K1732" s="1" t="s">
        <v>5367</v>
      </c>
      <c r="L1732" t="s">
        <v>5704</v>
      </c>
      <c r="M1732" t="s">
        <v>5705</v>
      </c>
      <c r="N1732" s="12">
        <v>30384680</v>
      </c>
      <c r="O1732" t="s">
        <v>3624</v>
      </c>
      <c r="P1732" s="6" t="s">
        <v>891</v>
      </c>
      <c r="Q1732" t="s">
        <v>37</v>
      </c>
      <c r="R1732" t="s">
        <v>38</v>
      </c>
      <c r="S1732" s="9">
        <v>2900</v>
      </c>
      <c r="T1732" s="9">
        <v>1990</v>
      </c>
      <c r="U1732" s="9">
        <v>5771000</v>
      </c>
      <c r="V1732" s="6" t="s">
        <v>58</v>
      </c>
      <c r="W1732" t="s">
        <v>59</v>
      </c>
      <c r="X1732">
        <v>5262222144</v>
      </c>
      <c r="Y1732">
        <v>526001001</v>
      </c>
      <c r="Z1732" s="3">
        <v>46065.751388888886</v>
      </c>
      <c r="AA1732" s="6">
        <v>2026</v>
      </c>
      <c r="AB1732" s="1">
        <v>46346</v>
      </c>
    </row>
    <row r="1733" spans="1:28" x14ac:dyDescent="0.3">
      <c r="A1733" t="s">
        <v>5702</v>
      </c>
      <c r="B1733" s="6" t="s">
        <v>782</v>
      </c>
      <c r="C1733" s="6" t="s">
        <v>783</v>
      </c>
      <c r="D1733">
        <v>6231025123</v>
      </c>
      <c r="E1733">
        <v>623401001</v>
      </c>
      <c r="F1733" t="s">
        <v>94</v>
      </c>
      <c r="G1733" t="s">
        <v>5703</v>
      </c>
      <c r="H1733" s="1">
        <v>46052</v>
      </c>
      <c r="J1733" s="8">
        <v>46059</v>
      </c>
      <c r="K1733" s="1" t="s">
        <v>5367</v>
      </c>
      <c r="L1733" t="s">
        <v>5704</v>
      </c>
      <c r="M1733" t="s">
        <v>5705</v>
      </c>
      <c r="N1733" s="12">
        <v>30384680</v>
      </c>
      <c r="O1733" t="s">
        <v>3745</v>
      </c>
      <c r="P1733" s="6" t="s">
        <v>2277</v>
      </c>
      <c r="Q1733" t="s">
        <v>37</v>
      </c>
      <c r="R1733" t="s">
        <v>38</v>
      </c>
      <c r="S1733" s="9">
        <v>2900</v>
      </c>
      <c r="T1733" s="9">
        <v>1300</v>
      </c>
      <c r="U1733" s="9">
        <v>3770000</v>
      </c>
      <c r="V1733" s="6" t="s">
        <v>58</v>
      </c>
      <c r="W1733" t="s">
        <v>59</v>
      </c>
      <c r="X1733">
        <v>5262222144</v>
      </c>
      <c r="Y1733">
        <v>526001001</v>
      </c>
      <c r="Z1733" s="3">
        <v>46065.751388888886</v>
      </c>
      <c r="AA1733" s="6">
        <v>2026</v>
      </c>
      <c r="AB1733" s="1">
        <v>46346</v>
      </c>
    </row>
    <row r="1734" spans="1:28" x14ac:dyDescent="0.3">
      <c r="A1734" t="s">
        <v>5702</v>
      </c>
      <c r="B1734" s="6" t="s">
        <v>782</v>
      </c>
      <c r="C1734" s="6" t="s">
        <v>783</v>
      </c>
      <c r="D1734">
        <v>6231025123</v>
      </c>
      <c r="E1734">
        <v>623401001</v>
      </c>
      <c r="F1734" t="s">
        <v>94</v>
      </c>
      <c r="G1734" t="s">
        <v>5703</v>
      </c>
      <c r="H1734" s="1">
        <v>46052</v>
      </c>
      <c r="J1734" s="8">
        <v>46059</v>
      </c>
      <c r="K1734" s="1" t="s">
        <v>5367</v>
      </c>
      <c r="L1734" t="s">
        <v>5704</v>
      </c>
      <c r="M1734" t="s">
        <v>5705</v>
      </c>
      <c r="N1734" s="12">
        <v>30384680</v>
      </c>
      <c r="O1734" t="s">
        <v>3624</v>
      </c>
      <c r="P1734" s="6" t="s">
        <v>891</v>
      </c>
      <c r="Q1734" t="s">
        <v>37</v>
      </c>
      <c r="R1734" t="s">
        <v>38</v>
      </c>
      <c r="S1734" s="9">
        <v>3195</v>
      </c>
      <c r="T1734" s="9">
        <v>624</v>
      </c>
      <c r="U1734" s="9">
        <v>1993680</v>
      </c>
      <c r="V1734" s="6" t="s">
        <v>58</v>
      </c>
      <c r="W1734" t="s">
        <v>59</v>
      </c>
      <c r="X1734">
        <v>5262222144</v>
      </c>
      <c r="Y1734">
        <v>526001001</v>
      </c>
      <c r="Z1734" s="3">
        <v>46065.751388888886</v>
      </c>
      <c r="AA1734" s="6">
        <v>2026</v>
      </c>
      <c r="AB1734" s="1">
        <v>46346</v>
      </c>
    </row>
    <row r="1735" spans="1:28" x14ac:dyDescent="0.3">
      <c r="A1735" t="s">
        <v>5702</v>
      </c>
      <c r="B1735" s="6" t="s">
        <v>782</v>
      </c>
      <c r="C1735" s="6" t="s">
        <v>783</v>
      </c>
      <c r="D1735">
        <v>6231025123</v>
      </c>
      <c r="E1735">
        <v>623401001</v>
      </c>
      <c r="F1735" t="s">
        <v>94</v>
      </c>
      <c r="G1735" t="s">
        <v>5703</v>
      </c>
      <c r="H1735" s="1">
        <v>46052</v>
      </c>
      <c r="J1735" s="8">
        <v>46059</v>
      </c>
      <c r="K1735" s="1" t="s">
        <v>5367</v>
      </c>
      <c r="L1735" t="s">
        <v>5704</v>
      </c>
      <c r="M1735" t="s">
        <v>5705</v>
      </c>
      <c r="N1735" s="12">
        <v>30384680</v>
      </c>
      <c r="O1735" t="s">
        <v>3633</v>
      </c>
      <c r="P1735" s="6" t="s">
        <v>36</v>
      </c>
      <c r="Q1735" t="s">
        <v>37</v>
      </c>
      <c r="R1735" t="s">
        <v>38</v>
      </c>
      <c r="S1735" s="9">
        <v>2900</v>
      </c>
      <c r="T1735" s="9">
        <v>6500</v>
      </c>
      <c r="U1735" s="9">
        <v>18850000</v>
      </c>
      <c r="V1735" s="6" t="s">
        <v>58</v>
      </c>
      <c r="W1735" t="s">
        <v>59</v>
      </c>
      <c r="X1735">
        <v>5262222144</v>
      </c>
      <c r="Y1735">
        <v>526001001</v>
      </c>
      <c r="Z1735" s="3">
        <v>46065.751388888886</v>
      </c>
      <c r="AA1735" s="6">
        <v>2026</v>
      </c>
      <c r="AB1735" s="1">
        <v>46346</v>
      </c>
    </row>
    <row r="1736" spans="1:28" x14ac:dyDescent="0.3">
      <c r="A1736" t="s">
        <v>5706</v>
      </c>
      <c r="B1736" s="6" t="s">
        <v>5525</v>
      </c>
      <c r="C1736" s="6" t="s">
        <v>140</v>
      </c>
      <c r="D1736">
        <v>3460088465</v>
      </c>
      <c r="E1736">
        <v>346001001</v>
      </c>
      <c r="F1736" t="s">
        <v>52</v>
      </c>
      <c r="G1736" t="s">
        <v>5707</v>
      </c>
      <c r="H1736" s="1">
        <v>46048</v>
      </c>
      <c r="I1736" t="s">
        <v>5708</v>
      </c>
      <c r="J1736" s="8">
        <v>46059</v>
      </c>
      <c r="K1736" s="1" t="s">
        <v>5367</v>
      </c>
      <c r="L1736" t="s">
        <v>5709</v>
      </c>
      <c r="M1736" t="s">
        <v>3331</v>
      </c>
      <c r="N1736" s="12">
        <v>1017959.25</v>
      </c>
      <c r="O1736" t="s">
        <v>3624</v>
      </c>
      <c r="P1736" s="6" t="s">
        <v>891</v>
      </c>
      <c r="Q1736" t="s">
        <v>37</v>
      </c>
      <c r="R1736" t="s">
        <v>38</v>
      </c>
      <c r="S1736" s="9">
        <v>3701.67</v>
      </c>
      <c r="T1736" s="9">
        <v>275</v>
      </c>
      <c r="U1736" s="9">
        <v>1017959.25</v>
      </c>
      <c r="V1736" s="6" t="s">
        <v>39</v>
      </c>
      <c r="W1736" t="s">
        <v>40</v>
      </c>
      <c r="X1736">
        <v>7810687137</v>
      </c>
      <c r="Y1736">
        <v>781401001</v>
      </c>
      <c r="Z1736" s="3">
        <v>46062.7</v>
      </c>
      <c r="AA1736" s="6">
        <v>2026</v>
      </c>
      <c r="AB1736" s="1">
        <v>46387</v>
      </c>
    </row>
    <row r="1737" spans="1:28" x14ac:dyDescent="0.3">
      <c r="A1737" t="s">
        <v>5696</v>
      </c>
      <c r="B1737" s="6" t="s">
        <v>491</v>
      </c>
      <c r="C1737" s="6" t="s">
        <v>492</v>
      </c>
      <c r="D1737">
        <v>2724041260</v>
      </c>
      <c r="E1737">
        <v>272101001</v>
      </c>
      <c r="F1737" t="s">
        <v>94</v>
      </c>
      <c r="G1737" t="s">
        <v>5697</v>
      </c>
      <c r="H1737" s="1">
        <v>46056</v>
      </c>
      <c r="J1737" s="8">
        <v>46059</v>
      </c>
      <c r="K1737" s="1" t="s">
        <v>5367</v>
      </c>
      <c r="L1737" t="s">
        <v>5697</v>
      </c>
      <c r="M1737" t="s">
        <v>4221</v>
      </c>
      <c r="N1737" s="12">
        <v>102600</v>
      </c>
      <c r="O1737" t="s">
        <v>5213</v>
      </c>
      <c r="P1737" s="6" t="s">
        <v>36</v>
      </c>
      <c r="R1737" t="s">
        <v>48</v>
      </c>
      <c r="S1737" s="9">
        <v>3800</v>
      </c>
      <c r="T1737" s="9">
        <v>27</v>
      </c>
      <c r="U1737" s="9">
        <v>102600</v>
      </c>
      <c r="V1737" s="6" t="s">
        <v>352</v>
      </c>
      <c r="W1737" t="s">
        <v>40</v>
      </c>
      <c r="X1737">
        <v>7843014747</v>
      </c>
      <c r="Y1737">
        <v>781401001</v>
      </c>
      <c r="Z1737" s="3">
        <v>46059.289583333331</v>
      </c>
      <c r="AA1737" s="6">
        <v>2026</v>
      </c>
      <c r="AB1737" s="1">
        <v>46136</v>
      </c>
    </row>
    <row r="1738" spans="1:28" x14ac:dyDescent="0.3">
      <c r="A1738" t="s">
        <v>5698</v>
      </c>
      <c r="B1738" s="6" t="s">
        <v>491</v>
      </c>
      <c r="C1738" s="6" t="s">
        <v>492</v>
      </c>
      <c r="D1738">
        <v>2724041260</v>
      </c>
      <c r="E1738">
        <v>272101001</v>
      </c>
      <c r="F1738" t="s">
        <v>94</v>
      </c>
      <c r="G1738" t="s">
        <v>5699</v>
      </c>
      <c r="H1738" s="1">
        <v>46056</v>
      </c>
      <c r="J1738" s="8">
        <v>46059</v>
      </c>
      <c r="K1738" s="1" t="s">
        <v>5367</v>
      </c>
      <c r="L1738" t="s">
        <v>5699</v>
      </c>
      <c r="M1738" t="s">
        <v>4221</v>
      </c>
      <c r="N1738" s="12">
        <v>102600</v>
      </c>
      <c r="O1738" t="s">
        <v>5213</v>
      </c>
      <c r="P1738" s="6" t="s">
        <v>36</v>
      </c>
      <c r="R1738" t="s">
        <v>48</v>
      </c>
      <c r="S1738" s="9">
        <v>3800</v>
      </c>
      <c r="T1738" s="9">
        <v>27</v>
      </c>
      <c r="U1738" s="9">
        <v>102600</v>
      </c>
      <c r="V1738" s="6" t="s">
        <v>352</v>
      </c>
      <c r="W1738" t="s">
        <v>40</v>
      </c>
      <c r="X1738">
        <v>7843014747</v>
      </c>
      <c r="Y1738">
        <v>781401001</v>
      </c>
      <c r="Z1738" s="3">
        <v>46059.287499999999</v>
      </c>
      <c r="AA1738" s="6">
        <v>2026</v>
      </c>
      <c r="AB1738" s="1">
        <v>46136</v>
      </c>
    </row>
    <row r="1739" spans="1:28" x14ac:dyDescent="0.3">
      <c r="A1739" t="s">
        <v>5700</v>
      </c>
      <c r="B1739" s="6" t="s">
        <v>491</v>
      </c>
      <c r="C1739" s="6" t="s">
        <v>492</v>
      </c>
      <c r="D1739">
        <v>2724041260</v>
      </c>
      <c r="E1739">
        <v>272101001</v>
      </c>
      <c r="F1739" t="s">
        <v>94</v>
      </c>
      <c r="G1739" t="s">
        <v>5701</v>
      </c>
      <c r="H1739" s="1">
        <v>46056</v>
      </c>
      <c r="J1739" s="8">
        <v>46059</v>
      </c>
      <c r="K1739" s="1" t="s">
        <v>5367</v>
      </c>
      <c r="L1739" t="s">
        <v>5701</v>
      </c>
      <c r="M1739" t="s">
        <v>4221</v>
      </c>
      <c r="N1739" s="12">
        <v>102600</v>
      </c>
      <c r="O1739" t="s">
        <v>5213</v>
      </c>
      <c r="P1739" s="6" t="s">
        <v>36</v>
      </c>
      <c r="R1739" t="s">
        <v>48</v>
      </c>
      <c r="S1739" s="9">
        <v>3800</v>
      </c>
      <c r="T1739" s="9">
        <v>27</v>
      </c>
      <c r="U1739" s="9">
        <v>102600</v>
      </c>
      <c r="V1739" s="6" t="s">
        <v>352</v>
      </c>
      <c r="W1739" t="s">
        <v>40</v>
      </c>
      <c r="X1739">
        <v>7843014747</v>
      </c>
      <c r="Y1739">
        <v>781401001</v>
      </c>
      <c r="Z1739" s="3">
        <v>46059.285416666666</v>
      </c>
      <c r="AA1739" s="6">
        <v>2026</v>
      </c>
      <c r="AB1739" s="1">
        <v>46136</v>
      </c>
    </row>
    <row r="1740" spans="1:28" x14ac:dyDescent="0.3">
      <c r="A1740" t="s">
        <v>5710</v>
      </c>
      <c r="B1740" s="6" t="s">
        <v>491</v>
      </c>
      <c r="C1740" s="6" t="s">
        <v>492</v>
      </c>
      <c r="D1740">
        <v>2724041260</v>
      </c>
      <c r="E1740">
        <v>272101001</v>
      </c>
      <c r="F1740" t="s">
        <v>94</v>
      </c>
      <c r="G1740" t="s">
        <v>5711</v>
      </c>
      <c r="H1740" s="1">
        <v>46057</v>
      </c>
      <c r="J1740" s="8">
        <v>46062</v>
      </c>
      <c r="K1740" s="1" t="s">
        <v>5367</v>
      </c>
      <c r="L1740" t="s">
        <v>5711</v>
      </c>
      <c r="M1740" t="s">
        <v>4221</v>
      </c>
      <c r="N1740" s="12">
        <v>102600</v>
      </c>
      <c r="O1740" t="s">
        <v>5213</v>
      </c>
      <c r="P1740" s="6" t="s">
        <v>36</v>
      </c>
      <c r="R1740" t="s">
        <v>48</v>
      </c>
      <c r="S1740" s="9">
        <v>3800</v>
      </c>
      <c r="T1740" s="9">
        <v>27</v>
      </c>
      <c r="U1740" s="9">
        <v>102600</v>
      </c>
      <c r="V1740" s="6" t="s">
        <v>352</v>
      </c>
      <c r="W1740" t="s">
        <v>40</v>
      </c>
      <c r="X1740">
        <v>7843014747</v>
      </c>
      <c r="Y1740">
        <v>781401001</v>
      </c>
      <c r="Z1740" s="3">
        <v>46063.276388888888</v>
      </c>
      <c r="AA1740" s="6">
        <v>2026</v>
      </c>
      <c r="AB1740" s="1">
        <v>46136</v>
      </c>
    </row>
    <row r="1741" spans="1:28" x14ac:dyDescent="0.3">
      <c r="A1741" t="s">
        <v>5712</v>
      </c>
      <c r="B1741" s="6" t="s">
        <v>491</v>
      </c>
      <c r="C1741" s="6" t="s">
        <v>492</v>
      </c>
      <c r="D1741">
        <v>2724041260</v>
      </c>
      <c r="E1741">
        <v>272101001</v>
      </c>
      <c r="F1741" t="s">
        <v>94</v>
      </c>
      <c r="G1741" t="s">
        <v>5713</v>
      </c>
      <c r="H1741" s="1">
        <v>46057</v>
      </c>
      <c r="J1741" s="8">
        <v>46062</v>
      </c>
      <c r="K1741" s="1" t="s">
        <v>5367</v>
      </c>
      <c r="L1741" t="s">
        <v>5713</v>
      </c>
      <c r="M1741" t="s">
        <v>4221</v>
      </c>
      <c r="N1741" s="12">
        <v>102600</v>
      </c>
      <c r="O1741" t="s">
        <v>5213</v>
      </c>
      <c r="P1741" s="6" t="s">
        <v>36</v>
      </c>
      <c r="R1741" t="s">
        <v>48</v>
      </c>
      <c r="S1741" s="9">
        <v>3800</v>
      </c>
      <c r="T1741" s="9">
        <v>27</v>
      </c>
      <c r="U1741" s="9">
        <v>102600</v>
      </c>
      <c r="V1741" s="6" t="s">
        <v>352</v>
      </c>
      <c r="W1741" t="s">
        <v>40</v>
      </c>
      <c r="X1741">
        <v>7843014747</v>
      </c>
      <c r="Y1741">
        <v>781401001</v>
      </c>
      <c r="Z1741" s="3">
        <v>46062.425000000003</v>
      </c>
      <c r="AA1741" s="6">
        <v>2026</v>
      </c>
      <c r="AB1741" s="1">
        <v>46136</v>
      </c>
    </row>
    <row r="1742" spans="1:28" x14ac:dyDescent="0.3">
      <c r="A1742" t="s">
        <v>5714</v>
      </c>
      <c r="B1742" s="6" t="s">
        <v>491</v>
      </c>
      <c r="C1742" s="6" t="s">
        <v>492</v>
      </c>
      <c r="D1742">
        <v>2724041260</v>
      </c>
      <c r="E1742">
        <v>272101001</v>
      </c>
      <c r="F1742" t="s">
        <v>94</v>
      </c>
      <c r="G1742" t="s">
        <v>5715</v>
      </c>
      <c r="H1742" s="1">
        <v>46057</v>
      </c>
      <c r="J1742" s="8">
        <v>46062</v>
      </c>
      <c r="K1742" s="1" t="s">
        <v>5367</v>
      </c>
      <c r="L1742" t="s">
        <v>5716</v>
      </c>
      <c r="M1742" t="s">
        <v>4221</v>
      </c>
      <c r="N1742" s="12">
        <v>102600</v>
      </c>
      <c r="O1742" t="s">
        <v>5213</v>
      </c>
      <c r="P1742" s="6" t="s">
        <v>36</v>
      </c>
      <c r="R1742" t="s">
        <v>48</v>
      </c>
      <c r="S1742" s="9">
        <v>3800</v>
      </c>
      <c r="T1742" s="9">
        <v>27</v>
      </c>
      <c r="U1742" s="9">
        <v>102600</v>
      </c>
      <c r="V1742" s="6" t="s">
        <v>352</v>
      </c>
      <c r="W1742" t="s">
        <v>40</v>
      </c>
      <c r="X1742">
        <v>7843014747</v>
      </c>
      <c r="Y1742">
        <v>781401001</v>
      </c>
      <c r="Z1742" s="3">
        <v>46062.423611111109</v>
      </c>
      <c r="AA1742" s="6">
        <v>2026</v>
      </c>
      <c r="AB1742" s="1">
        <v>46136</v>
      </c>
    </row>
    <row r="1743" spans="1:28" x14ac:dyDescent="0.3">
      <c r="A1743" t="s">
        <v>5717</v>
      </c>
      <c r="B1743" s="6" t="s">
        <v>491</v>
      </c>
      <c r="C1743" s="6" t="s">
        <v>492</v>
      </c>
      <c r="D1743">
        <v>2724041260</v>
      </c>
      <c r="E1743">
        <v>272101001</v>
      </c>
      <c r="F1743" t="s">
        <v>94</v>
      </c>
      <c r="G1743" t="s">
        <v>5718</v>
      </c>
      <c r="H1743" s="1">
        <v>46057</v>
      </c>
      <c r="J1743" s="8">
        <v>46062</v>
      </c>
      <c r="K1743" s="1" t="s">
        <v>5367</v>
      </c>
      <c r="L1743" t="s">
        <v>5719</v>
      </c>
      <c r="M1743" t="s">
        <v>4221</v>
      </c>
      <c r="N1743" s="12">
        <v>102600</v>
      </c>
      <c r="O1743" t="s">
        <v>5213</v>
      </c>
      <c r="P1743" s="6" t="s">
        <v>36</v>
      </c>
      <c r="R1743" t="s">
        <v>48</v>
      </c>
      <c r="S1743" s="9">
        <v>3800</v>
      </c>
      <c r="T1743" s="9">
        <v>27</v>
      </c>
      <c r="U1743" s="9">
        <v>102600</v>
      </c>
      <c r="V1743" s="6" t="s">
        <v>352</v>
      </c>
      <c r="W1743" t="s">
        <v>40</v>
      </c>
      <c r="X1743">
        <v>7843014747</v>
      </c>
      <c r="Y1743">
        <v>781401001</v>
      </c>
      <c r="Z1743" s="3">
        <v>46062.421527777777</v>
      </c>
      <c r="AA1743" s="6">
        <v>2026</v>
      </c>
      <c r="AB1743" s="1">
        <v>46136</v>
      </c>
    </row>
    <row r="1744" spans="1:28" x14ac:dyDescent="0.3">
      <c r="A1744" t="s">
        <v>5720</v>
      </c>
      <c r="B1744" s="6" t="s">
        <v>491</v>
      </c>
      <c r="C1744" s="6" t="s">
        <v>492</v>
      </c>
      <c r="D1744">
        <v>2724041260</v>
      </c>
      <c r="E1744">
        <v>272101001</v>
      </c>
      <c r="F1744" t="s">
        <v>94</v>
      </c>
      <c r="G1744" t="s">
        <v>5721</v>
      </c>
      <c r="H1744" s="1">
        <v>46057</v>
      </c>
      <c r="J1744" s="8">
        <v>46062</v>
      </c>
      <c r="K1744" s="1" t="s">
        <v>5367</v>
      </c>
      <c r="L1744" t="s">
        <v>5721</v>
      </c>
      <c r="M1744" t="s">
        <v>4221</v>
      </c>
      <c r="N1744" s="12">
        <v>102600</v>
      </c>
      <c r="O1744" t="s">
        <v>5213</v>
      </c>
      <c r="P1744" s="6" t="s">
        <v>36</v>
      </c>
      <c r="R1744" t="s">
        <v>48</v>
      </c>
      <c r="S1744" s="9">
        <v>3800</v>
      </c>
      <c r="T1744" s="9">
        <v>27</v>
      </c>
      <c r="U1744" s="9">
        <v>102600</v>
      </c>
      <c r="V1744" s="6" t="s">
        <v>352</v>
      </c>
      <c r="W1744" t="s">
        <v>40</v>
      </c>
      <c r="X1744">
        <v>7843014747</v>
      </c>
      <c r="Y1744">
        <v>781401001</v>
      </c>
      <c r="Z1744" s="3">
        <v>46062.419444444444</v>
      </c>
      <c r="AA1744" s="6">
        <v>2026</v>
      </c>
      <c r="AB1744" s="1">
        <v>46136</v>
      </c>
    </row>
    <row r="1745" spans="1:28" x14ac:dyDescent="0.3">
      <c r="A1745" t="s">
        <v>5722</v>
      </c>
      <c r="B1745" s="6" t="s">
        <v>554</v>
      </c>
      <c r="C1745" s="6" t="s">
        <v>555</v>
      </c>
      <c r="D1745">
        <v>7453135827</v>
      </c>
      <c r="E1745">
        <v>745301001</v>
      </c>
      <c r="F1745" t="s">
        <v>94</v>
      </c>
      <c r="G1745" t="s">
        <v>5723</v>
      </c>
      <c r="H1745" s="1">
        <v>46059</v>
      </c>
      <c r="J1745" s="8">
        <v>46064</v>
      </c>
      <c r="K1745" s="1" t="s">
        <v>5367</v>
      </c>
      <c r="L1745" t="s">
        <v>5724</v>
      </c>
      <c r="M1745" t="s">
        <v>5725</v>
      </c>
      <c r="N1745" s="12">
        <v>756000</v>
      </c>
      <c r="O1745" t="s">
        <v>3633</v>
      </c>
      <c r="P1745" s="6" t="s">
        <v>36</v>
      </c>
      <c r="R1745" t="s">
        <v>38</v>
      </c>
      <c r="S1745" s="9">
        <v>3150</v>
      </c>
      <c r="T1745" s="9">
        <v>240</v>
      </c>
      <c r="U1745" s="9">
        <v>756000</v>
      </c>
      <c r="V1745" s="6" t="s">
        <v>111</v>
      </c>
      <c r="W1745" t="s">
        <v>59</v>
      </c>
      <c r="X1745">
        <v>5262258091</v>
      </c>
      <c r="Y1745">
        <v>526001001</v>
      </c>
      <c r="Z1745" s="3">
        <v>46066.322916666664</v>
      </c>
      <c r="AA1745" s="6">
        <v>2026</v>
      </c>
      <c r="AB1745" s="1">
        <v>46142</v>
      </c>
    </row>
    <row r="1746" spans="1:28" x14ac:dyDescent="0.3">
      <c r="A1746" t="s">
        <v>5726</v>
      </c>
      <c r="B1746" s="6" t="s">
        <v>5525</v>
      </c>
      <c r="C1746" s="6" t="s">
        <v>140</v>
      </c>
      <c r="D1746">
        <v>3460088465</v>
      </c>
      <c r="E1746">
        <v>346001001</v>
      </c>
      <c r="F1746" t="s">
        <v>94</v>
      </c>
      <c r="G1746" t="s">
        <v>5727</v>
      </c>
      <c r="H1746" s="1">
        <v>46059</v>
      </c>
      <c r="I1746" t="s">
        <v>5728</v>
      </c>
      <c r="J1746" s="8">
        <v>46064</v>
      </c>
      <c r="K1746" s="1" t="s">
        <v>5367</v>
      </c>
      <c r="L1746" t="s">
        <v>5729</v>
      </c>
      <c r="M1746" t="s">
        <v>5730</v>
      </c>
      <c r="N1746" s="12">
        <v>1537200</v>
      </c>
      <c r="O1746" t="s">
        <v>3633</v>
      </c>
      <c r="P1746" s="6" t="s">
        <v>36</v>
      </c>
      <c r="R1746" t="s">
        <v>48</v>
      </c>
      <c r="S1746" s="9">
        <v>4200</v>
      </c>
      <c r="T1746" s="9">
        <v>366</v>
      </c>
      <c r="U1746" s="9">
        <v>1537200</v>
      </c>
      <c r="V1746" s="6" t="s">
        <v>352</v>
      </c>
      <c r="W1746" t="s">
        <v>40</v>
      </c>
      <c r="X1746">
        <v>7843014747</v>
      </c>
      <c r="Y1746">
        <v>781401001</v>
      </c>
      <c r="Z1746" s="3">
        <v>46065.760416666664</v>
      </c>
      <c r="AA1746" s="6">
        <v>2026</v>
      </c>
      <c r="AB1746" s="1">
        <v>46387</v>
      </c>
    </row>
    <row r="1747" spans="1:28" x14ac:dyDescent="0.3">
      <c r="A1747" t="s">
        <v>5731</v>
      </c>
      <c r="B1747" s="6" t="s">
        <v>5732</v>
      </c>
      <c r="C1747" s="6" t="s">
        <v>148</v>
      </c>
      <c r="D1747">
        <v>276006472</v>
      </c>
      <c r="E1747">
        <v>27601001</v>
      </c>
      <c r="F1747" t="s">
        <v>149</v>
      </c>
      <c r="G1747" t="s">
        <v>5733</v>
      </c>
      <c r="H1747" s="1">
        <v>46059</v>
      </c>
      <c r="J1747" s="8">
        <v>46064</v>
      </c>
      <c r="K1747" s="1" t="s">
        <v>5367</v>
      </c>
      <c r="L1747" t="s">
        <v>5733</v>
      </c>
      <c r="M1747" t="s">
        <v>377</v>
      </c>
      <c r="N1747" s="12">
        <v>192000</v>
      </c>
      <c r="O1747" t="s">
        <v>5734</v>
      </c>
      <c r="P1747" s="6" t="s">
        <v>36</v>
      </c>
      <c r="R1747" t="s">
        <v>38</v>
      </c>
      <c r="S1747" s="9">
        <v>8000</v>
      </c>
      <c r="T1747" s="9">
        <v>24</v>
      </c>
      <c r="U1747" s="9">
        <v>192000</v>
      </c>
      <c r="V1747" s="6" t="s">
        <v>5735</v>
      </c>
      <c r="W1747" t="s">
        <v>5736</v>
      </c>
      <c r="X1747">
        <v>20200265303</v>
      </c>
      <c r="Z1747" s="3">
        <v>46065.441666666666</v>
      </c>
      <c r="AA1747" s="6">
        <v>2026</v>
      </c>
      <c r="AB1747" s="1">
        <v>46381</v>
      </c>
    </row>
    <row r="1748" spans="1:28" x14ac:dyDescent="0.3">
      <c r="A1748" t="s">
        <v>5737</v>
      </c>
      <c r="B1748" s="6" t="s">
        <v>946</v>
      </c>
      <c r="C1748" s="6" t="s">
        <v>947</v>
      </c>
      <c r="D1748">
        <v>7325000951</v>
      </c>
      <c r="E1748">
        <v>732501001</v>
      </c>
      <c r="F1748" t="s">
        <v>94</v>
      </c>
      <c r="G1748" t="s">
        <v>5738</v>
      </c>
      <c r="H1748" s="1">
        <v>46059</v>
      </c>
      <c r="J1748" s="8">
        <v>46064</v>
      </c>
      <c r="K1748" s="1" t="s">
        <v>5367</v>
      </c>
      <c r="L1748" t="s">
        <v>5738</v>
      </c>
      <c r="M1748" t="s">
        <v>377</v>
      </c>
      <c r="N1748" s="12">
        <v>1080000</v>
      </c>
      <c r="O1748" t="s">
        <v>4022</v>
      </c>
      <c r="P1748" s="6" t="s">
        <v>2941</v>
      </c>
      <c r="R1748" t="s">
        <v>38</v>
      </c>
      <c r="S1748" s="9">
        <v>2700</v>
      </c>
      <c r="T1748" s="9">
        <v>300</v>
      </c>
      <c r="U1748" s="9">
        <v>810000</v>
      </c>
      <c r="V1748" s="6" t="s">
        <v>39</v>
      </c>
      <c r="W1748" t="s">
        <v>40</v>
      </c>
      <c r="X1748">
        <v>7810687137</v>
      </c>
      <c r="Y1748">
        <v>781401001</v>
      </c>
      <c r="Z1748" s="3">
        <v>46064.666666666664</v>
      </c>
      <c r="AA1748" s="6">
        <v>2026</v>
      </c>
      <c r="AB1748" s="1">
        <v>46387</v>
      </c>
    </row>
    <row r="1749" spans="1:28" x14ac:dyDescent="0.3">
      <c r="A1749" t="s">
        <v>5737</v>
      </c>
      <c r="B1749" s="6" t="s">
        <v>946</v>
      </c>
      <c r="C1749" s="6" t="s">
        <v>947</v>
      </c>
      <c r="D1749">
        <v>7325000951</v>
      </c>
      <c r="E1749">
        <v>732501001</v>
      </c>
      <c r="F1749" t="s">
        <v>94</v>
      </c>
      <c r="G1749" t="s">
        <v>5738</v>
      </c>
      <c r="H1749" s="1">
        <v>46059</v>
      </c>
      <c r="J1749" s="8">
        <v>46064</v>
      </c>
      <c r="K1749" s="1" t="s">
        <v>5367</v>
      </c>
      <c r="L1749" t="s">
        <v>5738</v>
      </c>
      <c r="M1749" t="s">
        <v>377</v>
      </c>
      <c r="N1749" s="12">
        <v>1080000</v>
      </c>
      <c r="O1749" t="s">
        <v>3633</v>
      </c>
      <c r="P1749" s="6" t="s">
        <v>36</v>
      </c>
      <c r="R1749" t="s">
        <v>38</v>
      </c>
      <c r="S1749" s="9">
        <v>2700</v>
      </c>
      <c r="T1749" s="9">
        <v>100</v>
      </c>
      <c r="U1749" s="9">
        <v>270000</v>
      </c>
      <c r="V1749" s="6" t="s">
        <v>39</v>
      </c>
      <c r="W1749" t="s">
        <v>40</v>
      </c>
      <c r="X1749">
        <v>7810687137</v>
      </c>
      <c r="Y1749">
        <v>781401001</v>
      </c>
      <c r="Z1749" s="3">
        <v>46064.666666666664</v>
      </c>
      <c r="AA1749" s="6">
        <v>2026</v>
      </c>
      <c r="AB1749" s="1">
        <v>46387</v>
      </c>
    </row>
    <row r="1750" spans="1:28" x14ac:dyDescent="0.3">
      <c r="A1750" t="s">
        <v>5739</v>
      </c>
      <c r="B1750" s="6" t="s">
        <v>491</v>
      </c>
      <c r="C1750" s="6" t="s">
        <v>492</v>
      </c>
      <c r="D1750">
        <v>2724041260</v>
      </c>
      <c r="E1750">
        <v>272101001</v>
      </c>
      <c r="F1750" t="s">
        <v>94</v>
      </c>
      <c r="G1750" t="s">
        <v>5740</v>
      </c>
      <c r="H1750" s="1">
        <v>46059</v>
      </c>
      <c r="J1750" s="8">
        <v>46064</v>
      </c>
      <c r="K1750" s="1" t="s">
        <v>5367</v>
      </c>
      <c r="L1750" t="s">
        <v>5740</v>
      </c>
      <c r="M1750" t="s">
        <v>4221</v>
      </c>
      <c r="N1750" s="12">
        <v>102600</v>
      </c>
      <c r="O1750" t="s">
        <v>5213</v>
      </c>
      <c r="P1750" s="6" t="s">
        <v>36</v>
      </c>
      <c r="R1750" t="s">
        <v>48</v>
      </c>
      <c r="S1750" s="9">
        <v>3800</v>
      </c>
      <c r="T1750" s="9">
        <v>27</v>
      </c>
      <c r="U1750" s="9">
        <v>102600</v>
      </c>
      <c r="V1750" s="6" t="s">
        <v>352</v>
      </c>
      <c r="W1750" t="s">
        <v>40</v>
      </c>
      <c r="X1750">
        <v>7843014747</v>
      </c>
      <c r="Y1750">
        <v>781401001</v>
      </c>
      <c r="Z1750" s="3">
        <v>46064.386805555558</v>
      </c>
      <c r="AA1750" s="6">
        <v>2026</v>
      </c>
      <c r="AB1750" s="1">
        <v>46136</v>
      </c>
    </row>
    <row r="1751" spans="1:28" x14ac:dyDescent="0.3">
      <c r="A1751" t="s">
        <v>5741</v>
      </c>
      <c r="B1751" s="6" t="s">
        <v>491</v>
      </c>
      <c r="C1751" s="6" t="s">
        <v>492</v>
      </c>
      <c r="D1751">
        <v>2724041260</v>
      </c>
      <c r="E1751">
        <v>272101001</v>
      </c>
      <c r="F1751" t="s">
        <v>94</v>
      </c>
      <c r="G1751" t="s">
        <v>5742</v>
      </c>
      <c r="H1751" s="1">
        <v>46059</v>
      </c>
      <c r="J1751" s="8">
        <v>46064</v>
      </c>
      <c r="K1751" s="1" t="s">
        <v>5367</v>
      </c>
      <c r="L1751" t="s">
        <v>5742</v>
      </c>
      <c r="M1751" t="s">
        <v>4221</v>
      </c>
      <c r="N1751" s="12">
        <v>102600</v>
      </c>
      <c r="O1751" t="s">
        <v>5213</v>
      </c>
      <c r="P1751" s="6" t="s">
        <v>36</v>
      </c>
      <c r="R1751" t="s">
        <v>48</v>
      </c>
      <c r="S1751" s="9">
        <v>3800</v>
      </c>
      <c r="T1751" s="9">
        <v>27</v>
      </c>
      <c r="U1751" s="9">
        <v>102600</v>
      </c>
      <c r="V1751" s="6" t="s">
        <v>352</v>
      </c>
      <c r="W1751" t="s">
        <v>40</v>
      </c>
      <c r="X1751">
        <v>7843014747</v>
      </c>
      <c r="Y1751">
        <v>781401001</v>
      </c>
      <c r="Z1751" s="3">
        <v>46064.381249999999</v>
      </c>
      <c r="AA1751" s="6">
        <v>2026</v>
      </c>
      <c r="AB1751" s="1">
        <v>46136</v>
      </c>
    </row>
    <row r="1752" spans="1:28" x14ac:dyDescent="0.3">
      <c r="A1752" t="s">
        <v>5743</v>
      </c>
      <c r="B1752" s="6" t="s">
        <v>491</v>
      </c>
      <c r="C1752" s="6" t="s">
        <v>492</v>
      </c>
      <c r="D1752">
        <v>2724041260</v>
      </c>
      <c r="E1752">
        <v>272101001</v>
      </c>
      <c r="F1752" t="s">
        <v>94</v>
      </c>
      <c r="G1752" t="s">
        <v>5744</v>
      </c>
      <c r="H1752" s="1">
        <v>46059</v>
      </c>
      <c r="J1752" s="8">
        <v>46064</v>
      </c>
      <c r="K1752" s="1" t="s">
        <v>5367</v>
      </c>
      <c r="L1752" t="s">
        <v>5744</v>
      </c>
      <c r="M1752" t="s">
        <v>4221</v>
      </c>
      <c r="N1752" s="12">
        <v>102600</v>
      </c>
      <c r="O1752" t="s">
        <v>5213</v>
      </c>
      <c r="P1752" s="6" t="s">
        <v>36</v>
      </c>
      <c r="R1752" t="s">
        <v>48</v>
      </c>
      <c r="S1752" s="9">
        <v>3800</v>
      </c>
      <c r="T1752" s="9">
        <v>27</v>
      </c>
      <c r="U1752" s="9">
        <v>102600</v>
      </c>
      <c r="V1752" s="6" t="s">
        <v>352</v>
      </c>
      <c r="W1752" t="s">
        <v>40</v>
      </c>
      <c r="X1752">
        <v>7843014747</v>
      </c>
      <c r="Y1752">
        <v>781401001</v>
      </c>
      <c r="Z1752" s="3">
        <v>46064.379166666666</v>
      </c>
      <c r="AA1752" s="6">
        <v>2026</v>
      </c>
      <c r="AB1752" s="1">
        <v>46136</v>
      </c>
    </row>
    <row r="1753" spans="1:28" x14ac:dyDescent="0.3">
      <c r="A1753" t="s">
        <v>5745</v>
      </c>
      <c r="B1753" s="6" t="s">
        <v>491</v>
      </c>
      <c r="C1753" s="6" t="s">
        <v>492</v>
      </c>
      <c r="D1753">
        <v>2724041260</v>
      </c>
      <c r="E1753">
        <v>272101001</v>
      </c>
      <c r="F1753" t="s">
        <v>94</v>
      </c>
      <c r="G1753" t="s">
        <v>5746</v>
      </c>
      <c r="H1753" s="1">
        <v>46059</v>
      </c>
      <c r="J1753" s="8">
        <v>46064</v>
      </c>
      <c r="K1753" s="1" t="s">
        <v>5367</v>
      </c>
      <c r="L1753" t="s">
        <v>5746</v>
      </c>
      <c r="M1753" t="s">
        <v>4221</v>
      </c>
      <c r="N1753" s="12">
        <v>102600</v>
      </c>
      <c r="O1753" t="s">
        <v>5213</v>
      </c>
      <c r="P1753" s="6" t="s">
        <v>36</v>
      </c>
      <c r="R1753" t="s">
        <v>48</v>
      </c>
      <c r="S1753" s="9">
        <v>3800</v>
      </c>
      <c r="T1753" s="9">
        <v>27</v>
      </c>
      <c r="U1753" s="9">
        <v>102600</v>
      </c>
      <c r="V1753" s="6" t="s">
        <v>352</v>
      </c>
      <c r="W1753" t="s">
        <v>40</v>
      </c>
      <c r="X1753">
        <v>7843014747</v>
      </c>
      <c r="Y1753">
        <v>781401001</v>
      </c>
      <c r="Z1753" s="3">
        <v>46064.37222222222</v>
      </c>
      <c r="AA1753" s="6">
        <v>2026</v>
      </c>
      <c r="AB1753" s="1">
        <v>46136</v>
      </c>
    </row>
    <row r="1754" spans="1:28" x14ac:dyDescent="0.3">
      <c r="A1754" t="s">
        <v>5747</v>
      </c>
      <c r="B1754" s="6" t="s">
        <v>491</v>
      </c>
      <c r="C1754" s="6" t="s">
        <v>492</v>
      </c>
      <c r="D1754">
        <v>2724041260</v>
      </c>
      <c r="E1754">
        <v>272101001</v>
      </c>
      <c r="F1754" t="s">
        <v>94</v>
      </c>
      <c r="G1754" t="s">
        <v>5748</v>
      </c>
      <c r="H1754" s="1">
        <v>46059</v>
      </c>
      <c r="J1754" s="8">
        <v>46064</v>
      </c>
      <c r="K1754" s="1" t="s">
        <v>5367</v>
      </c>
      <c r="L1754" t="s">
        <v>5748</v>
      </c>
      <c r="M1754" t="s">
        <v>4221</v>
      </c>
      <c r="N1754" s="12">
        <v>102600</v>
      </c>
      <c r="O1754" t="s">
        <v>5213</v>
      </c>
      <c r="P1754" s="6" t="s">
        <v>36</v>
      </c>
      <c r="R1754" t="s">
        <v>48</v>
      </c>
      <c r="S1754" s="9">
        <v>3800</v>
      </c>
      <c r="T1754" s="9">
        <v>27</v>
      </c>
      <c r="U1754" s="9">
        <v>102600</v>
      </c>
      <c r="V1754" s="6" t="s">
        <v>352</v>
      </c>
      <c r="W1754" t="s">
        <v>40</v>
      </c>
      <c r="X1754">
        <v>7843014747</v>
      </c>
      <c r="Y1754">
        <v>781401001</v>
      </c>
      <c r="Z1754" s="3">
        <v>46064.370833333334</v>
      </c>
      <c r="AA1754" s="6">
        <v>2026</v>
      </c>
      <c r="AB1754" s="1">
        <v>46136</v>
      </c>
    </row>
    <row r="1755" spans="1:28" x14ac:dyDescent="0.3">
      <c r="A1755" t="s">
        <v>5749</v>
      </c>
      <c r="B1755" s="6" t="s">
        <v>491</v>
      </c>
      <c r="C1755" s="6" t="s">
        <v>492</v>
      </c>
      <c r="D1755">
        <v>2724041260</v>
      </c>
      <c r="E1755">
        <v>272101001</v>
      </c>
      <c r="F1755" t="s">
        <v>94</v>
      </c>
      <c r="G1755" t="s">
        <v>5750</v>
      </c>
      <c r="H1755" s="1">
        <v>46059</v>
      </c>
      <c r="J1755" s="8">
        <v>46064</v>
      </c>
      <c r="K1755" s="1" t="s">
        <v>5367</v>
      </c>
      <c r="L1755" t="s">
        <v>5750</v>
      </c>
      <c r="M1755" t="s">
        <v>4221</v>
      </c>
      <c r="N1755" s="12">
        <v>102600</v>
      </c>
      <c r="O1755" t="s">
        <v>5213</v>
      </c>
      <c r="P1755" s="6" t="s">
        <v>36</v>
      </c>
      <c r="R1755" t="s">
        <v>48</v>
      </c>
      <c r="S1755" s="9">
        <v>3800</v>
      </c>
      <c r="T1755" s="9">
        <v>27</v>
      </c>
      <c r="U1755" s="9">
        <v>102600</v>
      </c>
      <c r="V1755" s="6" t="s">
        <v>352</v>
      </c>
      <c r="W1755" t="s">
        <v>40</v>
      </c>
      <c r="X1755">
        <v>7843014747</v>
      </c>
      <c r="Y1755">
        <v>781401001</v>
      </c>
      <c r="Z1755" s="3">
        <v>46064.368750000001</v>
      </c>
      <c r="AA1755" s="6">
        <v>2026</v>
      </c>
      <c r="AB1755" s="1">
        <v>46136</v>
      </c>
    </row>
    <row r="1756" spans="1:28" x14ac:dyDescent="0.3">
      <c r="A1756" t="s">
        <v>5751</v>
      </c>
      <c r="B1756" s="6" t="s">
        <v>997</v>
      </c>
      <c r="C1756" s="6" t="s">
        <v>336</v>
      </c>
      <c r="D1756">
        <v>5905061070</v>
      </c>
      <c r="E1756">
        <v>590501001</v>
      </c>
      <c r="F1756" t="s">
        <v>149</v>
      </c>
      <c r="G1756" t="s">
        <v>5752</v>
      </c>
      <c r="H1756" s="1">
        <v>46061</v>
      </c>
      <c r="J1756" s="8">
        <v>46064</v>
      </c>
      <c r="K1756" s="1" t="s">
        <v>5367</v>
      </c>
      <c r="L1756" t="s">
        <v>5752</v>
      </c>
      <c r="M1756" t="s">
        <v>377</v>
      </c>
      <c r="N1756" s="12">
        <v>2998803.06</v>
      </c>
      <c r="O1756" t="s">
        <v>3613</v>
      </c>
      <c r="P1756" s="6" t="s">
        <v>36</v>
      </c>
      <c r="R1756" t="s">
        <v>38</v>
      </c>
      <c r="S1756" s="9">
        <v>3266.67</v>
      </c>
      <c r="T1756" s="9">
        <v>918</v>
      </c>
      <c r="U1756" s="9">
        <v>2998803.06</v>
      </c>
      <c r="V1756" s="6" t="s">
        <v>58</v>
      </c>
      <c r="W1756" t="s">
        <v>59</v>
      </c>
      <c r="X1756">
        <v>5262222144</v>
      </c>
      <c r="Y1756">
        <v>526001001</v>
      </c>
      <c r="Z1756" s="3">
        <v>46069.276388888888</v>
      </c>
      <c r="AA1756" s="6">
        <v>2026</v>
      </c>
      <c r="AB1756" s="1">
        <v>46126</v>
      </c>
    </row>
    <row r="1757" spans="1:28" x14ac:dyDescent="0.3">
      <c r="A1757" t="s">
        <v>5753</v>
      </c>
      <c r="B1757" s="6" t="s">
        <v>5754</v>
      </c>
      <c r="C1757" s="6" t="s">
        <v>852</v>
      </c>
      <c r="D1757">
        <v>1435201339</v>
      </c>
      <c r="E1757">
        <v>143501001</v>
      </c>
      <c r="F1757" t="s">
        <v>2712</v>
      </c>
      <c r="G1757" t="s">
        <v>5755</v>
      </c>
      <c r="H1757" s="1">
        <v>46052</v>
      </c>
      <c r="I1757" s="5" t="s">
        <v>5756</v>
      </c>
      <c r="J1757" s="8">
        <v>46065</v>
      </c>
      <c r="K1757" s="1" t="s">
        <v>5367</v>
      </c>
      <c r="L1757" s="1" t="s">
        <v>5755</v>
      </c>
      <c r="M1757" s="1" t="s">
        <v>5757</v>
      </c>
      <c r="N1757" s="2">
        <v>448000</v>
      </c>
      <c r="O1757" s="1" t="s">
        <v>5758</v>
      </c>
      <c r="P1757" s="6" t="s">
        <v>36</v>
      </c>
      <c r="R1757" t="s">
        <v>48</v>
      </c>
      <c r="S1757" s="9">
        <v>4000</v>
      </c>
      <c r="T1757" s="9">
        <v>112</v>
      </c>
      <c r="U1757" s="9">
        <v>448000</v>
      </c>
      <c r="V1757" s="6" t="s">
        <v>352</v>
      </c>
      <c r="W1757" t="s">
        <v>40</v>
      </c>
      <c r="X1757">
        <v>7843014747</v>
      </c>
      <c r="Y1757">
        <v>781401001</v>
      </c>
      <c r="Z1757" s="3"/>
      <c r="AA1757" s="6">
        <v>2026</v>
      </c>
      <c r="AB1757" s="1">
        <v>46081</v>
      </c>
    </row>
    <row r="1758" spans="1:28" x14ac:dyDescent="0.3">
      <c r="A1758" t="s">
        <v>5759</v>
      </c>
      <c r="B1758" s="6" t="s">
        <v>801</v>
      </c>
      <c r="C1758" s="6" t="s">
        <v>802</v>
      </c>
      <c r="D1758">
        <v>1701052707</v>
      </c>
      <c r="E1758">
        <v>170101001</v>
      </c>
      <c r="F1758" t="s">
        <v>149</v>
      </c>
      <c r="G1758" t="s">
        <v>5760</v>
      </c>
      <c r="H1758" s="1">
        <v>46062</v>
      </c>
      <c r="J1758" s="8">
        <v>46065</v>
      </c>
      <c r="K1758" s="1" t="s">
        <v>5367</v>
      </c>
      <c r="L1758" t="s">
        <v>5761</v>
      </c>
      <c r="M1758" t="s">
        <v>377</v>
      </c>
      <c r="N1758" s="12">
        <v>133000</v>
      </c>
      <c r="O1758" t="s">
        <v>3633</v>
      </c>
      <c r="P1758" s="6" t="s">
        <v>36</v>
      </c>
      <c r="R1758" t="s">
        <v>38</v>
      </c>
      <c r="S1758" s="9">
        <v>3800</v>
      </c>
      <c r="T1758" s="9">
        <v>35</v>
      </c>
      <c r="U1758" s="9">
        <v>133000</v>
      </c>
      <c r="V1758" s="6" t="s">
        <v>39</v>
      </c>
      <c r="W1758" t="s">
        <v>40</v>
      </c>
      <c r="X1758">
        <v>7810687137</v>
      </c>
      <c r="Y1758">
        <v>781401001</v>
      </c>
      <c r="Z1758" s="3">
        <v>46065.238194444442</v>
      </c>
      <c r="AA1758" s="6">
        <v>2026</v>
      </c>
      <c r="AB1758" s="1">
        <v>46387</v>
      </c>
    </row>
    <row r="1759" spans="1:28" x14ac:dyDescent="0.3">
      <c r="A1759" t="s">
        <v>5762</v>
      </c>
      <c r="B1759" s="6" t="s">
        <v>801</v>
      </c>
      <c r="C1759" s="6" t="s">
        <v>802</v>
      </c>
      <c r="D1759">
        <v>1701052707</v>
      </c>
      <c r="E1759">
        <v>170101001</v>
      </c>
      <c r="F1759" t="s">
        <v>149</v>
      </c>
      <c r="G1759" t="s">
        <v>5763</v>
      </c>
      <c r="H1759" s="1">
        <v>46062</v>
      </c>
      <c r="I1759" t="s">
        <v>5764</v>
      </c>
      <c r="J1759" s="8">
        <v>46065</v>
      </c>
      <c r="K1759" s="1" t="s">
        <v>5367</v>
      </c>
      <c r="L1759" t="s">
        <v>5765</v>
      </c>
      <c r="M1759" t="s">
        <v>377</v>
      </c>
      <c r="N1759" s="12">
        <v>1850600</v>
      </c>
      <c r="O1759" t="s">
        <v>3633</v>
      </c>
      <c r="P1759" s="6" t="s">
        <v>36</v>
      </c>
      <c r="R1759" t="s">
        <v>38</v>
      </c>
      <c r="S1759" s="9">
        <v>3800</v>
      </c>
      <c r="T1759" s="9">
        <v>487</v>
      </c>
      <c r="U1759" s="9">
        <v>1850600</v>
      </c>
      <c r="V1759" s="6" t="s">
        <v>39</v>
      </c>
      <c r="W1759" t="s">
        <v>40</v>
      </c>
      <c r="X1759">
        <v>7810687137</v>
      </c>
      <c r="Y1759">
        <v>781401001</v>
      </c>
      <c r="Z1759" s="3">
        <v>46065.234027777777</v>
      </c>
      <c r="AA1759" s="6">
        <v>2026</v>
      </c>
      <c r="AB1759" s="1">
        <v>46387</v>
      </c>
    </row>
    <row r="1760" spans="1:28" x14ac:dyDescent="0.3">
      <c r="A1760" t="s">
        <v>5766</v>
      </c>
      <c r="B1760" s="6" t="s">
        <v>491</v>
      </c>
      <c r="C1760" s="6" t="s">
        <v>492</v>
      </c>
      <c r="D1760">
        <v>2724041260</v>
      </c>
      <c r="E1760">
        <v>272101001</v>
      </c>
      <c r="F1760" t="s">
        <v>94</v>
      </c>
      <c r="G1760" t="s">
        <v>5767</v>
      </c>
      <c r="H1760" s="1">
        <v>46062</v>
      </c>
      <c r="J1760" s="8">
        <v>46065</v>
      </c>
      <c r="K1760" s="1" t="s">
        <v>5367</v>
      </c>
      <c r="L1760" t="s">
        <v>5768</v>
      </c>
      <c r="M1760" t="s">
        <v>4221</v>
      </c>
      <c r="N1760" s="12">
        <v>102600</v>
      </c>
      <c r="O1760" t="s">
        <v>5213</v>
      </c>
      <c r="P1760" s="6" t="s">
        <v>36</v>
      </c>
      <c r="R1760" t="s">
        <v>48</v>
      </c>
      <c r="S1760" s="9">
        <v>3800</v>
      </c>
      <c r="T1760" s="9">
        <v>27</v>
      </c>
      <c r="U1760" s="9">
        <v>102600</v>
      </c>
      <c r="V1760" s="6" t="s">
        <v>352</v>
      </c>
      <c r="W1760" t="s">
        <v>40</v>
      </c>
      <c r="X1760">
        <v>7843014747</v>
      </c>
      <c r="Y1760">
        <v>781401001</v>
      </c>
      <c r="Z1760" s="3">
        <v>46069.495833333334</v>
      </c>
      <c r="AA1760" s="6">
        <v>2026</v>
      </c>
      <c r="AB1760" s="1">
        <v>46136</v>
      </c>
    </row>
    <row r="1761" spans="1:28" x14ac:dyDescent="0.3">
      <c r="A1761" t="s">
        <v>5769</v>
      </c>
      <c r="B1761" s="6" t="s">
        <v>491</v>
      </c>
      <c r="C1761" s="6" t="s">
        <v>492</v>
      </c>
      <c r="D1761">
        <v>2724041260</v>
      </c>
      <c r="E1761">
        <v>272101001</v>
      </c>
      <c r="F1761" t="s">
        <v>94</v>
      </c>
      <c r="G1761" t="s">
        <v>5770</v>
      </c>
      <c r="H1761" s="1">
        <v>46062</v>
      </c>
      <c r="J1761" s="8">
        <v>46065</v>
      </c>
      <c r="K1761" s="1" t="s">
        <v>5367</v>
      </c>
      <c r="L1761" t="s">
        <v>5771</v>
      </c>
      <c r="M1761" t="s">
        <v>4221</v>
      </c>
      <c r="N1761" s="12">
        <v>102600</v>
      </c>
      <c r="O1761" t="s">
        <v>5213</v>
      </c>
      <c r="P1761" s="6" t="s">
        <v>36</v>
      </c>
      <c r="R1761" t="s">
        <v>48</v>
      </c>
      <c r="S1761" s="9">
        <v>3800</v>
      </c>
      <c r="T1761" s="9">
        <v>27</v>
      </c>
      <c r="U1761" s="9">
        <v>102600</v>
      </c>
      <c r="V1761" s="6" t="s">
        <v>352</v>
      </c>
      <c r="W1761" t="s">
        <v>40</v>
      </c>
      <c r="X1761">
        <v>7843014747</v>
      </c>
      <c r="Y1761">
        <v>781401001</v>
      </c>
      <c r="Z1761" s="3">
        <v>46069.490972222222</v>
      </c>
      <c r="AA1761" s="6">
        <v>2026</v>
      </c>
      <c r="AB1761" s="1">
        <v>46136</v>
      </c>
    </row>
    <row r="1762" spans="1:28" x14ac:dyDescent="0.3">
      <c r="A1762" t="s">
        <v>5772</v>
      </c>
      <c r="B1762" s="6" t="s">
        <v>491</v>
      </c>
      <c r="C1762" s="6" t="s">
        <v>492</v>
      </c>
      <c r="D1762">
        <v>2724041260</v>
      </c>
      <c r="E1762">
        <v>272101001</v>
      </c>
      <c r="F1762" t="s">
        <v>94</v>
      </c>
      <c r="G1762" t="s">
        <v>5773</v>
      </c>
      <c r="H1762" s="1">
        <v>46062</v>
      </c>
      <c r="J1762" s="8">
        <v>46065</v>
      </c>
      <c r="K1762" s="1" t="s">
        <v>5367</v>
      </c>
      <c r="L1762" t="s">
        <v>5773</v>
      </c>
      <c r="M1762" t="s">
        <v>4221</v>
      </c>
      <c r="N1762" s="12">
        <v>102600</v>
      </c>
      <c r="O1762" t="s">
        <v>5213</v>
      </c>
      <c r="P1762" s="6" t="s">
        <v>36</v>
      </c>
      <c r="R1762" t="s">
        <v>48</v>
      </c>
      <c r="S1762" s="9">
        <v>3800</v>
      </c>
      <c r="T1762" s="9">
        <v>27</v>
      </c>
      <c r="U1762" s="9">
        <v>102600</v>
      </c>
      <c r="V1762" s="6" t="s">
        <v>352</v>
      </c>
      <c r="W1762" t="s">
        <v>40</v>
      </c>
      <c r="X1762">
        <v>7843014747</v>
      </c>
      <c r="Y1762">
        <v>781401001</v>
      </c>
      <c r="Z1762" s="3">
        <v>46069.488888888889</v>
      </c>
      <c r="AA1762" s="6">
        <v>2026</v>
      </c>
      <c r="AB1762" s="1">
        <v>46136</v>
      </c>
    </row>
    <row r="1763" spans="1:28" x14ac:dyDescent="0.3">
      <c r="A1763" t="s">
        <v>5774</v>
      </c>
      <c r="B1763" s="6" t="s">
        <v>491</v>
      </c>
      <c r="C1763" s="6" t="s">
        <v>492</v>
      </c>
      <c r="D1763">
        <v>2724041260</v>
      </c>
      <c r="E1763">
        <v>272101001</v>
      </c>
      <c r="F1763" t="s">
        <v>94</v>
      </c>
      <c r="G1763" t="s">
        <v>5775</v>
      </c>
      <c r="H1763" s="1">
        <v>46062</v>
      </c>
      <c r="J1763" s="8">
        <v>46065</v>
      </c>
      <c r="K1763" s="1" t="s">
        <v>5367</v>
      </c>
      <c r="L1763" t="s">
        <v>5776</v>
      </c>
      <c r="M1763" t="s">
        <v>4221</v>
      </c>
      <c r="N1763" s="12">
        <v>102600</v>
      </c>
      <c r="O1763" t="s">
        <v>5213</v>
      </c>
      <c r="P1763" s="6" t="s">
        <v>36</v>
      </c>
      <c r="R1763" t="s">
        <v>48</v>
      </c>
      <c r="S1763" s="9">
        <v>3800</v>
      </c>
      <c r="T1763" s="9">
        <v>27</v>
      </c>
      <c r="U1763" s="9">
        <v>102600</v>
      </c>
      <c r="V1763" s="6" t="s">
        <v>352</v>
      </c>
      <c r="W1763" t="s">
        <v>40</v>
      </c>
      <c r="X1763">
        <v>7843014747</v>
      </c>
      <c r="Y1763">
        <v>781401001</v>
      </c>
      <c r="Z1763" s="3">
        <v>46069.48541666667</v>
      </c>
      <c r="AA1763" s="6">
        <v>2026</v>
      </c>
      <c r="AB1763" s="1">
        <v>46136</v>
      </c>
    </row>
    <row r="1764" spans="1:28" x14ac:dyDescent="0.3">
      <c r="A1764" t="s">
        <v>5777</v>
      </c>
      <c r="B1764" s="6" t="s">
        <v>491</v>
      </c>
      <c r="C1764" s="6" t="s">
        <v>492</v>
      </c>
      <c r="D1764">
        <v>2724041260</v>
      </c>
      <c r="E1764">
        <v>272101001</v>
      </c>
      <c r="F1764" t="s">
        <v>94</v>
      </c>
      <c r="G1764" t="s">
        <v>5778</v>
      </c>
      <c r="H1764" s="1">
        <v>46062</v>
      </c>
      <c r="J1764" s="8">
        <v>46065</v>
      </c>
      <c r="K1764" s="1" t="s">
        <v>5367</v>
      </c>
      <c r="L1764" t="s">
        <v>5778</v>
      </c>
      <c r="M1764" t="s">
        <v>4221</v>
      </c>
      <c r="N1764" s="12">
        <v>102600</v>
      </c>
      <c r="O1764" t="s">
        <v>5213</v>
      </c>
      <c r="P1764" s="6" t="s">
        <v>36</v>
      </c>
      <c r="R1764" t="s">
        <v>48</v>
      </c>
      <c r="S1764" s="9">
        <v>3800</v>
      </c>
      <c r="T1764" s="9">
        <v>27</v>
      </c>
      <c r="U1764" s="9">
        <v>102600</v>
      </c>
      <c r="V1764" s="6" t="s">
        <v>352</v>
      </c>
      <c r="W1764" t="s">
        <v>40</v>
      </c>
      <c r="X1764">
        <v>7843014747</v>
      </c>
      <c r="Y1764">
        <v>781401001</v>
      </c>
      <c r="Z1764" s="3">
        <v>46069.481944444444</v>
      </c>
      <c r="AA1764" s="6">
        <v>2026</v>
      </c>
      <c r="AB1764" s="1">
        <v>46136</v>
      </c>
    </row>
    <row r="1765" spans="1:28" x14ac:dyDescent="0.3">
      <c r="A1765" t="s">
        <v>5779</v>
      </c>
      <c r="B1765" s="6" t="s">
        <v>491</v>
      </c>
      <c r="C1765" s="6" t="s">
        <v>492</v>
      </c>
      <c r="D1765">
        <v>2724041260</v>
      </c>
      <c r="E1765">
        <v>272101001</v>
      </c>
      <c r="F1765" t="s">
        <v>94</v>
      </c>
      <c r="G1765" t="s">
        <v>5780</v>
      </c>
      <c r="H1765" s="1">
        <v>46062</v>
      </c>
      <c r="J1765" s="8">
        <v>46065</v>
      </c>
      <c r="K1765" s="1" t="s">
        <v>5367</v>
      </c>
      <c r="L1765" t="s">
        <v>5780</v>
      </c>
      <c r="M1765" t="s">
        <v>4221</v>
      </c>
      <c r="N1765" s="12">
        <v>102600</v>
      </c>
      <c r="O1765" t="s">
        <v>5213</v>
      </c>
      <c r="P1765" s="6" t="s">
        <v>36</v>
      </c>
      <c r="R1765" t="s">
        <v>48</v>
      </c>
      <c r="S1765" s="9">
        <v>3800</v>
      </c>
      <c r="T1765" s="9">
        <v>27</v>
      </c>
      <c r="U1765" s="9">
        <v>102600</v>
      </c>
      <c r="V1765" s="6" t="s">
        <v>352</v>
      </c>
      <c r="W1765" t="s">
        <v>40</v>
      </c>
      <c r="X1765">
        <v>7843014747</v>
      </c>
      <c r="Y1765">
        <v>781401001</v>
      </c>
      <c r="Z1765" s="3">
        <v>46069.479861111111</v>
      </c>
      <c r="AA1765" s="6">
        <v>2026</v>
      </c>
      <c r="AB1765" s="1">
        <v>46136</v>
      </c>
    </row>
    <row r="1766" spans="1:28" x14ac:dyDescent="0.3">
      <c r="A1766" t="s">
        <v>5781</v>
      </c>
      <c r="B1766" s="6" t="s">
        <v>491</v>
      </c>
      <c r="C1766" s="6" t="s">
        <v>492</v>
      </c>
      <c r="D1766">
        <v>2724041260</v>
      </c>
      <c r="E1766">
        <v>272101001</v>
      </c>
      <c r="F1766" t="s">
        <v>94</v>
      </c>
      <c r="G1766" t="s">
        <v>5782</v>
      </c>
      <c r="H1766" s="1">
        <v>46062</v>
      </c>
      <c r="J1766" s="8">
        <v>46065</v>
      </c>
      <c r="K1766" s="1" t="s">
        <v>5367</v>
      </c>
      <c r="L1766" t="s">
        <v>5782</v>
      </c>
      <c r="M1766" t="s">
        <v>4221</v>
      </c>
      <c r="N1766" s="12">
        <v>102600</v>
      </c>
      <c r="O1766" t="s">
        <v>5213</v>
      </c>
      <c r="P1766" s="6" t="s">
        <v>36</v>
      </c>
      <c r="R1766" t="s">
        <v>48</v>
      </c>
      <c r="S1766" s="9">
        <v>3800</v>
      </c>
      <c r="T1766" s="9">
        <v>27</v>
      </c>
      <c r="U1766" s="9">
        <v>102600</v>
      </c>
      <c r="V1766" s="6" t="s">
        <v>352</v>
      </c>
      <c r="W1766" t="s">
        <v>40</v>
      </c>
      <c r="X1766">
        <v>7843014747</v>
      </c>
      <c r="Y1766">
        <v>781401001</v>
      </c>
      <c r="Z1766" s="3">
        <v>46069.472222222219</v>
      </c>
      <c r="AA1766" s="6">
        <v>2026</v>
      </c>
      <c r="AB1766" s="1">
        <v>46136</v>
      </c>
    </row>
    <row r="1767" spans="1:28" x14ac:dyDescent="0.3">
      <c r="A1767" t="s">
        <v>5783</v>
      </c>
      <c r="B1767" s="6" t="s">
        <v>5784</v>
      </c>
      <c r="C1767" s="6" t="s">
        <v>1473</v>
      </c>
      <c r="D1767">
        <v>3124020975</v>
      </c>
      <c r="E1767">
        <v>312301001</v>
      </c>
      <c r="F1767" t="s">
        <v>149</v>
      </c>
      <c r="G1767" t="s">
        <v>5785</v>
      </c>
      <c r="H1767" s="1">
        <v>46063</v>
      </c>
      <c r="I1767" t="s">
        <v>5786</v>
      </c>
      <c r="J1767" s="8">
        <v>46066</v>
      </c>
      <c r="K1767" s="1" t="s">
        <v>5367</v>
      </c>
      <c r="L1767" t="s">
        <v>5785</v>
      </c>
      <c r="M1767" t="s">
        <v>377</v>
      </c>
      <c r="N1767" s="12">
        <v>1050000</v>
      </c>
      <c r="O1767" t="s">
        <v>3633</v>
      </c>
      <c r="P1767" s="6" t="s">
        <v>36</v>
      </c>
      <c r="R1767" t="s">
        <v>38</v>
      </c>
      <c r="S1767" s="9">
        <v>3500</v>
      </c>
      <c r="T1767" s="9">
        <v>300</v>
      </c>
      <c r="U1767" s="9">
        <v>1050000</v>
      </c>
      <c r="V1767" s="6" t="s">
        <v>2237</v>
      </c>
      <c r="W1767" t="s">
        <v>5787</v>
      </c>
      <c r="X1767">
        <v>3123321867</v>
      </c>
      <c r="Y1767">
        <v>312301001</v>
      </c>
      <c r="Z1767" s="3">
        <v>46072.611111111109</v>
      </c>
      <c r="AA1767" s="6">
        <v>2026</v>
      </c>
      <c r="AB1767" s="1">
        <v>46142</v>
      </c>
    </row>
    <row r="1768" spans="1:28" x14ac:dyDescent="0.3">
      <c r="A1768" t="s">
        <v>5788</v>
      </c>
      <c r="B1768" s="6" t="s">
        <v>491</v>
      </c>
      <c r="C1768" s="6" t="s">
        <v>492</v>
      </c>
      <c r="D1768">
        <v>2724041260</v>
      </c>
      <c r="E1768">
        <v>272101001</v>
      </c>
      <c r="F1768" t="s">
        <v>94</v>
      </c>
      <c r="G1768" t="s">
        <v>5789</v>
      </c>
      <c r="H1768" s="1">
        <v>46063</v>
      </c>
      <c r="J1768" s="8">
        <v>46066</v>
      </c>
      <c r="K1768" s="1" t="s">
        <v>5367</v>
      </c>
      <c r="L1768" t="s">
        <v>5790</v>
      </c>
      <c r="M1768" t="s">
        <v>4221</v>
      </c>
      <c r="N1768" s="12">
        <v>102600</v>
      </c>
      <c r="O1768" t="s">
        <v>5213</v>
      </c>
      <c r="P1768" s="6" t="s">
        <v>36</v>
      </c>
      <c r="R1768" t="s">
        <v>48</v>
      </c>
      <c r="S1768" s="9">
        <v>3800</v>
      </c>
      <c r="T1768" s="9">
        <v>27</v>
      </c>
      <c r="U1768" s="9">
        <v>102600</v>
      </c>
      <c r="V1768" s="6" t="s">
        <v>352</v>
      </c>
      <c r="W1768" t="s">
        <v>40</v>
      </c>
      <c r="X1768">
        <v>7843014747</v>
      </c>
      <c r="Y1768">
        <v>781401001</v>
      </c>
      <c r="Z1768" s="3">
        <v>46070.181250000001</v>
      </c>
      <c r="AA1768" s="6">
        <v>2026</v>
      </c>
      <c r="AB1768" s="1">
        <v>46136</v>
      </c>
    </row>
    <row r="1769" spans="1:28" x14ac:dyDescent="0.3">
      <c r="A1769" t="s">
        <v>5791</v>
      </c>
      <c r="B1769" s="6" t="s">
        <v>1235</v>
      </c>
      <c r="C1769" s="6" t="s">
        <v>30</v>
      </c>
      <c r="D1769">
        <v>3201004917</v>
      </c>
      <c r="E1769">
        <v>325701001</v>
      </c>
      <c r="F1769" t="s">
        <v>52</v>
      </c>
      <c r="G1769" t="s">
        <v>5792</v>
      </c>
      <c r="H1769" s="1">
        <v>46055</v>
      </c>
      <c r="J1769" s="8">
        <v>46066</v>
      </c>
      <c r="K1769" s="1" t="s">
        <v>5367</v>
      </c>
      <c r="L1769" t="s">
        <v>5792</v>
      </c>
      <c r="M1769" t="s">
        <v>5793</v>
      </c>
      <c r="N1769" s="12">
        <v>2684124</v>
      </c>
      <c r="O1769" t="s">
        <v>3624</v>
      </c>
      <c r="P1769" s="6" t="s">
        <v>891</v>
      </c>
      <c r="Q1769" t="s">
        <v>37</v>
      </c>
      <c r="R1769" t="s">
        <v>38</v>
      </c>
      <c r="S1769" s="9">
        <v>2982.36</v>
      </c>
      <c r="T1769" s="9">
        <v>500</v>
      </c>
      <c r="U1769" s="9">
        <v>1491180</v>
      </c>
      <c r="V1769" s="6" t="s">
        <v>39</v>
      </c>
      <c r="W1769" t="s">
        <v>40</v>
      </c>
      <c r="X1769">
        <v>7810687137</v>
      </c>
      <c r="Y1769">
        <v>781401001</v>
      </c>
      <c r="Z1769" s="3">
        <v>46066.588888888888</v>
      </c>
      <c r="AA1769" s="6">
        <v>2026</v>
      </c>
      <c r="AB1769" s="1">
        <v>46387</v>
      </c>
    </row>
    <row r="1770" spans="1:28" x14ac:dyDescent="0.3">
      <c r="A1770" t="s">
        <v>5791</v>
      </c>
      <c r="B1770" s="6" t="s">
        <v>1235</v>
      </c>
      <c r="C1770" s="6" t="s">
        <v>30</v>
      </c>
      <c r="D1770">
        <v>3201004917</v>
      </c>
      <c r="E1770">
        <v>325701001</v>
      </c>
      <c r="F1770" t="s">
        <v>52</v>
      </c>
      <c r="G1770" t="s">
        <v>5792</v>
      </c>
      <c r="H1770" s="1">
        <v>46055</v>
      </c>
      <c r="J1770" s="8">
        <v>46066</v>
      </c>
      <c r="K1770" s="1" t="s">
        <v>5367</v>
      </c>
      <c r="L1770" t="s">
        <v>5792</v>
      </c>
      <c r="M1770" t="s">
        <v>5793</v>
      </c>
      <c r="N1770" s="12">
        <v>2684124</v>
      </c>
      <c r="O1770" t="s">
        <v>3633</v>
      </c>
      <c r="P1770" s="6" t="s">
        <v>36</v>
      </c>
      <c r="Q1770" t="s">
        <v>37</v>
      </c>
      <c r="R1770" t="s">
        <v>38</v>
      </c>
      <c r="S1770" s="9">
        <v>2982.36</v>
      </c>
      <c r="T1770" s="9">
        <v>400</v>
      </c>
      <c r="U1770" s="9">
        <v>1192944</v>
      </c>
      <c r="V1770" s="6" t="s">
        <v>39</v>
      </c>
      <c r="W1770" t="s">
        <v>40</v>
      </c>
      <c r="X1770">
        <v>7810687137</v>
      </c>
      <c r="Y1770">
        <v>781401001</v>
      </c>
      <c r="Z1770" s="3">
        <v>46066.588888888888</v>
      </c>
      <c r="AA1770" s="6">
        <v>2026</v>
      </c>
      <c r="AB1770" s="1">
        <v>46387</v>
      </c>
    </row>
    <row r="1771" spans="1:28" x14ac:dyDescent="0.3">
      <c r="A1771" t="s">
        <v>5794</v>
      </c>
      <c r="B1771" s="6" t="s">
        <v>3401</v>
      </c>
      <c r="C1771" s="6" t="s">
        <v>965</v>
      </c>
      <c r="D1771">
        <v>7017245682</v>
      </c>
      <c r="E1771">
        <v>701701001</v>
      </c>
      <c r="F1771" t="s">
        <v>44</v>
      </c>
      <c r="G1771" t="s">
        <v>5795</v>
      </c>
      <c r="H1771" s="1">
        <v>46069</v>
      </c>
      <c r="I1771" t="s">
        <v>5405</v>
      </c>
      <c r="J1771" s="8">
        <v>46069</v>
      </c>
      <c r="K1771" s="1" t="s">
        <v>5367</v>
      </c>
      <c r="L1771" s="1" t="s">
        <v>5796</v>
      </c>
      <c r="M1771" s="1" t="s">
        <v>3404</v>
      </c>
      <c r="N1771" s="12">
        <v>18739200</v>
      </c>
      <c r="O1771" s="1" t="s">
        <v>3405</v>
      </c>
      <c r="P1771" s="6" t="s">
        <v>36</v>
      </c>
      <c r="R1771" t="s">
        <v>38</v>
      </c>
      <c r="S1771" s="9">
        <v>3200</v>
      </c>
      <c r="T1771" s="9">
        <v>5856</v>
      </c>
      <c r="U1771" s="9">
        <v>18739200</v>
      </c>
      <c r="V1771" s="6" t="s">
        <v>58</v>
      </c>
      <c r="W1771" t="s">
        <v>59</v>
      </c>
      <c r="X1771">
        <v>5262222144</v>
      </c>
      <c r="Y1771">
        <v>526001001</v>
      </c>
      <c r="Z1771" s="3"/>
      <c r="AA1771" s="6">
        <v>2026</v>
      </c>
      <c r="AB1771" s="1">
        <v>46387</v>
      </c>
    </row>
    <row r="1772" spans="1:28" x14ac:dyDescent="0.3">
      <c r="A1772" t="s">
        <v>5797</v>
      </c>
      <c r="B1772" s="6" t="s">
        <v>501</v>
      </c>
      <c r="C1772" s="6" t="s">
        <v>502</v>
      </c>
      <c r="D1772">
        <v>6318197367</v>
      </c>
      <c r="E1772">
        <v>631801001</v>
      </c>
      <c r="F1772" t="s">
        <v>52</v>
      </c>
      <c r="G1772" t="s">
        <v>5798</v>
      </c>
      <c r="H1772" s="1">
        <v>46058</v>
      </c>
      <c r="I1772" t="s">
        <v>5799</v>
      </c>
      <c r="J1772" s="8">
        <v>46069</v>
      </c>
      <c r="K1772" s="1" t="s">
        <v>5367</v>
      </c>
      <c r="L1772" t="s">
        <v>5800</v>
      </c>
      <c r="M1772" t="s">
        <v>5801</v>
      </c>
      <c r="N1772" s="12">
        <v>351750</v>
      </c>
      <c r="O1772" t="s">
        <v>3633</v>
      </c>
      <c r="P1772" s="6" t="s">
        <v>36</v>
      </c>
      <c r="R1772" t="s">
        <v>38</v>
      </c>
      <c r="S1772" s="9">
        <v>2625</v>
      </c>
      <c r="T1772" s="9">
        <v>134</v>
      </c>
      <c r="U1772" s="9">
        <v>351750</v>
      </c>
      <c r="V1772" s="6" t="s">
        <v>58</v>
      </c>
      <c r="W1772" t="s">
        <v>59</v>
      </c>
      <c r="X1772">
        <v>5262222144</v>
      </c>
      <c r="Y1772">
        <v>526001001</v>
      </c>
      <c r="Z1772" s="3">
        <v>46071.377083333333</v>
      </c>
      <c r="AA1772" s="6">
        <v>2026</v>
      </c>
      <c r="AB1772" s="1">
        <v>46387</v>
      </c>
    </row>
    <row r="1773" spans="1:28" x14ac:dyDescent="0.3">
      <c r="A1773" t="s">
        <v>5802</v>
      </c>
      <c r="B1773" s="6" t="s">
        <v>121</v>
      </c>
      <c r="C1773" s="6" t="s">
        <v>122</v>
      </c>
      <c r="D1773">
        <v>5402155123</v>
      </c>
      <c r="E1773">
        <v>540201001</v>
      </c>
      <c r="F1773" t="s">
        <v>52</v>
      </c>
      <c r="G1773" t="s">
        <v>5803</v>
      </c>
      <c r="H1773" s="1">
        <v>46058</v>
      </c>
      <c r="I1773" t="s">
        <v>5799</v>
      </c>
      <c r="J1773" s="8">
        <v>46069</v>
      </c>
      <c r="K1773" s="1" t="s">
        <v>5367</v>
      </c>
      <c r="L1773" t="s">
        <v>5804</v>
      </c>
      <c r="M1773" t="s">
        <v>5805</v>
      </c>
      <c r="N1773" s="12">
        <v>2010000</v>
      </c>
      <c r="O1773" t="s">
        <v>3613</v>
      </c>
      <c r="P1773" s="6" t="s">
        <v>3758</v>
      </c>
      <c r="Q1773" t="s">
        <v>37</v>
      </c>
      <c r="R1773" t="s">
        <v>38</v>
      </c>
      <c r="S1773" s="9">
        <v>6700</v>
      </c>
      <c r="T1773" s="9">
        <v>300</v>
      </c>
      <c r="U1773" s="9">
        <v>2010000</v>
      </c>
      <c r="V1773" s="6" t="s">
        <v>750</v>
      </c>
      <c r="W1773" t="s">
        <v>5806</v>
      </c>
      <c r="X1773">
        <v>540123954976</v>
      </c>
      <c r="Z1773" s="3">
        <v>46069.533333333333</v>
      </c>
      <c r="AA1773" s="6">
        <v>2026</v>
      </c>
      <c r="AB1773" s="1">
        <v>46356</v>
      </c>
    </row>
    <row r="1774" spans="1:28" x14ac:dyDescent="0.3">
      <c r="A1774" t="s">
        <v>5807</v>
      </c>
      <c r="B1774" s="6" t="s">
        <v>5808</v>
      </c>
      <c r="C1774" s="6" t="s">
        <v>105</v>
      </c>
      <c r="D1774">
        <v>6664033808</v>
      </c>
      <c r="E1774">
        <v>667901001</v>
      </c>
      <c r="F1774" t="s">
        <v>44</v>
      </c>
      <c r="H1774" s="1">
        <v>46071</v>
      </c>
      <c r="I1774" t="s">
        <v>3019</v>
      </c>
      <c r="J1774" s="8">
        <v>46071</v>
      </c>
      <c r="K1774" s="1" t="s">
        <v>5367</v>
      </c>
      <c r="L1774" t="s">
        <v>5809</v>
      </c>
      <c r="M1774" s="1" t="s">
        <v>225</v>
      </c>
      <c r="N1774" s="12">
        <v>98800</v>
      </c>
      <c r="O1774" s="1" t="s">
        <v>5810</v>
      </c>
      <c r="P1774" s="6" t="s">
        <v>36</v>
      </c>
      <c r="R1774" t="s">
        <v>38</v>
      </c>
      <c r="S1774" s="9">
        <v>3800</v>
      </c>
      <c r="T1774" s="9">
        <v>26</v>
      </c>
      <c r="U1774" s="9">
        <v>98800</v>
      </c>
      <c r="V1774" s="6" t="s">
        <v>58</v>
      </c>
      <c r="W1774" t="s">
        <v>59</v>
      </c>
      <c r="X1774">
        <v>5262222144</v>
      </c>
      <c r="Y1774">
        <v>526001001</v>
      </c>
      <c r="Z1774" s="3"/>
      <c r="AA1774" s="6">
        <v>2026</v>
      </c>
      <c r="AB1774" s="1">
        <v>46387</v>
      </c>
    </row>
    <row r="1775" spans="1:28" x14ac:dyDescent="0.3">
      <c r="A1775" t="s">
        <v>5811</v>
      </c>
      <c r="B1775" s="6" t="s">
        <v>782</v>
      </c>
      <c r="C1775" s="6" t="s">
        <v>783</v>
      </c>
      <c r="D1775">
        <v>6231025123</v>
      </c>
      <c r="E1775">
        <v>623401001</v>
      </c>
      <c r="F1775" t="s">
        <v>94</v>
      </c>
      <c r="G1775" t="s">
        <v>5812</v>
      </c>
      <c r="H1775" s="1">
        <v>46066</v>
      </c>
      <c r="J1775" s="8">
        <v>46071</v>
      </c>
      <c r="K1775" s="1" t="s">
        <v>5367</v>
      </c>
      <c r="L1775" t="s">
        <v>5813</v>
      </c>
      <c r="M1775" t="s">
        <v>2588</v>
      </c>
      <c r="N1775" s="12">
        <v>1461020</v>
      </c>
      <c r="O1775" t="s">
        <v>3648</v>
      </c>
      <c r="P1775" s="6" t="s">
        <v>2277</v>
      </c>
      <c r="R1775" t="s">
        <v>38</v>
      </c>
      <c r="S1775" s="9">
        <v>3190</v>
      </c>
      <c r="T1775" s="9">
        <v>458</v>
      </c>
      <c r="U1775" s="9">
        <v>1461020</v>
      </c>
      <c r="V1775" s="6" t="s">
        <v>90</v>
      </c>
      <c r="W1775" t="s">
        <v>59</v>
      </c>
      <c r="X1775">
        <v>5259153331</v>
      </c>
      <c r="Y1775">
        <v>525901001</v>
      </c>
      <c r="Z1775" s="3">
        <v>46073.428472222222</v>
      </c>
      <c r="AA1775" s="6">
        <v>2026</v>
      </c>
      <c r="AB1775" s="1">
        <v>46346</v>
      </c>
    </row>
    <row r="1776" spans="1:28" x14ac:dyDescent="0.3">
      <c r="A1776" t="s">
        <v>5814</v>
      </c>
      <c r="B1776" s="6" t="s">
        <v>5815</v>
      </c>
      <c r="C1776" s="6" t="s">
        <v>84</v>
      </c>
      <c r="D1776">
        <v>3666031286</v>
      </c>
      <c r="E1776">
        <v>366601001</v>
      </c>
      <c r="F1776" t="s">
        <v>149</v>
      </c>
      <c r="G1776" t="s">
        <v>5816</v>
      </c>
      <c r="H1776" s="1">
        <v>46066</v>
      </c>
      <c r="J1776" s="8">
        <v>46071</v>
      </c>
      <c r="K1776" s="1" t="s">
        <v>5367</v>
      </c>
      <c r="L1776" t="s">
        <v>5817</v>
      </c>
      <c r="M1776" t="s">
        <v>377</v>
      </c>
      <c r="N1776" s="12">
        <v>129600</v>
      </c>
      <c r="O1776" t="s">
        <v>5818</v>
      </c>
      <c r="P1776" s="6" t="s">
        <v>36</v>
      </c>
      <c r="R1776" t="s">
        <v>38</v>
      </c>
      <c r="S1776" s="9">
        <v>5400</v>
      </c>
      <c r="T1776" s="9">
        <v>24</v>
      </c>
      <c r="U1776" s="9">
        <v>129600</v>
      </c>
      <c r="V1776" s="6" t="s">
        <v>5819</v>
      </c>
      <c r="W1776" t="s">
        <v>5820</v>
      </c>
      <c r="X1776">
        <v>3666177711</v>
      </c>
      <c r="Y1776">
        <v>366601001</v>
      </c>
      <c r="Z1776" s="3">
        <v>46071.623611111114</v>
      </c>
      <c r="AA1776" s="6">
        <v>2026</v>
      </c>
      <c r="AB1776" s="1">
        <v>46387</v>
      </c>
    </row>
    <row r="1777" spans="1:28" x14ac:dyDescent="0.3">
      <c r="A1777" t="s">
        <v>5821</v>
      </c>
      <c r="B1777" s="6" t="s">
        <v>197</v>
      </c>
      <c r="C1777" s="6" t="s">
        <v>198</v>
      </c>
      <c r="D1777">
        <v>1001046786</v>
      </c>
      <c r="E1777">
        <v>100101001</v>
      </c>
      <c r="F1777" t="s">
        <v>94</v>
      </c>
      <c r="G1777" t="s">
        <v>5822</v>
      </c>
      <c r="H1777" s="1">
        <v>46066</v>
      </c>
      <c r="I1777" t="s">
        <v>5823</v>
      </c>
      <c r="J1777" s="8">
        <v>46071</v>
      </c>
      <c r="K1777" s="1" t="s">
        <v>5367</v>
      </c>
      <c r="L1777" t="s">
        <v>5822</v>
      </c>
      <c r="M1777" t="s">
        <v>5824</v>
      </c>
      <c r="N1777" s="12">
        <v>5998720</v>
      </c>
      <c r="O1777" t="s">
        <v>5552</v>
      </c>
      <c r="P1777" s="6" t="s">
        <v>5457</v>
      </c>
      <c r="R1777" t="s">
        <v>38</v>
      </c>
      <c r="S1777" s="9">
        <v>2240</v>
      </c>
      <c r="T1777" s="9">
        <v>2678</v>
      </c>
      <c r="U1777" s="9">
        <v>5998720</v>
      </c>
      <c r="V1777" s="6" t="s">
        <v>5825</v>
      </c>
      <c r="W1777" t="s">
        <v>5826</v>
      </c>
      <c r="X1777">
        <v>7724417610</v>
      </c>
      <c r="Y1777">
        <v>772401001</v>
      </c>
      <c r="Z1777" s="3">
        <v>46071.584722222222</v>
      </c>
      <c r="AA1777" s="6">
        <v>2026</v>
      </c>
      <c r="AB1777" s="1">
        <v>46387</v>
      </c>
    </row>
    <row r="1778" spans="1:28" x14ac:dyDescent="0.3">
      <c r="A1778" t="s">
        <v>5827</v>
      </c>
      <c r="B1778" s="6" t="s">
        <v>177</v>
      </c>
      <c r="C1778" s="6" t="s">
        <v>62</v>
      </c>
      <c r="D1778">
        <v>4027122645</v>
      </c>
      <c r="E1778">
        <v>402701001</v>
      </c>
      <c r="F1778" t="s">
        <v>44</v>
      </c>
      <c r="H1778"/>
      <c r="I1778" t="s">
        <v>5828</v>
      </c>
      <c r="J1778" s="8">
        <v>46071</v>
      </c>
      <c r="K1778" s="1" t="s">
        <v>5367</v>
      </c>
      <c r="L1778" t="s">
        <v>5829</v>
      </c>
      <c r="M1778" t="s">
        <v>179</v>
      </c>
      <c r="N1778" s="12">
        <v>5660796</v>
      </c>
      <c r="O1778" t="s">
        <v>5830</v>
      </c>
      <c r="P1778" s="6" t="s">
        <v>3758</v>
      </c>
      <c r="Q1778" t="s">
        <v>37</v>
      </c>
      <c r="R1778" t="s">
        <v>38</v>
      </c>
      <c r="S1778" s="9">
        <v>6460</v>
      </c>
      <c r="T1778" s="9">
        <v>11</v>
      </c>
      <c r="U1778" s="9">
        <v>71060</v>
      </c>
      <c r="V1778" s="6" t="s">
        <v>61</v>
      </c>
      <c r="W1778" t="s">
        <v>5831</v>
      </c>
      <c r="X1778">
        <v>4027022305</v>
      </c>
      <c r="Y1778">
        <v>402701001</v>
      </c>
      <c r="Z1778" s="3">
        <v>46072.564583333333</v>
      </c>
      <c r="AA1778" s="6">
        <v>2026</v>
      </c>
      <c r="AB1778" s="1">
        <v>46387</v>
      </c>
    </row>
    <row r="1779" spans="1:28" x14ac:dyDescent="0.3">
      <c r="A1779" t="s">
        <v>5827</v>
      </c>
      <c r="B1779" s="6" t="s">
        <v>177</v>
      </c>
      <c r="C1779" s="6" t="s">
        <v>62</v>
      </c>
      <c r="D1779">
        <v>4027122645</v>
      </c>
      <c r="E1779">
        <v>402701001</v>
      </c>
      <c r="F1779" t="s">
        <v>44</v>
      </c>
      <c r="H1779"/>
      <c r="I1779" t="s">
        <v>5828</v>
      </c>
      <c r="J1779" s="8">
        <v>46071</v>
      </c>
      <c r="K1779" s="1" t="s">
        <v>5367</v>
      </c>
      <c r="L1779" t="s">
        <v>5829</v>
      </c>
      <c r="M1779" t="s">
        <v>179</v>
      </c>
      <c r="N1779" s="12">
        <v>5660796</v>
      </c>
      <c r="O1779" t="s">
        <v>5484</v>
      </c>
      <c r="P1779" s="6" t="s">
        <v>2277</v>
      </c>
      <c r="Q1779" t="s">
        <v>37</v>
      </c>
      <c r="R1779" t="s">
        <v>38</v>
      </c>
      <c r="S1779" s="9">
        <v>6035</v>
      </c>
      <c r="T1779" s="9">
        <v>207</v>
      </c>
      <c r="U1779" s="9">
        <v>1249245</v>
      </c>
      <c r="V1779" s="6" t="s">
        <v>61</v>
      </c>
      <c r="W1779" t="s">
        <v>5831</v>
      </c>
      <c r="X1779">
        <v>4027022305</v>
      </c>
      <c r="Y1779">
        <v>402701001</v>
      </c>
      <c r="Z1779" s="3">
        <v>46072.564583333333</v>
      </c>
      <c r="AA1779" s="6">
        <v>2026</v>
      </c>
      <c r="AB1779" s="1">
        <v>46387</v>
      </c>
    </row>
    <row r="1780" spans="1:28" x14ac:dyDescent="0.3">
      <c r="A1780" t="s">
        <v>5827</v>
      </c>
      <c r="B1780" s="6" t="s">
        <v>177</v>
      </c>
      <c r="C1780" s="6" t="s">
        <v>62</v>
      </c>
      <c r="D1780">
        <v>4027122645</v>
      </c>
      <c r="E1780">
        <v>402701001</v>
      </c>
      <c r="F1780" t="s">
        <v>44</v>
      </c>
      <c r="H1780"/>
      <c r="I1780" t="s">
        <v>5828</v>
      </c>
      <c r="J1780" s="8">
        <v>46071</v>
      </c>
      <c r="K1780" s="1" t="s">
        <v>5367</v>
      </c>
      <c r="L1780" t="s">
        <v>5829</v>
      </c>
      <c r="M1780" t="s">
        <v>179</v>
      </c>
      <c r="N1780" s="12">
        <v>5660796</v>
      </c>
      <c r="O1780" t="s">
        <v>5485</v>
      </c>
      <c r="P1780" s="6" t="s">
        <v>36</v>
      </c>
      <c r="Q1780" t="s">
        <v>37</v>
      </c>
      <c r="R1780" t="s">
        <v>38</v>
      </c>
      <c r="S1780" s="9">
        <v>5550.5</v>
      </c>
      <c r="T1780" s="9">
        <v>782</v>
      </c>
      <c r="U1780" s="9">
        <v>4340491</v>
      </c>
      <c r="V1780" s="6" t="s">
        <v>61</v>
      </c>
      <c r="W1780" t="s">
        <v>5831</v>
      </c>
      <c r="X1780">
        <v>4027022305</v>
      </c>
      <c r="Y1780">
        <v>402701001</v>
      </c>
      <c r="Z1780" s="3">
        <v>46072.564583333333</v>
      </c>
      <c r="AA1780" s="6">
        <v>2026</v>
      </c>
      <c r="AB1780" s="1">
        <v>46387</v>
      </c>
    </row>
    <row r="1781" spans="1:28" x14ac:dyDescent="0.3">
      <c r="A1781" t="s">
        <v>5832</v>
      </c>
      <c r="B1781" s="6" t="s">
        <v>4397</v>
      </c>
      <c r="C1781" s="6" t="s">
        <v>2548</v>
      </c>
      <c r="D1781">
        <v>4443021350</v>
      </c>
      <c r="E1781">
        <v>440101001</v>
      </c>
      <c r="F1781" t="s">
        <v>149</v>
      </c>
      <c r="G1781" t="s">
        <v>5833</v>
      </c>
      <c r="H1781" s="1">
        <v>46066</v>
      </c>
      <c r="J1781" s="8">
        <v>46071</v>
      </c>
      <c r="K1781" s="1" t="s">
        <v>5367</v>
      </c>
      <c r="L1781" t="s">
        <v>5834</v>
      </c>
      <c r="M1781" t="s">
        <v>377</v>
      </c>
      <c r="N1781" s="12">
        <v>4785000</v>
      </c>
      <c r="O1781" t="s">
        <v>3633</v>
      </c>
      <c r="P1781" s="6" t="s">
        <v>36</v>
      </c>
      <c r="R1781" t="s">
        <v>38</v>
      </c>
      <c r="S1781" s="9">
        <v>2750</v>
      </c>
      <c r="T1781" s="9">
        <v>1740</v>
      </c>
      <c r="U1781" s="9">
        <v>4785000</v>
      </c>
      <c r="V1781" s="6" t="s">
        <v>39</v>
      </c>
      <c r="W1781" t="s">
        <v>40</v>
      </c>
      <c r="X1781">
        <v>7810687137</v>
      </c>
      <c r="Y1781">
        <v>781401001</v>
      </c>
      <c r="Z1781" s="3">
        <v>46071.472222222219</v>
      </c>
      <c r="AA1781" s="6">
        <v>2026</v>
      </c>
      <c r="AB1781" s="1">
        <v>46387</v>
      </c>
    </row>
    <row r="1782" spans="1:28" x14ac:dyDescent="0.3">
      <c r="A1782" t="s">
        <v>5835</v>
      </c>
      <c r="B1782" s="6" t="s">
        <v>4397</v>
      </c>
      <c r="C1782" s="6" t="s">
        <v>2548</v>
      </c>
      <c r="D1782">
        <v>4443021350</v>
      </c>
      <c r="E1782">
        <v>440101001</v>
      </c>
      <c r="F1782" t="s">
        <v>149</v>
      </c>
      <c r="G1782" t="s">
        <v>5836</v>
      </c>
      <c r="H1782" s="1">
        <v>46066</v>
      </c>
      <c r="J1782" s="8">
        <v>46071</v>
      </c>
      <c r="K1782" s="1" t="s">
        <v>5367</v>
      </c>
      <c r="L1782" t="s">
        <v>5837</v>
      </c>
      <c r="M1782" t="s">
        <v>377</v>
      </c>
      <c r="N1782" s="12">
        <v>3087900</v>
      </c>
      <c r="O1782" t="s">
        <v>3613</v>
      </c>
      <c r="P1782" s="6" t="s">
        <v>36</v>
      </c>
      <c r="R1782" t="s">
        <v>38</v>
      </c>
      <c r="S1782" s="9">
        <v>2820</v>
      </c>
      <c r="T1782" s="9">
        <v>1095</v>
      </c>
      <c r="U1782" s="9">
        <v>3087900</v>
      </c>
      <c r="V1782" s="6" t="s">
        <v>58</v>
      </c>
      <c r="W1782" t="s">
        <v>59</v>
      </c>
      <c r="X1782">
        <v>5262222144</v>
      </c>
      <c r="Y1782">
        <v>526001001</v>
      </c>
      <c r="Z1782" s="3">
        <v>46071.673611111109</v>
      </c>
      <c r="AA1782" s="6">
        <v>2026</v>
      </c>
      <c r="AB1782" s="1">
        <v>46387</v>
      </c>
    </row>
    <row r="1783" spans="1:28" x14ac:dyDescent="0.3">
      <c r="A1783" t="s">
        <v>5838</v>
      </c>
      <c r="B1783" s="6" t="s">
        <v>4397</v>
      </c>
      <c r="C1783" s="6" t="s">
        <v>2548</v>
      </c>
      <c r="D1783">
        <v>4443021350</v>
      </c>
      <c r="E1783">
        <v>440101001</v>
      </c>
      <c r="F1783" t="s">
        <v>149</v>
      </c>
      <c r="G1783" t="s">
        <v>5839</v>
      </c>
      <c r="H1783" s="1">
        <v>46066</v>
      </c>
      <c r="I1783" t="s">
        <v>5840</v>
      </c>
      <c r="J1783" s="8">
        <v>46071</v>
      </c>
      <c r="K1783" s="1" t="s">
        <v>5367</v>
      </c>
      <c r="L1783" t="s">
        <v>5841</v>
      </c>
      <c r="M1783" t="s">
        <v>377</v>
      </c>
      <c r="N1783" s="12">
        <v>4854600</v>
      </c>
      <c r="O1783" t="s">
        <v>3633</v>
      </c>
      <c r="P1783" s="6" t="s">
        <v>36</v>
      </c>
      <c r="R1783" t="s">
        <v>38</v>
      </c>
      <c r="S1783" s="9">
        <v>2790</v>
      </c>
      <c r="T1783" s="9">
        <v>1740</v>
      </c>
      <c r="U1783" s="9">
        <v>4854600</v>
      </c>
      <c r="V1783" s="6" t="s">
        <v>39</v>
      </c>
      <c r="W1783" t="s">
        <v>40</v>
      </c>
      <c r="X1783">
        <v>7810687137</v>
      </c>
      <c r="Y1783">
        <v>781401001</v>
      </c>
      <c r="Z1783" s="3">
        <v>46071.47152777778</v>
      </c>
      <c r="AA1783" s="6">
        <v>2026</v>
      </c>
      <c r="AB1783" s="1">
        <v>46387</v>
      </c>
    </row>
    <row r="1784" spans="1:28" x14ac:dyDescent="0.3">
      <c r="A1784" t="s">
        <v>5842</v>
      </c>
      <c r="B1784" s="6" t="s">
        <v>4397</v>
      </c>
      <c r="C1784" s="6" t="s">
        <v>2548</v>
      </c>
      <c r="D1784">
        <v>4443021350</v>
      </c>
      <c r="E1784">
        <v>440101001</v>
      </c>
      <c r="F1784" t="s">
        <v>149</v>
      </c>
      <c r="G1784" t="s">
        <v>5843</v>
      </c>
      <c r="H1784" s="1">
        <v>46066</v>
      </c>
      <c r="J1784" s="8">
        <v>46071</v>
      </c>
      <c r="K1784" s="1" t="s">
        <v>5367</v>
      </c>
      <c r="L1784" t="s">
        <v>5844</v>
      </c>
      <c r="M1784" t="s">
        <v>377</v>
      </c>
      <c r="N1784" s="12">
        <v>4785000</v>
      </c>
      <c r="O1784" t="s">
        <v>3633</v>
      </c>
      <c r="P1784" s="6" t="s">
        <v>36</v>
      </c>
      <c r="R1784" t="s">
        <v>38</v>
      </c>
      <c r="S1784" s="9">
        <v>2750</v>
      </c>
      <c r="T1784" s="9">
        <v>1740</v>
      </c>
      <c r="U1784" s="9">
        <v>4785000</v>
      </c>
      <c r="V1784" s="6" t="s">
        <v>39</v>
      </c>
      <c r="W1784" t="s">
        <v>40</v>
      </c>
      <c r="X1784">
        <v>7810687137</v>
      </c>
      <c r="Y1784">
        <v>781401001</v>
      </c>
      <c r="Z1784" s="3">
        <v>46071.47152777778</v>
      </c>
      <c r="AA1784" s="6">
        <v>2026</v>
      </c>
      <c r="AB1784" s="1">
        <v>46387</v>
      </c>
    </row>
    <row r="1785" spans="1:28" x14ac:dyDescent="0.3">
      <c r="A1785" t="s">
        <v>5845</v>
      </c>
      <c r="B1785" s="6" t="s">
        <v>197</v>
      </c>
      <c r="C1785" s="6" t="s">
        <v>198</v>
      </c>
      <c r="D1785">
        <v>1001046786</v>
      </c>
      <c r="E1785">
        <v>100101001</v>
      </c>
      <c r="F1785" t="s">
        <v>94</v>
      </c>
      <c r="G1785" t="s">
        <v>5846</v>
      </c>
      <c r="H1785" s="1">
        <v>46069</v>
      </c>
      <c r="I1785" t="s">
        <v>5847</v>
      </c>
      <c r="J1785" s="8">
        <v>46072</v>
      </c>
      <c r="K1785" s="1" t="s">
        <v>5367</v>
      </c>
      <c r="L1785" t="s">
        <v>5846</v>
      </c>
      <c r="M1785" t="s">
        <v>5848</v>
      </c>
      <c r="N1785" s="12">
        <v>5322515</v>
      </c>
      <c r="O1785" t="s">
        <v>4022</v>
      </c>
      <c r="P1785" s="6" t="s">
        <v>2941</v>
      </c>
      <c r="R1785" t="s">
        <v>38</v>
      </c>
      <c r="S1785" s="9">
        <v>2585</v>
      </c>
      <c r="T1785" s="9">
        <v>2059</v>
      </c>
      <c r="U1785" s="9">
        <v>5322515</v>
      </c>
      <c r="V1785" s="6" t="s">
        <v>352</v>
      </c>
      <c r="W1785" t="s">
        <v>40</v>
      </c>
      <c r="X1785">
        <v>7843014747</v>
      </c>
      <c r="Y1785">
        <v>781401001</v>
      </c>
      <c r="Z1785" s="3">
        <v>46072.534722222219</v>
      </c>
      <c r="AA1785" s="6">
        <v>2026</v>
      </c>
      <c r="AB1785" s="1">
        <v>46387</v>
      </c>
    </row>
    <row r="1786" spans="1:28" x14ac:dyDescent="0.3">
      <c r="A1786" s="4" t="s">
        <v>5849</v>
      </c>
      <c r="B1786" s="6" t="s">
        <v>491</v>
      </c>
      <c r="C1786" s="6" t="s">
        <v>492</v>
      </c>
      <c r="D1786">
        <v>2724041260</v>
      </c>
      <c r="E1786">
        <v>272101001</v>
      </c>
      <c r="F1786" t="s">
        <v>94</v>
      </c>
      <c r="G1786" t="s">
        <v>5850</v>
      </c>
      <c r="H1786" s="1">
        <v>46069</v>
      </c>
      <c r="J1786" s="8">
        <v>46072</v>
      </c>
      <c r="K1786" s="1" t="s">
        <v>5367</v>
      </c>
      <c r="L1786" t="s">
        <v>5850</v>
      </c>
      <c r="M1786" t="s">
        <v>4221</v>
      </c>
      <c r="N1786" s="12">
        <v>102600</v>
      </c>
      <c r="O1786" t="s">
        <v>5213</v>
      </c>
      <c r="P1786" s="6" t="s">
        <v>36</v>
      </c>
      <c r="R1786" t="s">
        <v>48</v>
      </c>
      <c r="S1786" s="9">
        <v>3800</v>
      </c>
      <c r="T1786" s="9">
        <v>27</v>
      </c>
      <c r="U1786" s="9">
        <v>102600</v>
      </c>
      <c r="V1786" s="6" t="s">
        <v>352</v>
      </c>
      <c r="W1786" t="s">
        <v>40</v>
      </c>
      <c r="X1786">
        <v>7843014747</v>
      </c>
      <c r="Y1786">
        <v>781401001</v>
      </c>
      <c r="Z1786" s="3">
        <v>46072.382638888892</v>
      </c>
      <c r="AA1786" s="6">
        <v>2026</v>
      </c>
      <c r="AB1786" s="1">
        <v>46142</v>
      </c>
    </row>
    <row r="1787" spans="1:28" x14ac:dyDescent="0.3">
      <c r="A1787" t="s">
        <v>5851</v>
      </c>
      <c r="B1787" s="6" t="s">
        <v>862</v>
      </c>
      <c r="C1787" s="6" t="s">
        <v>388</v>
      </c>
      <c r="D1787">
        <v>3810040374</v>
      </c>
      <c r="E1787">
        <v>381001001</v>
      </c>
      <c r="F1787" t="s">
        <v>44</v>
      </c>
      <c r="H1787" s="1">
        <v>46079</v>
      </c>
      <c r="J1787" s="8">
        <v>46079</v>
      </c>
      <c r="K1787" s="1" t="s">
        <v>5367</v>
      </c>
      <c r="L1787" t="s">
        <v>5852</v>
      </c>
      <c r="M1787" t="s">
        <v>5261</v>
      </c>
      <c r="N1787" s="12">
        <v>2329600</v>
      </c>
      <c r="O1787" t="s">
        <v>5853</v>
      </c>
      <c r="P1787" s="6" t="s">
        <v>36</v>
      </c>
      <c r="R1787" t="s">
        <v>38</v>
      </c>
      <c r="S1787" s="9">
        <v>2560</v>
      </c>
      <c r="T1787" s="9">
        <v>910</v>
      </c>
      <c r="U1787" s="9">
        <v>2329600</v>
      </c>
      <c r="V1787" s="6" t="s">
        <v>862</v>
      </c>
      <c r="W1787" t="s">
        <v>863</v>
      </c>
      <c r="Z1787" s="3"/>
      <c r="AA1787" s="6">
        <v>2026</v>
      </c>
      <c r="AB1787" s="1">
        <v>46387</v>
      </c>
    </row>
    <row r="1788" spans="1:28" x14ac:dyDescent="0.3">
      <c r="A1788" t="s">
        <v>5854</v>
      </c>
      <c r="B1788" s="6" t="s">
        <v>5855</v>
      </c>
      <c r="C1788" s="6" t="s">
        <v>925</v>
      </c>
      <c r="D1788">
        <v>4207031429</v>
      </c>
      <c r="E1788">
        <v>420501001</v>
      </c>
      <c r="F1788" t="s">
        <v>44</v>
      </c>
      <c r="H1788" s="1">
        <v>46080</v>
      </c>
      <c r="J1788" s="8">
        <v>46080</v>
      </c>
      <c r="K1788" s="1" t="s">
        <v>5367</v>
      </c>
      <c r="L1788" t="s">
        <v>5856</v>
      </c>
      <c r="M1788" t="s">
        <v>5857</v>
      </c>
      <c r="N1788" s="12">
        <v>190000</v>
      </c>
      <c r="O1788" t="s">
        <v>5858</v>
      </c>
      <c r="P1788" s="6" t="s">
        <v>36</v>
      </c>
      <c r="R1788" t="s">
        <v>38</v>
      </c>
      <c r="S1788" s="9">
        <v>3800</v>
      </c>
      <c r="T1788" s="9">
        <v>20</v>
      </c>
      <c r="U1788" s="9">
        <v>76000</v>
      </c>
      <c r="V1788" s="6" t="s">
        <v>5855</v>
      </c>
      <c r="Z1788" s="3"/>
      <c r="AA1788" s="6">
        <v>2026</v>
      </c>
      <c r="AB1788" s="1">
        <v>46387</v>
      </c>
    </row>
    <row r="1789" spans="1:28" x14ac:dyDescent="0.3">
      <c r="A1789" t="s">
        <v>5854</v>
      </c>
      <c r="B1789" s="6" t="s">
        <v>5855</v>
      </c>
      <c r="C1789" s="6" t="s">
        <v>925</v>
      </c>
      <c r="D1789">
        <v>4207031429</v>
      </c>
      <c r="E1789">
        <v>420501001</v>
      </c>
      <c r="F1789" t="s">
        <v>44</v>
      </c>
      <c r="H1789" s="1">
        <v>46080</v>
      </c>
      <c r="J1789" s="8">
        <v>46080</v>
      </c>
      <c r="K1789" s="1" t="s">
        <v>5367</v>
      </c>
      <c r="L1789" t="s">
        <v>5856</v>
      </c>
      <c r="M1789" t="s">
        <v>5857</v>
      </c>
      <c r="N1789" s="12">
        <v>190000</v>
      </c>
      <c r="O1789" t="s">
        <v>5858</v>
      </c>
      <c r="P1789" s="6" t="s">
        <v>2277</v>
      </c>
      <c r="R1789" t="s">
        <v>38</v>
      </c>
      <c r="S1789" s="9">
        <v>3800</v>
      </c>
      <c r="T1789" s="9">
        <v>30</v>
      </c>
      <c r="U1789" s="9">
        <v>114000</v>
      </c>
      <c r="V1789" s="6" t="s">
        <v>5855</v>
      </c>
      <c r="Z1789" s="3"/>
      <c r="AA1789" s="6">
        <v>2026</v>
      </c>
      <c r="AB1789" s="1">
        <v>46387</v>
      </c>
    </row>
    <row r="1790" spans="1:28" x14ac:dyDescent="0.3">
      <c r="A1790" t="s">
        <v>5859</v>
      </c>
      <c r="B1790" s="6" t="s">
        <v>1472</v>
      </c>
      <c r="C1790" s="6" t="s">
        <v>1473</v>
      </c>
      <c r="D1790">
        <v>3123448020</v>
      </c>
      <c r="E1790">
        <v>312301001</v>
      </c>
      <c r="F1790" t="s">
        <v>52</v>
      </c>
      <c r="G1790" t="s">
        <v>5860</v>
      </c>
      <c r="H1790" s="1">
        <v>46062</v>
      </c>
      <c r="J1790" s="8">
        <v>46073</v>
      </c>
      <c r="K1790" s="1" t="s">
        <v>5367</v>
      </c>
      <c r="L1790" t="s">
        <v>5860</v>
      </c>
      <c r="M1790" t="s">
        <v>5861</v>
      </c>
      <c r="N1790" s="12">
        <v>14280000</v>
      </c>
      <c r="O1790" t="s">
        <v>3815</v>
      </c>
      <c r="P1790" s="6" t="s">
        <v>3758</v>
      </c>
      <c r="Q1790" t="s">
        <v>37</v>
      </c>
      <c r="R1790" t="s">
        <v>38</v>
      </c>
      <c r="S1790" s="9">
        <v>3400</v>
      </c>
      <c r="T1790" s="9">
        <v>4200</v>
      </c>
      <c r="U1790" s="9">
        <v>14280000</v>
      </c>
      <c r="V1790" s="6" t="s">
        <v>2237</v>
      </c>
      <c r="W1790" t="s">
        <v>5787</v>
      </c>
      <c r="X1790">
        <v>3123321867</v>
      </c>
      <c r="Y1790">
        <v>312301001</v>
      </c>
      <c r="Z1790" s="3">
        <v>46080.45208333333</v>
      </c>
      <c r="AA1790" s="6">
        <v>2026</v>
      </c>
      <c r="AB1790" s="1">
        <v>46234</v>
      </c>
    </row>
    <row r="1791" spans="1:28" x14ac:dyDescent="0.3">
      <c r="A1791" t="s">
        <v>5862</v>
      </c>
      <c r="B1791" s="6" t="s">
        <v>857</v>
      </c>
      <c r="C1791" s="6" t="s">
        <v>388</v>
      </c>
      <c r="D1791">
        <v>3808172327</v>
      </c>
      <c r="E1791">
        <v>380801001</v>
      </c>
      <c r="F1791" t="s">
        <v>149</v>
      </c>
      <c r="G1791" t="s">
        <v>5863</v>
      </c>
      <c r="H1791" s="1">
        <v>46073</v>
      </c>
      <c r="I1791" t="s">
        <v>5864</v>
      </c>
      <c r="J1791" s="8">
        <v>46079</v>
      </c>
      <c r="K1791" s="1" t="s">
        <v>5367</v>
      </c>
      <c r="L1791" t="s">
        <v>5865</v>
      </c>
      <c r="M1791" t="s">
        <v>377</v>
      </c>
      <c r="N1791" s="12">
        <v>2493400</v>
      </c>
      <c r="O1791" t="s">
        <v>4078</v>
      </c>
      <c r="P1791" s="6" t="s">
        <v>36</v>
      </c>
      <c r="R1791" t="s">
        <v>38</v>
      </c>
      <c r="S1791" s="9">
        <v>2740</v>
      </c>
      <c r="T1791" s="9">
        <v>910</v>
      </c>
      <c r="U1791" s="9">
        <v>2493400</v>
      </c>
      <c r="V1791" s="6" t="s">
        <v>862</v>
      </c>
      <c r="W1791" t="s">
        <v>863</v>
      </c>
      <c r="X1791">
        <v>3810040374</v>
      </c>
      <c r="Y1791">
        <v>381001001</v>
      </c>
      <c r="Z1791" s="3">
        <v>46080.306250000001</v>
      </c>
      <c r="AA1791" s="6">
        <v>2026</v>
      </c>
      <c r="AB1791" s="1">
        <v>46387</v>
      </c>
    </row>
    <row r="1792" spans="1:28" x14ac:dyDescent="0.3">
      <c r="A1792" t="s">
        <v>5866</v>
      </c>
      <c r="B1792" s="6" t="s">
        <v>2432</v>
      </c>
      <c r="C1792" s="6" t="s">
        <v>479</v>
      </c>
      <c r="D1792">
        <v>5505013642</v>
      </c>
      <c r="E1792">
        <v>550501001</v>
      </c>
      <c r="F1792" t="s">
        <v>149</v>
      </c>
      <c r="G1792" t="s">
        <v>5867</v>
      </c>
      <c r="H1792" s="1">
        <v>46073</v>
      </c>
      <c r="J1792" s="8">
        <v>46079</v>
      </c>
      <c r="K1792" s="1" t="s">
        <v>5367</v>
      </c>
      <c r="L1792" t="s">
        <v>5868</v>
      </c>
      <c r="M1792" t="s">
        <v>377</v>
      </c>
      <c r="N1792" s="12">
        <v>3110400</v>
      </c>
      <c r="O1792" t="s">
        <v>5552</v>
      </c>
      <c r="P1792" s="6" t="s">
        <v>5457</v>
      </c>
      <c r="R1792" t="s">
        <v>38</v>
      </c>
      <c r="S1792" s="9">
        <v>3200</v>
      </c>
      <c r="T1792" s="9">
        <v>972</v>
      </c>
      <c r="U1792" s="9">
        <v>3110400</v>
      </c>
      <c r="V1792" s="6" t="s">
        <v>4116</v>
      </c>
      <c r="W1792" t="s">
        <v>4117</v>
      </c>
      <c r="X1792">
        <v>7705733810</v>
      </c>
      <c r="Y1792">
        <v>772901001</v>
      </c>
      <c r="Z1792" s="3">
        <v>46080.28125</v>
      </c>
      <c r="AA1792" s="6">
        <v>2026</v>
      </c>
      <c r="AB1792" s="1">
        <v>46387</v>
      </c>
    </row>
    <row r="1793" spans="1:28" x14ac:dyDescent="0.3">
      <c r="A1793" s="4" t="s">
        <v>5869</v>
      </c>
      <c r="B1793" s="6" t="s">
        <v>1525</v>
      </c>
      <c r="C1793" s="6" t="s">
        <v>164</v>
      </c>
      <c r="D1793">
        <v>7734091519</v>
      </c>
      <c r="E1793">
        <v>773401001</v>
      </c>
      <c r="F1793" t="s">
        <v>52</v>
      </c>
      <c r="G1793" t="s">
        <v>5870</v>
      </c>
      <c r="H1793" s="1">
        <v>46064</v>
      </c>
      <c r="J1793" s="8">
        <v>46079</v>
      </c>
      <c r="K1793" s="1" t="s">
        <v>5367</v>
      </c>
      <c r="L1793" t="s">
        <v>5871</v>
      </c>
      <c r="M1793" t="s">
        <v>5872</v>
      </c>
      <c r="N1793" s="12">
        <v>233639.1</v>
      </c>
      <c r="O1793" t="s">
        <v>3648</v>
      </c>
      <c r="P1793" s="6" t="s">
        <v>2277</v>
      </c>
      <c r="R1793" t="s">
        <v>38</v>
      </c>
      <c r="S1793" s="9">
        <v>2595.9899999999998</v>
      </c>
      <c r="T1793" s="9">
        <v>90</v>
      </c>
      <c r="U1793" s="9">
        <v>233639.1</v>
      </c>
      <c r="V1793" s="6" t="s">
        <v>2502</v>
      </c>
      <c r="W1793" t="s">
        <v>5873</v>
      </c>
      <c r="X1793">
        <v>381110688655</v>
      </c>
      <c r="Z1793" s="3">
        <v>46079.521527777775</v>
      </c>
      <c r="AA1793" s="6">
        <v>2026</v>
      </c>
      <c r="AB1793" s="1">
        <v>46296</v>
      </c>
    </row>
    <row r="1794" spans="1:28" x14ac:dyDescent="0.3">
      <c r="A1794" t="s">
        <v>5874</v>
      </c>
      <c r="B1794" s="6" t="s">
        <v>1305</v>
      </c>
      <c r="C1794" s="6" t="s">
        <v>911</v>
      </c>
      <c r="D1794">
        <v>1215040598</v>
      </c>
      <c r="E1794">
        <v>121501001</v>
      </c>
      <c r="F1794" t="s">
        <v>149</v>
      </c>
      <c r="G1794" t="s">
        <v>5875</v>
      </c>
      <c r="H1794" s="1">
        <v>46073</v>
      </c>
      <c r="J1794" s="8">
        <v>46079</v>
      </c>
      <c r="K1794" s="1" t="s">
        <v>5367</v>
      </c>
      <c r="L1794" t="s">
        <v>5876</v>
      </c>
      <c r="M1794" t="s">
        <v>377</v>
      </c>
      <c r="N1794" s="12">
        <v>95000</v>
      </c>
      <c r="O1794" t="s">
        <v>3613</v>
      </c>
      <c r="P1794" s="6" t="s">
        <v>36</v>
      </c>
      <c r="R1794" t="s">
        <v>38</v>
      </c>
      <c r="S1794" s="9">
        <v>3800</v>
      </c>
      <c r="T1794" s="9">
        <v>25</v>
      </c>
      <c r="U1794" s="9">
        <v>95000</v>
      </c>
      <c r="V1794" s="6" t="s">
        <v>58</v>
      </c>
      <c r="W1794" t="s">
        <v>59</v>
      </c>
      <c r="X1794">
        <v>5262222144</v>
      </c>
      <c r="Y1794">
        <v>526001001</v>
      </c>
      <c r="Z1794" s="3">
        <v>46079.320833333331</v>
      </c>
      <c r="AA1794" s="6">
        <v>2026</v>
      </c>
      <c r="AB1794" s="1">
        <v>46387</v>
      </c>
    </row>
    <row r="1795" spans="1:28" x14ac:dyDescent="0.3">
      <c r="A1795" t="s">
        <v>5877</v>
      </c>
      <c r="B1795" s="6" t="s">
        <v>1305</v>
      </c>
      <c r="C1795" s="6" t="s">
        <v>911</v>
      </c>
      <c r="D1795">
        <v>1215040598</v>
      </c>
      <c r="E1795">
        <v>121501001</v>
      </c>
      <c r="F1795" t="s">
        <v>149</v>
      </c>
      <c r="G1795" t="s">
        <v>5878</v>
      </c>
      <c r="H1795" s="1">
        <v>46073</v>
      </c>
      <c r="J1795" s="8">
        <v>46079</v>
      </c>
      <c r="K1795" s="1" t="s">
        <v>5367</v>
      </c>
      <c r="L1795" t="s">
        <v>5879</v>
      </c>
      <c r="M1795" t="s">
        <v>377</v>
      </c>
      <c r="N1795" s="12">
        <v>160000</v>
      </c>
      <c r="O1795" t="s">
        <v>3613</v>
      </c>
      <c r="P1795" s="6" t="s">
        <v>891</v>
      </c>
      <c r="Q1795" t="s">
        <v>37</v>
      </c>
      <c r="R1795" t="s">
        <v>38</v>
      </c>
      <c r="S1795" s="9">
        <v>4000</v>
      </c>
      <c r="T1795" s="9">
        <v>40</v>
      </c>
      <c r="U1795" s="9">
        <v>160000</v>
      </c>
      <c r="V1795" s="6" t="s">
        <v>90</v>
      </c>
      <c r="W1795" t="s">
        <v>59</v>
      </c>
      <c r="X1795">
        <v>5259153331</v>
      </c>
      <c r="Y1795">
        <v>525901001</v>
      </c>
      <c r="Z1795" s="3">
        <v>46079.319444444445</v>
      </c>
      <c r="AA1795" s="6">
        <v>2026</v>
      </c>
      <c r="AB1795" s="1">
        <v>46387</v>
      </c>
    </row>
    <row r="1796" spans="1:28" x14ac:dyDescent="0.3">
      <c r="A1796" t="s">
        <v>5880</v>
      </c>
      <c r="B1796" s="6" t="s">
        <v>830</v>
      </c>
      <c r="C1796" s="6" t="s">
        <v>831</v>
      </c>
      <c r="D1796">
        <v>6163049814</v>
      </c>
      <c r="E1796">
        <v>616601001</v>
      </c>
      <c r="F1796" t="s">
        <v>52</v>
      </c>
      <c r="G1796" t="s">
        <v>5881</v>
      </c>
      <c r="H1796" s="1">
        <v>46065</v>
      </c>
      <c r="I1796" t="s">
        <v>5882</v>
      </c>
      <c r="J1796" s="8">
        <v>46077</v>
      </c>
      <c r="K1796" s="1" t="s">
        <v>5367</v>
      </c>
      <c r="L1796" t="s">
        <v>5883</v>
      </c>
      <c r="M1796" t="s">
        <v>4507</v>
      </c>
      <c r="N1796" s="12">
        <v>970320</v>
      </c>
      <c r="O1796" t="s">
        <v>3613</v>
      </c>
      <c r="P1796" s="6" t="s">
        <v>1814</v>
      </c>
      <c r="R1796" t="s">
        <v>38</v>
      </c>
      <c r="S1796" s="9">
        <v>6220</v>
      </c>
      <c r="T1796" s="9">
        <v>156</v>
      </c>
      <c r="U1796" s="9">
        <v>970320</v>
      </c>
      <c r="V1796" s="6" t="s">
        <v>90</v>
      </c>
      <c r="W1796" t="s">
        <v>59</v>
      </c>
      <c r="X1796">
        <v>5259153331</v>
      </c>
      <c r="Y1796">
        <v>525901001</v>
      </c>
      <c r="Z1796" s="3">
        <v>46078.719444444447</v>
      </c>
      <c r="AA1796" s="6">
        <v>2026</v>
      </c>
      <c r="AB1796" s="1">
        <v>46101</v>
      </c>
    </row>
    <row r="1797" spans="1:28" x14ac:dyDescent="0.3">
      <c r="A1797" t="s">
        <v>5884</v>
      </c>
      <c r="B1797" s="6" t="s">
        <v>361</v>
      </c>
      <c r="C1797" s="6" t="s">
        <v>164</v>
      </c>
      <c r="D1797">
        <v>7714338609</v>
      </c>
      <c r="E1797">
        <v>771401001</v>
      </c>
      <c r="F1797" t="s">
        <v>94</v>
      </c>
      <c r="G1797" t="s">
        <v>5885</v>
      </c>
      <c r="H1797" s="1">
        <v>46071</v>
      </c>
      <c r="J1797" s="8">
        <v>46077</v>
      </c>
      <c r="K1797" s="1" t="s">
        <v>5367</v>
      </c>
      <c r="L1797" t="s">
        <v>5886</v>
      </c>
      <c r="M1797" t="s">
        <v>5887</v>
      </c>
      <c r="N1797" s="12">
        <v>47600</v>
      </c>
      <c r="O1797" t="s">
        <v>5888</v>
      </c>
      <c r="P1797" s="6" t="s">
        <v>36</v>
      </c>
      <c r="R1797" t="s">
        <v>306</v>
      </c>
      <c r="S1797" s="9">
        <v>5950</v>
      </c>
      <c r="T1797" s="9">
        <v>8</v>
      </c>
      <c r="U1797" s="9">
        <v>47600</v>
      </c>
      <c r="V1797" s="6" t="s">
        <v>58</v>
      </c>
      <c r="W1797" t="s">
        <v>59</v>
      </c>
      <c r="X1797">
        <v>5262222144</v>
      </c>
      <c r="Y1797">
        <v>526001001</v>
      </c>
      <c r="Z1797" s="3">
        <v>46078.425000000003</v>
      </c>
      <c r="AA1797" s="6">
        <v>2026</v>
      </c>
      <c r="AB1797" s="1">
        <v>46146</v>
      </c>
    </row>
    <row r="1798" spans="1:28" x14ac:dyDescent="0.3">
      <c r="A1798" t="s">
        <v>5889</v>
      </c>
      <c r="B1798" s="6" t="s">
        <v>2547</v>
      </c>
      <c r="C1798" s="6" t="s">
        <v>2548</v>
      </c>
      <c r="D1798">
        <v>4401004514</v>
      </c>
      <c r="E1798">
        <v>440101001</v>
      </c>
      <c r="F1798" t="s">
        <v>149</v>
      </c>
      <c r="G1798" t="s">
        <v>5890</v>
      </c>
      <c r="H1798" s="1">
        <v>46069</v>
      </c>
      <c r="J1798" s="8">
        <v>46072</v>
      </c>
      <c r="K1798" s="1" t="s">
        <v>5367</v>
      </c>
      <c r="L1798" t="s">
        <v>5891</v>
      </c>
      <c r="M1798" t="s">
        <v>377</v>
      </c>
      <c r="N1798" s="12">
        <v>2481680</v>
      </c>
      <c r="O1798" t="s">
        <v>3633</v>
      </c>
      <c r="P1798" s="6" t="s">
        <v>36</v>
      </c>
      <c r="R1798" t="s">
        <v>38</v>
      </c>
      <c r="S1798" s="9">
        <v>2680</v>
      </c>
      <c r="T1798" s="9">
        <v>926</v>
      </c>
      <c r="U1798" s="9">
        <v>2481680</v>
      </c>
      <c r="V1798" s="6" t="s">
        <v>39</v>
      </c>
      <c r="W1798" t="s">
        <v>40</v>
      </c>
      <c r="X1798">
        <v>7810687137</v>
      </c>
      <c r="Y1798">
        <v>781401001</v>
      </c>
      <c r="Z1798" s="3">
        <v>46077.615972222222</v>
      </c>
      <c r="AA1798" s="6">
        <v>2026</v>
      </c>
      <c r="AB1798" s="1">
        <v>46387</v>
      </c>
    </row>
    <row r="1799" spans="1:28" x14ac:dyDescent="0.3">
      <c r="A1799" t="s">
        <v>5892</v>
      </c>
      <c r="B1799" s="6" t="s">
        <v>2547</v>
      </c>
      <c r="C1799" s="6" t="s">
        <v>2548</v>
      </c>
      <c r="D1799">
        <v>4401004514</v>
      </c>
      <c r="E1799">
        <v>440101001</v>
      </c>
      <c r="F1799" t="s">
        <v>149</v>
      </c>
      <c r="G1799" t="s">
        <v>5893</v>
      </c>
      <c r="H1799" s="1">
        <v>46066</v>
      </c>
      <c r="J1799" s="8">
        <v>46071</v>
      </c>
      <c r="K1799" s="1" t="s">
        <v>5367</v>
      </c>
      <c r="L1799" t="s">
        <v>5894</v>
      </c>
      <c r="M1799" t="s">
        <v>377</v>
      </c>
      <c r="N1799" s="12">
        <v>2680000</v>
      </c>
      <c r="O1799" t="s">
        <v>3633</v>
      </c>
      <c r="P1799" s="6" t="s">
        <v>36</v>
      </c>
      <c r="R1799" t="s">
        <v>38</v>
      </c>
      <c r="S1799" s="9">
        <v>2680</v>
      </c>
      <c r="T1799" s="9">
        <v>1000</v>
      </c>
      <c r="U1799" s="9">
        <v>2680000</v>
      </c>
      <c r="V1799" s="6" t="s">
        <v>39</v>
      </c>
      <c r="W1799" t="s">
        <v>40</v>
      </c>
      <c r="X1799">
        <v>7810687137</v>
      </c>
      <c r="Y1799">
        <v>781401001</v>
      </c>
      <c r="Z1799" s="3">
        <v>46077.613194444442</v>
      </c>
      <c r="AA1799" s="6">
        <v>2026</v>
      </c>
      <c r="AB1799" s="1">
        <v>46387</v>
      </c>
    </row>
    <row r="1800" spans="1:28" x14ac:dyDescent="0.3">
      <c r="A1800" t="s">
        <v>5895</v>
      </c>
      <c r="B1800" s="6" t="s">
        <v>1047</v>
      </c>
      <c r="C1800" s="6" t="s">
        <v>1048</v>
      </c>
      <c r="D1800">
        <v>2901030477</v>
      </c>
      <c r="E1800">
        <v>290101001</v>
      </c>
      <c r="F1800" t="s">
        <v>149</v>
      </c>
      <c r="G1800" t="s">
        <v>5896</v>
      </c>
      <c r="H1800" s="1">
        <v>46069</v>
      </c>
      <c r="J1800" s="8">
        <v>46072</v>
      </c>
      <c r="K1800" s="1" t="s">
        <v>5367</v>
      </c>
      <c r="L1800" t="s">
        <v>5897</v>
      </c>
      <c r="M1800" t="s">
        <v>377</v>
      </c>
      <c r="N1800" s="12">
        <v>133920</v>
      </c>
      <c r="O1800" t="s">
        <v>3613</v>
      </c>
      <c r="P1800" s="6" t="s">
        <v>36</v>
      </c>
      <c r="R1800" t="s">
        <v>38</v>
      </c>
      <c r="S1800" s="9">
        <v>4320</v>
      </c>
      <c r="T1800" s="9">
        <v>31</v>
      </c>
      <c r="U1800" s="9">
        <v>133920</v>
      </c>
      <c r="V1800" s="6" t="s">
        <v>58</v>
      </c>
      <c r="W1800" t="s">
        <v>59</v>
      </c>
      <c r="X1800">
        <v>5262222144</v>
      </c>
      <c r="Y1800">
        <v>526001001</v>
      </c>
      <c r="Z1800" s="3">
        <v>46077.593055555553</v>
      </c>
      <c r="AA1800" s="6">
        <v>2026</v>
      </c>
      <c r="AB1800" s="1">
        <v>46120</v>
      </c>
    </row>
    <row r="1801" spans="1:28" x14ac:dyDescent="0.3">
      <c r="A1801" t="s">
        <v>5898</v>
      </c>
      <c r="B1801" s="6" t="s">
        <v>3474</v>
      </c>
      <c r="C1801" s="6" t="s">
        <v>164</v>
      </c>
      <c r="D1801">
        <v>7820013553</v>
      </c>
      <c r="E1801">
        <v>782001001</v>
      </c>
      <c r="F1801" t="s">
        <v>94</v>
      </c>
      <c r="G1801" t="s">
        <v>5899</v>
      </c>
      <c r="H1801" s="1">
        <v>46071</v>
      </c>
      <c r="J1801" s="8">
        <v>46077</v>
      </c>
      <c r="K1801" s="1" t="s">
        <v>5367</v>
      </c>
      <c r="L1801" t="s">
        <v>5900</v>
      </c>
      <c r="M1801" t="s">
        <v>5901</v>
      </c>
      <c r="N1801" s="12">
        <v>598950</v>
      </c>
      <c r="O1801" t="s">
        <v>3633</v>
      </c>
      <c r="P1801" s="6" t="s">
        <v>36</v>
      </c>
      <c r="R1801" t="s">
        <v>38</v>
      </c>
      <c r="S1801" s="9">
        <v>4950</v>
      </c>
      <c r="T1801" s="9">
        <v>121</v>
      </c>
      <c r="U1801" s="9">
        <v>598950</v>
      </c>
      <c r="V1801" s="6" t="s">
        <v>39</v>
      </c>
      <c r="W1801" t="s">
        <v>40</v>
      </c>
      <c r="X1801">
        <v>7810687137</v>
      </c>
      <c r="Y1801">
        <v>781401001</v>
      </c>
      <c r="Z1801" s="3">
        <v>46077.53125</v>
      </c>
      <c r="AA1801" s="6">
        <v>2026</v>
      </c>
      <c r="AB1801" s="1">
        <v>46387</v>
      </c>
    </row>
    <row r="1802" spans="1:28" x14ac:dyDescent="0.3">
      <c r="A1802" t="s">
        <v>5902</v>
      </c>
      <c r="B1802" s="6" t="s">
        <v>394</v>
      </c>
      <c r="C1802" s="6" t="s">
        <v>395</v>
      </c>
      <c r="D1802">
        <v>7203000249</v>
      </c>
      <c r="E1802">
        <v>720301001</v>
      </c>
      <c r="F1802" t="s">
        <v>52</v>
      </c>
      <c r="G1802" t="s">
        <v>5903</v>
      </c>
      <c r="H1802" s="1">
        <v>46065</v>
      </c>
      <c r="J1802" s="8">
        <v>46077</v>
      </c>
      <c r="K1802" s="1" t="s">
        <v>5367</v>
      </c>
      <c r="L1802" t="s">
        <v>5904</v>
      </c>
      <c r="M1802" t="s">
        <v>4994</v>
      </c>
      <c r="N1802" s="12">
        <v>768933.5</v>
      </c>
      <c r="O1802" t="s">
        <v>4271</v>
      </c>
      <c r="P1802" s="6" t="s">
        <v>891</v>
      </c>
      <c r="Q1802" t="s">
        <v>37</v>
      </c>
      <c r="R1802" t="s">
        <v>38</v>
      </c>
      <c r="S1802" s="9">
        <v>5886.67</v>
      </c>
      <c r="T1802" s="9">
        <v>50</v>
      </c>
      <c r="U1802" s="9">
        <v>294333.5</v>
      </c>
      <c r="V1802" s="6" t="s">
        <v>723</v>
      </c>
      <c r="W1802" t="s">
        <v>5905</v>
      </c>
      <c r="X1802">
        <v>890507752198</v>
      </c>
      <c r="Z1802" s="3">
        <v>46077.374305555553</v>
      </c>
      <c r="AA1802" s="6">
        <v>2026</v>
      </c>
      <c r="AB1802" s="1">
        <v>46387</v>
      </c>
    </row>
    <row r="1803" spans="1:28" x14ac:dyDescent="0.3">
      <c r="A1803" t="s">
        <v>5902</v>
      </c>
      <c r="B1803" s="6" t="s">
        <v>394</v>
      </c>
      <c r="C1803" s="6" t="s">
        <v>395</v>
      </c>
      <c r="D1803">
        <v>7203000249</v>
      </c>
      <c r="E1803">
        <v>720301001</v>
      </c>
      <c r="F1803" t="s">
        <v>52</v>
      </c>
      <c r="G1803" t="s">
        <v>5903</v>
      </c>
      <c r="H1803" s="1">
        <v>46065</v>
      </c>
      <c r="J1803" s="8">
        <v>46077</v>
      </c>
      <c r="K1803" s="1" t="s">
        <v>5367</v>
      </c>
      <c r="L1803" t="s">
        <v>5904</v>
      </c>
      <c r="M1803" t="s">
        <v>4994</v>
      </c>
      <c r="N1803" s="12">
        <v>768933.5</v>
      </c>
      <c r="O1803" t="s">
        <v>3633</v>
      </c>
      <c r="P1803" s="6" t="s">
        <v>36</v>
      </c>
      <c r="R1803" t="s">
        <v>38</v>
      </c>
      <c r="S1803" s="9">
        <v>3955</v>
      </c>
      <c r="T1803" s="9">
        <v>120</v>
      </c>
      <c r="U1803" s="9">
        <v>474600</v>
      </c>
      <c r="V1803" s="6" t="s">
        <v>723</v>
      </c>
      <c r="W1803" t="s">
        <v>5905</v>
      </c>
      <c r="X1803">
        <v>890507752198</v>
      </c>
      <c r="Z1803" s="3">
        <v>46077.374305555553</v>
      </c>
      <c r="AA1803" s="6">
        <v>2026</v>
      </c>
      <c r="AB1803" s="1">
        <v>46387</v>
      </c>
    </row>
    <row r="1804" spans="1:28" x14ac:dyDescent="0.3">
      <c r="A1804" t="s">
        <v>5906</v>
      </c>
      <c r="B1804" s="6" t="s">
        <v>567</v>
      </c>
      <c r="C1804" s="6" t="s">
        <v>568</v>
      </c>
      <c r="D1804">
        <v>4909085785</v>
      </c>
      <c r="E1804">
        <v>490901001</v>
      </c>
      <c r="F1804" t="s">
        <v>94</v>
      </c>
      <c r="G1804" t="s">
        <v>5907</v>
      </c>
      <c r="H1804" s="1">
        <v>46071</v>
      </c>
      <c r="J1804" s="8">
        <v>46077</v>
      </c>
      <c r="K1804" s="1" t="s">
        <v>5367</v>
      </c>
      <c r="L1804" t="s">
        <v>5907</v>
      </c>
      <c r="M1804" t="s">
        <v>1496</v>
      </c>
      <c r="N1804" s="12">
        <v>1906500</v>
      </c>
      <c r="O1804" t="s">
        <v>4022</v>
      </c>
      <c r="P1804" s="6" t="s">
        <v>2941</v>
      </c>
      <c r="R1804" t="s">
        <v>38</v>
      </c>
      <c r="S1804" s="9">
        <v>3100</v>
      </c>
      <c r="T1804" s="9">
        <v>415</v>
      </c>
      <c r="U1804" s="9">
        <v>1286500</v>
      </c>
      <c r="V1804" s="6" t="s">
        <v>39</v>
      </c>
      <c r="W1804" t="s">
        <v>40</v>
      </c>
      <c r="X1804">
        <v>7810687137</v>
      </c>
      <c r="Y1804">
        <v>781401001</v>
      </c>
      <c r="Z1804" s="3">
        <v>46077.344444444447</v>
      </c>
      <c r="AA1804" s="6">
        <v>2026</v>
      </c>
      <c r="AB1804" s="1">
        <v>46387</v>
      </c>
    </row>
    <row r="1805" spans="1:28" x14ac:dyDescent="0.3">
      <c r="A1805" t="s">
        <v>5906</v>
      </c>
      <c r="B1805" s="6" t="s">
        <v>567</v>
      </c>
      <c r="C1805" s="6" t="s">
        <v>568</v>
      </c>
      <c r="D1805">
        <v>4909085785</v>
      </c>
      <c r="E1805">
        <v>490901001</v>
      </c>
      <c r="F1805" t="s">
        <v>94</v>
      </c>
      <c r="G1805" t="s">
        <v>5907</v>
      </c>
      <c r="H1805" s="1">
        <v>46071</v>
      </c>
      <c r="J1805" s="8">
        <v>46077</v>
      </c>
      <c r="K1805" s="1" t="s">
        <v>5367</v>
      </c>
      <c r="L1805" t="s">
        <v>5907</v>
      </c>
      <c r="M1805" t="s">
        <v>1496</v>
      </c>
      <c r="N1805" s="12">
        <v>1906500</v>
      </c>
      <c r="O1805" t="s">
        <v>3633</v>
      </c>
      <c r="P1805" s="6" t="s">
        <v>36</v>
      </c>
      <c r="R1805" t="s">
        <v>38</v>
      </c>
      <c r="S1805" s="9">
        <v>3100</v>
      </c>
      <c r="T1805" s="9">
        <v>200</v>
      </c>
      <c r="U1805" s="9">
        <v>620000</v>
      </c>
      <c r="V1805" s="6" t="s">
        <v>39</v>
      </c>
      <c r="W1805" t="s">
        <v>40</v>
      </c>
      <c r="X1805">
        <v>7810687137</v>
      </c>
      <c r="Y1805">
        <v>781401001</v>
      </c>
      <c r="Z1805" s="3">
        <v>46077.344444444447</v>
      </c>
      <c r="AA1805" s="6">
        <v>2026</v>
      </c>
      <c r="AB1805" s="1">
        <v>46387</v>
      </c>
    </row>
    <row r="1806" spans="1:28" x14ac:dyDescent="0.3">
      <c r="N1806" s="12"/>
      <c r="Z1806" s="3"/>
      <c r="AA1806" s="11"/>
      <c r="AB1806" s="1"/>
    </row>
    <row r="1807" spans="1:28" x14ac:dyDescent="0.3">
      <c r="H1807"/>
      <c r="J1807" s="6"/>
      <c r="K1807"/>
      <c r="N1807"/>
    </row>
  </sheetData>
  <autoFilter ref="A1:AB1805" xr:uid="{06CE555A-8E4D-4F44-A920-D655AF08DBA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Исходная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dc:creator>
  <cp:lastModifiedBy>D D</cp:lastModifiedBy>
  <dcterms:created xsi:type="dcterms:W3CDTF">2026-02-27T14:52:57Z</dcterms:created>
  <dcterms:modified xsi:type="dcterms:W3CDTF">2026-02-27T19:17:51Z</dcterms:modified>
</cp:coreProperties>
</file>